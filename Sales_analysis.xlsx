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deepa\Desktop\Sales-Performance-Business-Analytics\"/>
    </mc:Choice>
  </mc:AlternateContent>
  <xr:revisionPtr revIDLastSave="0" documentId="13_ncr:9_{7F1C0B85-B896-4A45-9400-105FCDE0C3A4}" xr6:coauthVersionLast="47" xr6:coauthVersionMax="47" xr10:uidLastSave="{00000000-0000-0000-0000-000000000000}"/>
  <bookViews>
    <workbookView xWindow="-108" yWindow="-108" windowWidth="23256" windowHeight="12456" activeTab="4" xr2:uid="{910DC6BB-6A42-490D-9418-43EE1C423896}"/>
  </bookViews>
  <sheets>
    <sheet name="Sheet2" sheetId="3" r:id="rId1"/>
    <sheet name="Sheet3" sheetId="4" r:id="rId2"/>
    <sheet name="Sheet4" sheetId="5" r:id="rId3"/>
    <sheet name="SampleSuperstore" sheetId="1" r:id="rId4"/>
    <sheet name="summary" sheetId="2" r:id="rId5"/>
  </sheets>
  <definedNames>
    <definedName name="Slicer_Category">#N/A</definedName>
    <definedName name="Slicer_Region2">#N/A</definedName>
    <definedName name="Slicer_Segment2">#N/A</definedName>
  </definedNames>
  <calcPr calcId="0"/>
  <pivotCaches>
    <pivotCache cacheId="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6" i="2" l="1"/>
  <c r="B5" i="2"/>
  <c r="B4" i="2"/>
  <c r="B3" i="2"/>
</calcChain>
</file>

<file path=xl/sharedStrings.xml><?xml version="1.0" encoding="utf-8"?>
<sst xmlns="http://schemas.openxmlformats.org/spreadsheetml/2006/main" count="80003" uniqueCount="632">
  <si>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</si>
  <si>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</si>
  <si>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</si>
  <si>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</si>
  <si>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</si>
  <si>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</si>
  <si>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</si>
  <si>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</si>
  <si>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</si>
  <si>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</si>
  <si>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</si>
  <si>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</si>
  <si>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</si>
  <si>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</si>
  <si>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</si>
  <si>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</si>
  <si>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</si>
  <si>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</si>
  <si>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</si>
  <si>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</si>
  <si>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</si>
  <si>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</si>
  <si>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</si>
  <si>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</si>
  <si>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</si>
  <si>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</si>
  <si>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</si>
  <si>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</si>
  <si>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</si>
  <si>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</si>
  <si>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</si>
  <si>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</si>
  <si>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</si>
  <si>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</si>
  <si>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</si>
  <si>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</si>
  <si>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</si>
  <si>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</si>
  <si>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</si>
  <si>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</si>
  <si>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</si>
  <si>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</si>
  <si>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</si>
  <si>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</si>
  <si>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</si>
  <si>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</si>
  <si>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</si>
  <si>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</si>
  <si>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</si>
  <si>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</si>
  <si>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</si>
  <si>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</si>
  <si>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</si>
  <si>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</si>
  <si>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</si>
  <si>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</si>
  <si>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</si>
  <si>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</si>
  <si>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</si>
  <si>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</si>
  <si>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</si>
  <si>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</si>
  <si>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</si>
  <si>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</si>
  <si>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</si>
  <si>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</si>
  <si>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</si>
  <si>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</si>
  <si>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</si>
  <si>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</si>
  <si>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</si>
  <si>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</si>
  <si>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</si>
  <si>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</si>
  <si>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</si>
  <si>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</si>
  <si>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</si>
  <si>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</si>
  <si>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</si>
  <si>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</si>
  <si>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</si>
  <si>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</si>
  <si>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</si>
  <si>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</si>
  <si>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</si>
  <si>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</si>
  <si>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</si>
  <si>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</si>
  <si>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</si>
  <si>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</si>
  <si>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</si>
  <si>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</si>
  <si>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</si>
  <si>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</si>
  <si>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</si>
  <si>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</si>
  <si>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</si>
  <si>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</si>
  <si>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</si>
  <si>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</si>
  <si>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</si>
  <si>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</si>
  <si>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</si>
  <si>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</si>
  <si>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</si>
  <si>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</si>
  <si>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</si>
  <si>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</si>
  <si>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</si>
  <si>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</si>
  <si>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</si>
  <si>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</si>
  <si>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</si>
  <si>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</si>
  <si>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</si>
  <si>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</si>
  <si>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</si>
  <si>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</si>
  <si>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</si>
  <si>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</si>
  <si>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</si>
  <si>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</si>
  <si>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</si>
  <si>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</si>
  <si>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</si>
  <si>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</si>
  <si>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</si>
  <si>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</si>
  <si>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</si>
  <si>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</si>
  <si>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</si>
  <si>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</si>
  <si>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</si>
  <si>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</si>
  <si>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</si>
  <si>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</si>
  <si>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</si>
  <si>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</si>
  <si>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</si>
  <si>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</si>
  <si>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</si>
  <si>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</si>
  <si>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</si>
  <si>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</si>
  <si>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</si>
  <si>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</si>
  <si>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</si>
  <si>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</si>
  <si>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</si>
  <si>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</si>
  <si>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</si>
  <si>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</si>
  <si>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</si>
  <si>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</si>
  <si>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</si>
  <si>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</si>
  <si>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</si>
  <si>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</si>
  <si>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</si>
  <si>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</si>
  <si>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</si>
  <si>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</si>
  <si>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</si>
  <si>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</si>
  <si>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</si>
  <si>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</si>
  <si>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</si>
  <si>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</si>
  <si>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</si>
  <si>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</si>
  <si>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</si>
  <si>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</si>
  <si>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</si>
  <si>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</si>
  <si>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</si>
  <si>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</si>
  <si>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</si>
  <si>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</si>
  <si>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</si>
  <si>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</si>
  <si>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</si>
  <si>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</si>
  <si>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</si>
  <si>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</si>
  <si>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</si>
  <si>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</si>
  <si>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</si>
  <si>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</si>
  <si>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</si>
  <si>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</si>
  <si>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</si>
  <si>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</si>
  <si>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</si>
  <si>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</si>
  <si>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</si>
  <si>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</si>
  <si>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</si>
  <si>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</si>
  <si>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</si>
  <si>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</si>
  <si>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</si>
  <si>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</si>
  <si>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</si>
  <si>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</si>
  <si>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</si>
  <si>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</si>
  <si>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</si>
  <si>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</si>
  <si>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</si>
  <si>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</si>
  <si>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</si>
  <si>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</si>
  <si>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</si>
  <si>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</si>
  <si>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</si>
  <si>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</si>
  <si>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</si>
  <si>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</si>
  <si>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</si>
  <si>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</si>
  <si>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</si>
  <si>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</si>
  <si>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</si>
  <si>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</si>
  <si>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</si>
  <si>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</si>
  <si>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</si>
  <si>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</si>
  <si>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</si>
  <si>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</si>
  <si>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</si>
  <si>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</si>
  <si>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</si>
  <si>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</si>
  <si>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</si>
  <si>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</si>
  <si>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</si>
  <si>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</si>
  <si>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</si>
  <si>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</si>
  <si>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</si>
  <si>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</si>
  <si>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</si>
  <si>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</si>
  <si>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</si>
  <si>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</si>
  <si>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</si>
  <si>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</si>
  <si>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</si>
  <si>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</si>
  <si>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</si>
  <si>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</si>
  <si>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</si>
  <si>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</si>
  <si>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</si>
  <si>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</si>
  <si>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</si>
  <si>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</si>
  <si>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</si>
  <si>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</si>
  <si>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</si>
  <si>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</si>
  <si>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</si>
  <si>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</si>
  <si>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</si>
  <si>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</si>
  <si>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</si>
  <si>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</si>
  <si>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</si>
  <si>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</si>
  <si>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</si>
  <si>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</si>
  <si>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</si>
  <si>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</si>
  <si>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</si>
  <si>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</si>
  <si>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</si>
  <si>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</si>
  <si>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</si>
  <si>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</si>
  <si>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</si>
  <si>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</si>
  <si>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</si>
  <si>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</si>
  <si>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</si>
  <si>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</si>
  <si>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</si>
  <si>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</si>
  <si>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</si>
  <si>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</si>
  <si>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</si>
  <si>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</si>
  <si>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</si>
  <si>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</si>
  <si>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</si>
  <si>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</si>
  <si>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</si>
  <si>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</si>
  <si>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</si>
  <si>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</si>
  <si>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</si>
  <si>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</si>
  <si>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</si>
  <si>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</si>
  <si>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</si>
  <si>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</si>
  <si>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</si>
  <si>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</si>
  <si>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</si>
  <si>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</si>
  <si>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</si>
  <si>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</si>
  <si>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</si>
  <si>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</si>
  <si>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</si>
  <si>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</si>
  <si>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</si>
  <si>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</si>
  <si>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</si>
  <si>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</si>
  <si>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</si>
  <si>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</si>
  <si>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</si>
  <si>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</si>
  <si>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</si>
  <si>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</si>
  <si>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</si>
  <si>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</si>
  <si>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</si>
  <si>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</si>
  <si>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</si>
  <si>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</si>
  <si>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</si>
  <si>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</si>
  <si>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</si>
  <si>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</si>
  <si>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</si>
  <si>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</si>
  <si>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</si>
  <si>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</si>
  <si>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</si>
  <si>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</si>
  <si>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</si>
  <si>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</si>
  <si>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</si>
  <si>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</si>
  <si>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</si>
  <si>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</si>
  <si>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</si>
  <si>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</si>
  <si>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</si>
  <si>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</si>
  <si>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</si>
  <si>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</si>
  <si>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</si>
  <si>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</si>
  <si>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</si>
  <si>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</si>
  <si>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</si>
  <si>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</si>
  <si>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</si>
  <si>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</si>
  <si>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</si>
  <si>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</si>
  <si>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</si>
  <si>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</si>
  <si>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</si>
  <si>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</si>
  <si>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</si>
  <si>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</si>
  <si>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</si>
  <si>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</si>
  <si>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</si>
  <si>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</si>
  <si>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</si>
  <si>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</si>
  <si>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</si>
  <si>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</si>
  <si>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</si>
  <si>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</si>
  <si>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</si>
  <si>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</si>
  <si>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</si>
  <si>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</si>
  <si>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</si>
  <si>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</si>
  <si>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</si>
  <si>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</si>
  <si>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</si>
  <si>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</si>
  <si>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</si>
  <si>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</si>
  <si>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</si>
  <si>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</si>
  <si>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</si>
  <si>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</si>
  <si>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</si>
  <si>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</si>
  <si>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</si>
  <si>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</si>
  <si>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</si>
  <si>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</si>
  <si>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</si>
  <si>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</si>
  <si>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</si>
  <si>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</si>
  <si>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</si>
  <si>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</si>
  <si>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</si>
  <si>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</si>
  <si>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</si>
  <si>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</si>
  <si>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</si>
  <si>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</si>
  <si>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</si>
  <si>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</si>
  <si>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</si>
  <si>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</si>
  <si>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</si>
  <si>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</si>
  <si>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</si>
  <si>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</si>
  <si>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</si>
  <si>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</si>
  <si>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</si>
  <si>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</si>
  <si>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</si>
  <si>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</si>
  <si>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</si>
  <si>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</si>
  <si>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</si>
  <si>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</si>
  <si>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</si>
  <si>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</si>
  <si>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</si>
  <si>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</si>
  <si>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</si>
  <si>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</si>
  <si>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</si>
  <si>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</si>
  <si>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</si>
  <si>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</si>
  <si>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</si>
  <si>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</si>
  <si>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</si>
  <si>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</si>
  <si>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</si>
  <si>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</si>
  <si>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</si>
  <si>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</si>
  <si>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</si>
  <si>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</si>
  <si>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</si>
  <si>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</si>
  <si>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</si>
  <si>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</si>
  <si>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</si>
  <si>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</si>
  <si>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</si>
  <si>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</si>
  <si>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</si>
  <si>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</si>
  <si>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</si>
  <si>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</si>
  <si>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</si>
  <si>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</si>
  <si>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</si>
  <si>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</si>
  <si>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</si>
  <si>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</si>
  <si>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</si>
  <si>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</si>
  <si>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</si>
  <si>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</si>
  <si>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</si>
  <si>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</si>
  <si>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</si>
  <si>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</si>
  <si>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</si>
  <si>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</si>
  <si>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</si>
  <si>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</si>
  <si>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</si>
  <si>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</si>
  <si>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</si>
  <si>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</si>
  <si>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</si>
  <si>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</si>
  <si>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</si>
  <si>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</si>
  <si>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</si>
  <si>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</si>
  <si>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</si>
  <si>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</si>
  <si>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</si>
  <si>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</si>
  <si>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</si>
  <si>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</si>
  <si>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</si>
  <si>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</si>
  <si>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</si>
  <si>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</si>
  <si>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</si>
  <si>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</si>
  <si>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</si>
  <si>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</si>
  <si>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</si>
  <si>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</si>
  <si>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</si>
  <si>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</si>
  <si>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</si>
  <si>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</si>
  <si>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</si>
  <si>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</si>
  <si>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</si>
  <si>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</si>
  <si>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</si>
  <si>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</si>
  <si>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</si>
  <si>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</si>
  <si>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</si>
  <si>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</si>
  <si>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</si>
  <si>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</si>
  <si>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</si>
  <si>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</si>
  <si>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</si>
  <si>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</si>
  <si>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</si>
  <si>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</si>
  <si>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</si>
  <si>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</si>
  <si>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</si>
  <si>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</si>
  <si>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</si>
  <si>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</si>
  <si>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</si>
  <si>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</si>
  <si>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</si>
  <si>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</si>
  <si>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</si>
  <si>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</si>
  <si>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</si>
  <si>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</si>
  <si>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</si>
  <si>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</si>
  <si>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</si>
  <si>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</si>
  <si>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</si>
  <si>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</si>
  <si>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</si>
  <si>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</si>
  <si>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</si>
  <si>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</si>
  <si>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</si>
  <si>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</si>
  <si>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</si>
  <si>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</si>
  <si>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</si>
  <si>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</si>
  <si>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</si>
  <si>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</si>
  <si>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</si>
  <si>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</si>
  <si>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</si>
  <si>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</si>
  <si>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</si>
  <si>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</si>
  <si>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</si>
  <si>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</si>
  <si>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</si>
  <si>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</si>
  <si>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</si>
  <si>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</si>
  <si>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</si>
  <si>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</si>
  <si>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</si>
  <si>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</si>
  <si>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</si>
  <si>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</si>
  <si>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</si>
  <si>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</si>
  <si>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</si>
  <si>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</si>
  <si>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</si>
  <si>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</si>
  <si>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</si>
  <si>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</si>
  <si>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</si>
  <si>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</si>
  <si>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</si>
  <si>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</si>
  <si>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</si>
  <si>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</si>
  <si>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</si>
  <si>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</si>
  <si>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</si>
  <si>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</si>
  <si>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</si>
  <si>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</si>
  <si>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</si>
  <si>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</si>
  <si>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</si>
  <si>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</si>
  <si>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</si>
  <si>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</si>
  <si>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</si>
  <si>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</si>
  <si>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</si>
  <si>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</si>
  <si>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</si>
  <si>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</si>
  <si>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</si>
  <si>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</si>
  <si>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</si>
  <si>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</si>
  <si>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</si>
  <si>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</si>
  <si>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</si>
  <si>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</si>
  <si>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</si>
  <si>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</si>
  <si>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</si>
  <si>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</si>
  <si>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Sales Performance Dashboard</t>
  </si>
  <si>
    <t>Total Sales</t>
  </si>
  <si>
    <t>Total Profit</t>
  </si>
  <si>
    <t>Total Quantity</t>
  </si>
  <si>
    <t>Profit/Margin</t>
  </si>
  <si>
    <t>Sum of Sales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</si>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</sst>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
      <sz val="18"/>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9"/>
        <bgColor indexed="64"/>
      </patternFill>
    </fill>
    <fill>
      <patternFill patternType="solid">
        <fgColor rgb="FFFFC000"/>
        <bgColor indexed="64"/>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NumberFormat="1"/>
    <xf numFmtId="0" fontId="0" fillId="0" borderId="0" xfId="0" pivotButton="1"/>
    <xf numFmtId="0" fontId="0" fillId="0" borderId="0" xfId="0" applyAlignment="1">
      <alignment horizontal="left"/>
    </xf>
    <xf numFmtId="0" fontId="18" fillId="33" borderId="0" xfId="0" applyFont="1" applyFill="1"/>
    <xf numFmtId="164" fontId="18" fillId="33" borderId="0" xfId="0" applyNumberFormat="1" applyFont="1" applyFill="1"/>
    <xf numFmtId="0" fontId="13" fillId="34" borderId="0" xfId="0" applyFont="1" applyFill="1"/>
    <xf numFmtId="164" fontId="13" fillId="34" borderId="0" xfId="0" applyNumberFormat="1" applyFont="1" applyFill="1"/>
    <xf numFmtId="0" fontId="18" fillId="35" borderId="0" xfId="0" applyFont="1" applyFill="1"/>
    <xf numFmtId="0" fontId="18" fillId="36" borderId="0" xfId="0" applyFont="1" applyFill="1"/>
    <xf numFmtId="9" fontId="18" fillId="36" borderId="0" xfId="1" applyFont="1" applyFill="1"/>
    <xf numFmtId="0" fontId="19" fillId="0" borderId="0" xfId="0" applyFon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[Sales_analysis.xlsx]Sheet4!PivotTable3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sub-Category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Sheet4!$B$4:$B$21</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7B9D-486A-8038-948460C35C13}"/>
            </c:ext>
          </c:extLst>
        </c:ser>
        <c:dLbls>
          <c:dLblPos val="inEnd"/>
          <c:showLegendKey val="0"/>
          <c:showVal val="1"/>
          <c:showCatName val="0"/>
          <c:showSerName val="0"/>
          <c:showPercent val="0"/>
          <c:showBubbleSize val="0"/>
        </c:dLbls>
        <c:gapWidth val="100"/>
        <c:overlap val="-24"/>
        <c:axId val="452547279"/>
        <c:axId val="452549199"/>
      </c:barChart>
      <c:catAx>
        <c:axId val="4525472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2549199"/>
        <c:crosses val="autoZero"/>
        <c:auto val="1"/>
        <c:lblAlgn val="ctr"/>
        <c:lblOffset val="100"/>
        <c:noMultiLvlLbl val="0"/>
      </c:catAx>
      <c:valAx>
        <c:axId val="4525491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254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[Sales_analysis.xlsx]Sheet3!PivotTable2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catogory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6911299086238708E-2"/>
          <c:y val="0.2482605214888679"/>
          <c:w val="0.87640833598729029"/>
          <c:h val="0.57199775703712707"/>
        </c:manualLayout>
      </c:layout>
      <c:barChart>
        <c:barDir val="col"/>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Sheet3!$A$4:$A$7</c:f>
              <c:strCache>
                <c:ptCount val="3"/>
                <c:pt idx="0">
                  <c:v>Furniture</c:v>
                </c:pt>
                <c:pt idx="1">
                  <c:v>Office Supplies</c:v>
                </c:pt>
                <c:pt idx="2">
                  <c:v>Technology</c:v>
                </c:pt>
              </c:strCache>
            </c:strRef>
          </c:cat>
          <c:val>
            <c:numRef>
              <c:f>Sheet3!$B$4:$B$7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9E55-426C-AC36-143DF7A5A43A}"/>
            </c:ext>
          </c:extLst>
        </c:ser>
        <c:dLbls>
          <c:dLblPos val="outEnd"/>
          <c:showLegendKey val="0"/>
          <c:showVal val="1"/>
          <c:showCatName val="0"/>
          <c:showSerName val="0"/>
          <c:showPercent val="0"/>
          <c:showBubbleSize val="0"/>
        </c:dLbls>
        <c:gapWidth val="100"/>
        <c:overlap val="-24"/>
        <c:axId val="452542959"/>
        <c:axId val="452548239"/>
      </c:barChart>
      <c:catAx>
        <c:axId val="452542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2548239"/>
        <c:crosses val="autoZero"/>
        <c:auto val="1"/>
        <c:lblAlgn val="ctr"/>
        <c:lblOffset val="100"/>
        <c:noMultiLvlLbl val="0"/>
      </c:catAx>
      <c:valAx>
        <c:axId val="4525482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254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[Sales_analysis.xlsx]Sheet2!PivotTable1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layout>
        <c:manualLayout>
          <c:xMode val="edge"/>
          <c:yMode val="edge"/>
          <c:x val="0.32310924747420267"/>
          <c:y val="5.72715193643188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90666235213751"/>
          <c:y val="0.12105513382683453"/>
          <c:w val="0.88309337322280623"/>
          <c:h val="0.63293847375038381"/>
        </c:manualLayout>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Sheet2!$A$4:$A$8</c:f>
              <c:strCache>
                <c:ptCount val="4"/>
                <c:pt idx="0">
                  <c:v>Central</c:v>
                </c:pt>
                <c:pt idx="1">
                  <c:v>East</c:v>
                </c:pt>
                <c:pt idx="2">
                  <c:v>South</c:v>
                </c:pt>
                <c:pt idx="3">
                  <c:v>West</c:v>
                </c:pt>
              </c:strCache>
            </c:strRef>
          </c:cat>
          <c:val>
            <c:numRef>
              <c:f>Sheet2!$B$4:$B$8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7C62-43CF-B6B8-5786DE4325B5}"/>
            </c:ext>
          </c:extLst>
        </c:ser>
        <c:dLbls>
          <c:dLblPos val="outEnd"/>
          <c:showLegendKey val="0"/>
          <c:showVal val="1"/>
          <c:showCatName val="0"/>
          <c:showSerName val="0"/>
          <c:showPercent val="0"/>
          <c:showBubbleSize val="0"/>
        </c:dLbls>
        <c:gapWidth val="100"/>
        <c:overlap val="-24"/>
        <c:axId val="699374351"/>
        <c:axId val="699380111"/>
      </c:barChart>
      <c:catAx>
        <c:axId val="6993743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9380111"/>
        <c:crosses val="autoZero"/>
        <c:auto val="1"/>
        <c:lblAlgn val="ctr"/>
        <c:lblOffset val="100"/>
        <c:noMultiLvlLbl val="0"/>
      </c:catAx>
      <c:valAx>
        <c:axId val="6993801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937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53340</xdr:colOff>
      <xdr:row>6</xdr:row>
      <xdr:rowOff>0</xdr:rowOff>
    </xdr:from>
    <xdr:to>
      <xdr:col>5</xdr:col>
      <xdr:colOff>60960</xdr:colOff>
      <xdr:row>21</xdr:row>
      <xdr:rowOff>144780</xdr:rowOff>
    </xdr:to>
    <xdr:graphicFrame macro="">
      <xdr:nvGraphicFramePr>
        <xdr:cNvPr id="2" name="Chart 1">
          <a:extLst>
            <a:ext uri="{FF2B5EF4-FFF2-40B4-BE49-F238E27FC236}">
              <a16:creationId xmlns:a16="http://schemas.microsoft.com/office/drawing/2014/main" id="{DF7285B1-16F3-65D3-114D-AE7A0C43B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160020</xdr:colOff>
      <xdr:row>6</xdr:row>
      <xdr:rowOff>129540</xdr:rowOff>
    </xdr:from>
    <xdr:to>
      <xdr:col>15</xdr:col>
      <xdr:colOff>480060</xdr:colOff>
      <xdr:row>20</xdr:row>
      <xdr:rowOff>83820</xdr:rowOff>
    </xdr:to>
    <xdr:graphicFrame macro="">
      <xdr:nvGraphicFramePr>
        <xdr:cNvPr id="3" name="Chart 1">
          <a:extLst>
            <a:ext uri="{FF2B5EF4-FFF2-40B4-BE49-F238E27FC236}">
              <a16:creationId xmlns:a16="http://schemas.microsoft.com/office/drawing/2014/main" id="{D042E1C1-A0D7-3E05-4615-8F55AF5454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152400</xdr:colOff>
      <xdr:row>3</xdr:row>
      <xdr:rowOff>99060</xdr:rowOff>
    </xdr:from>
    <xdr:to>
      <xdr:col>27</xdr:col>
      <xdr:colOff>335280</xdr:colOff>
      <xdr:row>20</xdr:row>
      <xdr:rowOff>15240</xdr:rowOff>
    </xdr:to>
    <xdr:graphicFrame macro="">
      <xdr:nvGraphicFramePr>
        <xdr:cNvPr id="4" name="Chart 1">
          <a:extLst>
            <a:ext uri="{FF2B5EF4-FFF2-40B4-BE49-F238E27FC236}">
              <a16:creationId xmlns:a16="http://schemas.microsoft.com/office/drawing/2014/main" id="{A9ED33BF-751B-9B56-7676-CEE24606EE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175260</xdr:colOff>
      <xdr:row>9</xdr:row>
      <xdr:rowOff>160019</xdr:rowOff>
    </xdr:from>
    <xdr:to>
      <xdr:col>7</xdr:col>
      <xdr:colOff>502920</xdr:colOff>
      <xdr:row>17</xdr:row>
      <xdr:rowOff>167640</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9BFBB4BC-63B7-26A5-7526-F5921325B23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861560" y="1965959"/>
              <a:ext cx="1546860" cy="1470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114300</xdr:colOff>
      <xdr:row>0</xdr:row>
      <xdr:rowOff>114301</xdr:rowOff>
    </xdr:from>
    <xdr:to>
      <xdr:col>7</xdr:col>
      <xdr:colOff>449580</xdr:colOff>
      <xdr:row>6</xdr:row>
      <xdr:rowOff>76200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6134F383-9192-803C-981B-77B1D75914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800600" y="114301"/>
              <a:ext cx="1554480"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297180</xdr:colOff>
      <xdr:row>19</xdr:row>
      <xdr:rowOff>144779</xdr:rowOff>
    </xdr:from>
    <xdr:to>
      <xdr:col>7</xdr:col>
      <xdr:colOff>419100</xdr:colOff>
      <xdr:row>25</xdr:row>
      <xdr:rowOff>175260</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B5A3327E-F91F-088F-A3F5-96E21F43A32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983480" y="3779519"/>
              <a:ext cx="1341120" cy="1127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563880</xdr:colOff>
      <xdr:row>0</xdr:row>
      <xdr:rowOff>114300</xdr:rowOff>
    </xdr:from>
    <xdr:to>
      <xdr:col>30</xdr:col>
      <xdr:colOff>457200</xdr:colOff>
      <xdr:row>6</xdr:row>
      <xdr:rowOff>167641</xdr:rowOff>
    </xdr:to>
    <mc:AlternateContent xmlns:mc="http://schemas.openxmlformats.org/markup-compatibility/2006">
      <mc:Choice xmlns:a14="http://schemas.microsoft.com/office/drawing/2010/main" Requires="a14">
        <xdr:graphicFrame macro="">
          <xdr:nvGraphicFramePr>
            <xdr:cNvPr id="8" name="Segment 1">
              <a:extLst>
                <a:ext uri="{FF2B5EF4-FFF2-40B4-BE49-F238E27FC236}">
                  <a16:creationId xmlns:a16="http://schemas.microsoft.com/office/drawing/2014/main" id="{DC9174D2-89F1-8CBE-CD2F-D7FDBB97C4D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8661380" y="114300"/>
              <a:ext cx="1722120" cy="1310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601980</xdr:colOff>
      <xdr:row>8</xdr:row>
      <xdr:rowOff>45720</xdr:rowOff>
    </xdr:from>
    <xdr:to>
      <xdr:col>30</xdr:col>
      <xdr:colOff>457200</xdr:colOff>
      <xdr:row>14</xdr:row>
      <xdr:rowOff>114300</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E384F5E5-F65B-B5FB-283B-19F0A230EEF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8699480" y="1668780"/>
              <a:ext cx="168402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53340</xdr:colOff>
      <xdr:row>16</xdr:row>
      <xdr:rowOff>45720</xdr:rowOff>
    </xdr:from>
    <xdr:to>
      <xdr:col>30</xdr:col>
      <xdr:colOff>495300</xdr:colOff>
      <xdr:row>23</xdr:row>
      <xdr:rowOff>53341</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DBD43639-038C-98A4-DD79-43372F41CC1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8760440" y="3131820"/>
              <a:ext cx="1661160" cy="1287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274320</xdr:colOff>
      <xdr:row>0</xdr:row>
      <xdr:rowOff>236221</xdr:rowOff>
    </xdr:from>
    <xdr:to>
      <xdr:col>19</xdr:col>
      <xdr:colOff>274320</xdr:colOff>
      <xdr:row>7</xdr:row>
      <xdr:rowOff>30481</xdr:rowOff>
    </xdr:to>
    <mc:AlternateContent xmlns:mc="http://schemas.openxmlformats.org/markup-compatibility/2006">
      <mc:Choice xmlns:a14="http://schemas.microsoft.com/office/drawing/2010/main" Requires="a14">
        <xdr:graphicFrame macro="">
          <xdr:nvGraphicFramePr>
            <xdr:cNvPr id="11" name="Segment 2">
              <a:extLst>
                <a:ext uri="{FF2B5EF4-FFF2-40B4-BE49-F238E27FC236}">
                  <a16:creationId xmlns:a16="http://schemas.microsoft.com/office/drawing/2014/main" id="{A9D6883E-59AD-AB16-6079-7142E7E44939}"/>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11666220" y="23622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335280</xdr:colOff>
      <xdr:row>9</xdr:row>
      <xdr:rowOff>129541</xdr:rowOff>
    </xdr:from>
    <xdr:to>
      <xdr:col>19</xdr:col>
      <xdr:colOff>335280</xdr:colOff>
      <xdr:row>16</xdr:row>
      <xdr:rowOff>76201</xdr:rowOff>
    </xdr:to>
    <mc:AlternateContent xmlns:mc="http://schemas.openxmlformats.org/markup-compatibility/2006">
      <mc:Choice xmlns:a14="http://schemas.microsoft.com/office/drawing/2010/main" Requires="a14">
        <xdr:graphicFrame macro="">
          <xdr:nvGraphicFramePr>
            <xdr:cNvPr id="12" name="Region 2">
              <a:extLst>
                <a:ext uri="{FF2B5EF4-FFF2-40B4-BE49-F238E27FC236}">
                  <a16:creationId xmlns:a16="http://schemas.microsoft.com/office/drawing/2014/main" id="{5ACC5AEA-1C2F-DD27-108F-6576D065553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1727180" y="193548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320040</xdr:colOff>
      <xdr:row>17</xdr:row>
      <xdr:rowOff>137160</xdr:rowOff>
    </xdr:from>
    <xdr:to>
      <xdr:col>19</xdr:col>
      <xdr:colOff>312420</xdr:colOff>
      <xdr:row>23</xdr:row>
      <xdr:rowOff>175260</xdr:rowOff>
    </xdr:to>
    <mc:AlternateContent xmlns:mc="http://schemas.openxmlformats.org/markup-compatibility/2006">
      <mc:Choice xmlns:a14="http://schemas.microsoft.com/office/drawing/2010/main" Requires="a14">
        <xdr:graphicFrame macro="">
          <xdr:nvGraphicFramePr>
            <xdr:cNvPr id="13" name="Category 2">
              <a:extLst>
                <a:ext uri="{FF2B5EF4-FFF2-40B4-BE49-F238E27FC236}">
                  <a16:creationId xmlns:a16="http://schemas.microsoft.com/office/drawing/2014/main" id="{959AA9A6-7FDA-B376-DE82-2317EB3E41BC}"/>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1711940" y="3406140"/>
              <a:ext cx="182118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nshu Pal" refreshedDate="46315.630924884259" createdVersion="8" refreshedVersion="8" minRefreshableVersion="3" recordCount="9994" xr:uid="{4FD61719-EA56-4AE3-B370-FA1F3DC5006F}">
  <cacheSource type="worksheet">
    <worksheetSource name="salesData"/>
  </cacheSource>
  <cacheFields count="13">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668992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x v="0"/>
    <s v="United States"/>
    <s v="Henderson"/>
    <x v="0"/>
    <n v="42420"/>
    <x v="0"/>
    <x v="0"/>
    <x v="0"/>
    <n v="261.95999999999998"/>
    <n v="2"/>
    <n v="0"/>
    <n v="41.913600000000002"/>
  </r>
  <r>
    <s v="Second Class"/>
    <x v="0"/>
    <s v="United States"/>
    <s v="Henderson"/>
    <x v="0"/>
    <n v="42420"/>
    <x v="0"/>
    <x v="0"/>
    <x v="1"/>
    <n v="731.94"/>
    <n v="3"/>
    <n v="0"/>
    <n v="219.58199999999999"/>
  </r>
  <r>
    <s v="Second Class"/>
    <x v="1"/>
    <s v="United States"/>
    <s v="Los Angeles"/>
    <x v="1"/>
    <n v="90036"/>
    <x v="1"/>
    <x v="1"/>
    <x v="2"/>
    <n v="14.62"/>
    <n v="2"/>
    <n v="0"/>
    <n v="6.8714000000000004"/>
  </r>
  <r>
    <s v="Standard Class"/>
    <x v="0"/>
    <s v="United States"/>
    <s v="Fort Lauderdale"/>
    <x v="2"/>
    <n v="33311"/>
    <x v="0"/>
    <x v="0"/>
    <x v="3"/>
    <n v="957.57749999999999"/>
    <n v="5"/>
    <n v="0.45"/>
    <n v="-383.03100000000001"/>
  </r>
  <r>
    <s v="Standard Class"/>
    <x v="0"/>
    <s v="United States"/>
    <s v="Fort Lauderdale"/>
    <x v="2"/>
    <n v="33311"/>
    <x v="0"/>
    <x v="1"/>
    <x v="4"/>
    <n v="22.367999999999999"/>
    <n v="2"/>
    <n v="0.2"/>
    <n v="2.5164"/>
  </r>
  <r>
    <s v="Standard Class"/>
    <x v="0"/>
    <s v="United States"/>
    <s v="Los Angeles"/>
    <x v="1"/>
    <n v="90032"/>
    <x v="1"/>
    <x v="0"/>
    <x v="5"/>
    <n v="48.86"/>
    <n v="7"/>
    <n v="0"/>
    <n v="14.1694"/>
  </r>
  <r>
    <s v="Standard Class"/>
    <x v="0"/>
    <s v="United States"/>
    <s v="Los Angeles"/>
    <x v="1"/>
    <n v="90032"/>
    <x v="1"/>
    <x v="1"/>
    <x v="6"/>
    <n v="7.28"/>
    <n v="4"/>
    <n v="0"/>
    <n v="1.9656"/>
  </r>
  <r>
    <s v="Standard Class"/>
    <x v="0"/>
    <s v="United States"/>
    <s v="Los Angeles"/>
    <x v="1"/>
    <n v="90032"/>
    <x v="1"/>
    <x v="2"/>
    <x v="7"/>
    <n v="907.15200000000004"/>
    <n v="6"/>
    <n v="0.2"/>
    <n v="90.715199999999996"/>
  </r>
  <r>
    <s v="Standard Class"/>
    <x v="0"/>
    <s v="United States"/>
    <s v="Los Angeles"/>
    <x v="1"/>
    <n v="90032"/>
    <x v="1"/>
    <x v="1"/>
    <x v="8"/>
    <n v="18.504000000000001"/>
    <n v="3"/>
    <n v="0.2"/>
    <n v="5.7824999999999998"/>
  </r>
  <r>
    <s v="Standard Class"/>
    <x v="0"/>
    <s v="United States"/>
    <s v="Los Angeles"/>
    <x v="1"/>
    <n v="90032"/>
    <x v="1"/>
    <x v="1"/>
    <x v="9"/>
    <n v="114.9"/>
    <n v="5"/>
    <n v="0"/>
    <n v="34.47"/>
  </r>
  <r>
    <s v="Standard Class"/>
    <x v="0"/>
    <s v="United States"/>
    <s v="Los Angeles"/>
    <x v="1"/>
    <n v="90032"/>
    <x v="1"/>
    <x v="0"/>
    <x v="3"/>
    <n v="1706.184"/>
    <n v="9"/>
    <n v="0.2"/>
    <n v="85.309200000000004"/>
  </r>
  <r>
    <s v="Standard Class"/>
    <x v="0"/>
    <s v="United States"/>
    <s v="Los Angeles"/>
    <x v="1"/>
    <n v="90032"/>
    <x v="1"/>
    <x v="2"/>
    <x v="7"/>
    <n v="911.42399999999998"/>
    <n v="4"/>
    <n v="0.2"/>
    <n v="68.356800000000007"/>
  </r>
  <r>
    <s v="Standard Class"/>
    <x v="0"/>
    <s v="United States"/>
    <s v="Concord"/>
    <x v="3"/>
    <n v="28027"/>
    <x v="0"/>
    <x v="1"/>
    <x v="10"/>
    <n v="15.552"/>
    <n v="3"/>
    <n v="0.2"/>
    <n v="5.4432"/>
  </r>
  <r>
    <s v="Standard Class"/>
    <x v="0"/>
    <s v="United States"/>
    <s v="Seattle"/>
    <x v="4"/>
    <n v="98103"/>
    <x v="1"/>
    <x v="1"/>
    <x v="8"/>
    <n v="407.976"/>
    <n v="3"/>
    <n v="0.2"/>
    <n v="132.59219999999999"/>
  </r>
  <r>
    <s v="Standard Class"/>
    <x v="2"/>
    <s v="United States"/>
    <s v="Fort Worth"/>
    <x v="5"/>
    <n v="76106"/>
    <x v="2"/>
    <x v="1"/>
    <x v="9"/>
    <n v="68.81"/>
    <n v="5"/>
    <n v="0.8"/>
    <n v="-123.858"/>
  </r>
  <r>
    <s v="Standard Class"/>
    <x v="2"/>
    <s v="United States"/>
    <s v="Fort Worth"/>
    <x v="5"/>
    <n v="76106"/>
    <x v="2"/>
    <x v="1"/>
    <x v="8"/>
    <n v="2.544"/>
    <n v="3"/>
    <n v="0.8"/>
    <n v="-3.8159999999999998"/>
  </r>
  <r>
    <s v="Standard Class"/>
    <x v="0"/>
    <s v="United States"/>
    <s v="Madison"/>
    <x v="6"/>
    <n v="53711"/>
    <x v="2"/>
    <x v="1"/>
    <x v="4"/>
    <n v="665.88"/>
    <n v="6"/>
    <n v="0"/>
    <n v="13.317600000000001"/>
  </r>
  <r>
    <s v="Second Class"/>
    <x v="0"/>
    <s v="United States"/>
    <s v="West Jordan"/>
    <x v="7"/>
    <n v="84084"/>
    <x v="1"/>
    <x v="1"/>
    <x v="4"/>
    <n v="55.5"/>
    <n v="2"/>
    <n v="0"/>
    <n v="9.99"/>
  </r>
  <r>
    <s v="Second Class"/>
    <x v="0"/>
    <s v="United States"/>
    <s v="San Francisco"/>
    <x v="1"/>
    <n v="94109"/>
    <x v="1"/>
    <x v="1"/>
    <x v="6"/>
    <n v="8.56"/>
    <n v="2"/>
    <n v="0"/>
    <n v="2.4824000000000002"/>
  </r>
  <r>
    <s v="Second Class"/>
    <x v="0"/>
    <s v="United States"/>
    <s v="San Francisco"/>
    <x v="1"/>
    <n v="94109"/>
    <x v="1"/>
    <x v="2"/>
    <x v="7"/>
    <n v="213.48"/>
    <n v="3"/>
    <n v="0.2"/>
    <n v="16.010999999999999"/>
  </r>
  <r>
    <s v="Second Class"/>
    <x v="0"/>
    <s v="United States"/>
    <s v="San Francisco"/>
    <x v="1"/>
    <n v="94109"/>
    <x v="1"/>
    <x v="1"/>
    <x v="8"/>
    <n v="22.72"/>
    <n v="4"/>
    <n v="0.2"/>
    <n v="7.3840000000000003"/>
  </r>
  <r>
    <s v="Standard Class"/>
    <x v="1"/>
    <s v="United States"/>
    <s v="Fremont"/>
    <x v="8"/>
    <n v="68025"/>
    <x v="2"/>
    <x v="1"/>
    <x v="6"/>
    <n v="19.46"/>
    <n v="7"/>
    <n v="0"/>
    <n v="5.0595999999999997"/>
  </r>
  <r>
    <s v="Standard Class"/>
    <x v="1"/>
    <s v="United States"/>
    <s v="Fremont"/>
    <x v="8"/>
    <n v="68025"/>
    <x v="2"/>
    <x v="1"/>
    <x v="9"/>
    <n v="60.34"/>
    <n v="7"/>
    <n v="0"/>
    <n v="15.6884"/>
  </r>
  <r>
    <s v="Second Class"/>
    <x v="0"/>
    <s v="United States"/>
    <s v="Philadelphia"/>
    <x v="9"/>
    <n v="19140"/>
    <x v="3"/>
    <x v="0"/>
    <x v="1"/>
    <n v="71.372"/>
    <n v="2"/>
    <n v="0.3"/>
    <n v="-1.0196000000000001"/>
  </r>
  <r>
    <s v="Standard Class"/>
    <x v="0"/>
    <s v="United States"/>
    <s v="Orem"/>
    <x v="7"/>
    <n v="84057"/>
    <x v="1"/>
    <x v="0"/>
    <x v="3"/>
    <n v="1044.6300000000001"/>
    <n v="3"/>
    <n v="0"/>
    <n v="240.26490000000001"/>
  </r>
  <r>
    <s v="Second Class"/>
    <x v="0"/>
    <s v="United States"/>
    <s v="Los Angeles"/>
    <x v="1"/>
    <n v="90049"/>
    <x v="1"/>
    <x v="1"/>
    <x v="8"/>
    <n v="11.648"/>
    <n v="2"/>
    <n v="0.2"/>
    <n v="4.2224000000000004"/>
  </r>
  <r>
    <s v="Second Class"/>
    <x v="0"/>
    <s v="United States"/>
    <s v="Los Angeles"/>
    <x v="1"/>
    <n v="90049"/>
    <x v="1"/>
    <x v="2"/>
    <x v="11"/>
    <n v="90.57"/>
    <n v="3"/>
    <n v="0"/>
    <n v="11.774100000000001"/>
  </r>
  <r>
    <s v="Standard Class"/>
    <x v="0"/>
    <s v="United States"/>
    <s v="Philadelphia"/>
    <x v="9"/>
    <n v="19140"/>
    <x v="3"/>
    <x v="0"/>
    <x v="0"/>
    <n v="3083.43"/>
    <n v="7"/>
    <n v="0.5"/>
    <n v="-1665.0522000000001"/>
  </r>
  <r>
    <s v="Standard Class"/>
    <x v="0"/>
    <s v="United States"/>
    <s v="Philadelphia"/>
    <x v="9"/>
    <n v="19140"/>
    <x v="3"/>
    <x v="1"/>
    <x v="8"/>
    <n v="9.6180000000000003"/>
    <n v="2"/>
    <n v="0.7"/>
    <n v="-7.0532000000000004"/>
  </r>
  <r>
    <s v="Standard Class"/>
    <x v="0"/>
    <s v="United States"/>
    <s v="Philadelphia"/>
    <x v="9"/>
    <n v="19140"/>
    <x v="3"/>
    <x v="0"/>
    <x v="5"/>
    <n v="124.2"/>
    <n v="3"/>
    <n v="0.2"/>
    <n v="15.525"/>
  </r>
  <r>
    <s v="Standard Class"/>
    <x v="0"/>
    <s v="United States"/>
    <s v="Philadelphia"/>
    <x v="9"/>
    <n v="19140"/>
    <x v="3"/>
    <x v="1"/>
    <x v="12"/>
    <n v="3.2639999999999998"/>
    <n v="2"/>
    <n v="0.2"/>
    <n v="1.1015999999999999"/>
  </r>
  <r>
    <s v="Standard Class"/>
    <x v="0"/>
    <s v="United States"/>
    <s v="Philadelphia"/>
    <x v="9"/>
    <n v="19140"/>
    <x v="3"/>
    <x v="1"/>
    <x v="6"/>
    <n v="86.304000000000002"/>
    <n v="6"/>
    <n v="0.2"/>
    <n v="9.7091999999999992"/>
  </r>
  <r>
    <s v="Standard Class"/>
    <x v="0"/>
    <s v="United States"/>
    <s v="Philadelphia"/>
    <x v="9"/>
    <n v="19140"/>
    <x v="3"/>
    <x v="1"/>
    <x v="8"/>
    <n v="6.8579999999999997"/>
    <n v="6"/>
    <n v="0.7"/>
    <n v="-5.7149999999999999"/>
  </r>
  <r>
    <s v="Standard Class"/>
    <x v="0"/>
    <s v="United States"/>
    <s v="Philadelphia"/>
    <x v="9"/>
    <n v="19140"/>
    <x v="3"/>
    <x v="1"/>
    <x v="6"/>
    <n v="15.76"/>
    <n v="2"/>
    <n v="0.2"/>
    <n v="3.5459999999999998"/>
  </r>
  <r>
    <s v="Second Class"/>
    <x v="2"/>
    <s v="United States"/>
    <s v="Houston"/>
    <x v="5"/>
    <n v="77095"/>
    <x v="2"/>
    <x v="1"/>
    <x v="10"/>
    <n v="29.472000000000001"/>
    <n v="3"/>
    <n v="0.2"/>
    <n v="9.9467999999999996"/>
  </r>
  <r>
    <s v="First Class"/>
    <x v="1"/>
    <s v="United States"/>
    <s v="Richardson"/>
    <x v="5"/>
    <n v="75080"/>
    <x v="2"/>
    <x v="2"/>
    <x v="7"/>
    <n v="1097.5440000000001"/>
    <n v="7"/>
    <n v="0.2"/>
    <n v="123.47369999999999"/>
  </r>
  <r>
    <s v="First Class"/>
    <x v="1"/>
    <s v="United States"/>
    <s v="Richardson"/>
    <x v="5"/>
    <n v="75080"/>
    <x v="2"/>
    <x v="0"/>
    <x v="5"/>
    <n v="190.92"/>
    <n v="5"/>
    <n v="0.6"/>
    <n v="-147.96299999999999"/>
  </r>
  <r>
    <s v="Standard Class"/>
    <x v="2"/>
    <s v="United States"/>
    <s v="Houston"/>
    <x v="5"/>
    <n v="77041"/>
    <x v="2"/>
    <x v="1"/>
    <x v="12"/>
    <n v="113.328"/>
    <n v="9"/>
    <n v="0.2"/>
    <n v="35.414999999999999"/>
  </r>
  <r>
    <s v="Standard Class"/>
    <x v="2"/>
    <s v="United States"/>
    <s v="Houston"/>
    <x v="5"/>
    <n v="77041"/>
    <x v="2"/>
    <x v="0"/>
    <x v="0"/>
    <n v="532.39919999999995"/>
    <n v="3"/>
    <n v="0.32"/>
    <n v="-46.976399999999998"/>
  </r>
  <r>
    <s v="Standard Class"/>
    <x v="2"/>
    <s v="United States"/>
    <s v="Houston"/>
    <x v="5"/>
    <n v="77041"/>
    <x v="2"/>
    <x v="0"/>
    <x v="1"/>
    <n v="212.05799999999999"/>
    <n v="3"/>
    <n v="0.3"/>
    <n v="-15.147"/>
  </r>
  <r>
    <s v="Standard Class"/>
    <x v="2"/>
    <s v="United States"/>
    <s v="Houston"/>
    <x v="5"/>
    <n v="77041"/>
    <x v="2"/>
    <x v="2"/>
    <x v="7"/>
    <n v="371.16800000000001"/>
    <n v="4"/>
    <n v="0.2"/>
    <n v="41.756399999999999"/>
  </r>
  <r>
    <s v="Standard Class"/>
    <x v="1"/>
    <s v="United States"/>
    <s v="Naperville"/>
    <x v="10"/>
    <n v="60540"/>
    <x v="2"/>
    <x v="2"/>
    <x v="7"/>
    <n v="147.16800000000001"/>
    <n v="4"/>
    <n v="0.2"/>
    <n v="16.5564"/>
  </r>
  <r>
    <s v="Standard Class"/>
    <x v="1"/>
    <s v="United States"/>
    <s v="Los Angeles"/>
    <x v="1"/>
    <n v="90049"/>
    <x v="1"/>
    <x v="1"/>
    <x v="4"/>
    <n v="77.88"/>
    <n v="2"/>
    <n v="0"/>
    <n v="3.8940000000000001"/>
  </r>
  <r>
    <s v="Standard Class"/>
    <x v="1"/>
    <s v="United States"/>
    <s v="Melbourne"/>
    <x v="2"/>
    <n v="32935"/>
    <x v="0"/>
    <x v="1"/>
    <x v="4"/>
    <n v="95.616"/>
    <n v="2"/>
    <n v="0.2"/>
    <n v="9.5616000000000003"/>
  </r>
  <r>
    <s v="First Class"/>
    <x v="1"/>
    <s v="United States"/>
    <s v="Eagan"/>
    <x v="11"/>
    <n v="55122"/>
    <x v="2"/>
    <x v="2"/>
    <x v="11"/>
    <n v="45.98"/>
    <n v="2"/>
    <n v="0"/>
    <n v="19.7714"/>
  </r>
  <r>
    <s v="First Class"/>
    <x v="1"/>
    <s v="United States"/>
    <s v="Eagan"/>
    <x v="11"/>
    <n v="55122"/>
    <x v="2"/>
    <x v="1"/>
    <x v="8"/>
    <n v="17.46"/>
    <n v="2"/>
    <n v="0"/>
    <n v="8.2062000000000008"/>
  </r>
  <r>
    <s v="Second Class"/>
    <x v="0"/>
    <s v="United States"/>
    <s v="Westland"/>
    <x v="12"/>
    <n v="48185"/>
    <x v="2"/>
    <x v="1"/>
    <x v="4"/>
    <n v="211.96"/>
    <n v="4"/>
    <n v="0"/>
    <n v="8.4784000000000006"/>
  </r>
  <r>
    <s v="Standard Class"/>
    <x v="0"/>
    <s v="United States"/>
    <s v="Dover"/>
    <x v="13"/>
    <n v="19901"/>
    <x v="3"/>
    <x v="2"/>
    <x v="11"/>
    <n v="45"/>
    <n v="3"/>
    <n v="0"/>
    <n v="4.95"/>
  </r>
  <r>
    <s v="Standard Class"/>
    <x v="0"/>
    <s v="United States"/>
    <s v="Dover"/>
    <x v="13"/>
    <n v="19901"/>
    <x v="3"/>
    <x v="2"/>
    <x v="7"/>
    <n v="21.8"/>
    <n v="2"/>
    <n v="0"/>
    <n v="6.1040000000000001"/>
  </r>
  <r>
    <s v="Standard Class"/>
    <x v="0"/>
    <s v="United States"/>
    <s v="New Albany"/>
    <x v="14"/>
    <n v="47150"/>
    <x v="2"/>
    <x v="1"/>
    <x v="8"/>
    <n v="38.22"/>
    <n v="6"/>
    <n v="0"/>
    <n v="17.9634"/>
  </r>
  <r>
    <s v="Standard Class"/>
    <x v="0"/>
    <s v="United States"/>
    <s v="New Albany"/>
    <x v="14"/>
    <n v="47150"/>
    <x v="2"/>
    <x v="1"/>
    <x v="2"/>
    <n v="75.180000000000007"/>
    <n v="6"/>
    <n v="0"/>
    <n v="35.334600000000002"/>
  </r>
  <r>
    <s v="Standard Class"/>
    <x v="0"/>
    <s v="United States"/>
    <s v="New Albany"/>
    <x v="14"/>
    <n v="47150"/>
    <x v="2"/>
    <x v="0"/>
    <x v="5"/>
    <n v="6.16"/>
    <n v="2"/>
    <n v="0"/>
    <n v="2.9567999999999999"/>
  </r>
  <r>
    <s v="Standard Class"/>
    <x v="0"/>
    <s v="United States"/>
    <s v="New Albany"/>
    <x v="14"/>
    <n v="47150"/>
    <x v="2"/>
    <x v="0"/>
    <x v="1"/>
    <n v="89.99"/>
    <n v="1"/>
    <n v="0"/>
    <n v="17.098099999999999"/>
  </r>
  <r>
    <s v="Standard Class"/>
    <x v="1"/>
    <s v="United States"/>
    <s v="New York City"/>
    <x v="15"/>
    <n v="10024"/>
    <x v="3"/>
    <x v="1"/>
    <x v="13"/>
    <n v="15.26"/>
    <n v="7"/>
    <n v="0"/>
    <n v="6.2565999999999997"/>
  </r>
  <r>
    <s v="Standard Class"/>
    <x v="1"/>
    <s v="United States"/>
    <s v="New York City"/>
    <x v="15"/>
    <n v="10024"/>
    <x v="3"/>
    <x v="2"/>
    <x v="7"/>
    <n v="1029.95"/>
    <n v="5"/>
    <n v="0"/>
    <n v="298.68549999999999"/>
  </r>
  <r>
    <s v="First Class"/>
    <x v="0"/>
    <s v="United States"/>
    <s v="Troy"/>
    <x v="15"/>
    <n v="12180"/>
    <x v="3"/>
    <x v="1"/>
    <x v="4"/>
    <n v="208.56"/>
    <n v="6"/>
    <n v="0"/>
    <n v="52.14"/>
  </r>
  <r>
    <s v="First Class"/>
    <x v="0"/>
    <s v="United States"/>
    <s v="Troy"/>
    <x v="15"/>
    <n v="12180"/>
    <x v="3"/>
    <x v="1"/>
    <x v="10"/>
    <n v="32.4"/>
    <n v="5"/>
    <n v="0"/>
    <n v="15.552"/>
  </r>
  <r>
    <s v="First Class"/>
    <x v="0"/>
    <s v="United States"/>
    <s v="Troy"/>
    <x v="15"/>
    <n v="12180"/>
    <x v="3"/>
    <x v="0"/>
    <x v="1"/>
    <n v="319.41000000000003"/>
    <n v="5"/>
    <n v="0.1"/>
    <n v="7.0979999999999999"/>
  </r>
  <r>
    <s v="First Class"/>
    <x v="0"/>
    <s v="United States"/>
    <s v="Troy"/>
    <x v="15"/>
    <n v="12180"/>
    <x v="3"/>
    <x v="1"/>
    <x v="10"/>
    <n v="14.56"/>
    <n v="2"/>
    <n v="0"/>
    <n v="6.9888000000000003"/>
  </r>
  <r>
    <s v="First Class"/>
    <x v="0"/>
    <s v="United States"/>
    <s v="Troy"/>
    <x v="15"/>
    <n v="12180"/>
    <x v="3"/>
    <x v="2"/>
    <x v="11"/>
    <n v="30"/>
    <n v="2"/>
    <n v="0"/>
    <n v="3.3"/>
  </r>
  <r>
    <s v="First Class"/>
    <x v="0"/>
    <s v="United States"/>
    <s v="Troy"/>
    <x v="15"/>
    <n v="12180"/>
    <x v="3"/>
    <x v="1"/>
    <x v="8"/>
    <n v="48.48"/>
    <n v="4"/>
    <n v="0.2"/>
    <n v="16.361999999999998"/>
  </r>
  <r>
    <s v="First Class"/>
    <x v="0"/>
    <s v="United States"/>
    <s v="Troy"/>
    <x v="15"/>
    <n v="12180"/>
    <x v="3"/>
    <x v="1"/>
    <x v="6"/>
    <n v="1.68"/>
    <n v="1"/>
    <n v="0"/>
    <n v="0.84"/>
  </r>
  <r>
    <s v="Standard Class"/>
    <x v="0"/>
    <s v="United States"/>
    <s v="Los Angeles"/>
    <x v="1"/>
    <n v="90004"/>
    <x v="1"/>
    <x v="2"/>
    <x v="11"/>
    <n v="13.98"/>
    <n v="2"/>
    <n v="0"/>
    <n v="6.1512000000000002"/>
  </r>
  <r>
    <s v="Standard Class"/>
    <x v="0"/>
    <s v="United States"/>
    <s v="Los Angeles"/>
    <x v="1"/>
    <n v="90004"/>
    <x v="1"/>
    <x v="1"/>
    <x v="8"/>
    <n v="25.824000000000002"/>
    <n v="6"/>
    <n v="0.2"/>
    <n v="9.3612000000000002"/>
  </r>
  <r>
    <s v="Standard Class"/>
    <x v="0"/>
    <s v="United States"/>
    <s v="Los Angeles"/>
    <x v="1"/>
    <n v="90004"/>
    <x v="1"/>
    <x v="1"/>
    <x v="10"/>
    <n v="146.72999999999999"/>
    <n v="3"/>
    <n v="0"/>
    <n v="68.963099999999997"/>
  </r>
  <r>
    <s v="Standard Class"/>
    <x v="0"/>
    <s v="United States"/>
    <s v="Los Angeles"/>
    <x v="1"/>
    <n v="90004"/>
    <x v="1"/>
    <x v="0"/>
    <x v="5"/>
    <n v="79.760000000000005"/>
    <n v="4"/>
    <n v="0"/>
    <n v="22.332799999999999"/>
  </r>
  <r>
    <s v="Standard Class"/>
    <x v="2"/>
    <s v="United States"/>
    <s v="Chicago"/>
    <x v="10"/>
    <n v="60610"/>
    <x v="2"/>
    <x v="0"/>
    <x v="1"/>
    <n v="213.11500000000001"/>
    <n v="5"/>
    <n v="0.3"/>
    <n v="-15.2225"/>
  </r>
  <r>
    <s v="Standard Class"/>
    <x v="1"/>
    <s v="United States"/>
    <s v="Gilbert"/>
    <x v="16"/>
    <n v="85234"/>
    <x v="1"/>
    <x v="1"/>
    <x v="6"/>
    <n v="1113.0239999999999"/>
    <n v="8"/>
    <n v="0.2"/>
    <n v="111.30240000000001"/>
  </r>
  <r>
    <s v="Standard Class"/>
    <x v="1"/>
    <s v="United States"/>
    <s v="Gilbert"/>
    <x v="16"/>
    <n v="85234"/>
    <x v="1"/>
    <x v="2"/>
    <x v="7"/>
    <n v="167.96799999999999"/>
    <n v="4"/>
    <n v="0.2"/>
    <n v="62.988"/>
  </r>
  <r>
    <s v="First Class"/>
    <x v="0"/>
    <s v="United States"/>
    <s v="Springfield"/>
    <x v="17"/>
    <n v="22153"/>
    <x v="0"/>
    <x v="1"/>
    <x v="10"/>
    <n v="75.88"/>
    <n v="2"/>
    <n v="0"/>
    <n v="35.663600000000002"/>
  </r>
  <r>
    <s v="Standard Class"/>
    <x v="0"/>
    <s v="United States"/>
    <s v="New York City"/>
    <x v="15"/>
    <n v="10009"/>
    <x v="3"/>
    <x v="1"/>
    <x v="8"/>
    <n v="4.6159999999999997"/>
    <n v="1"/>
    <n v="0.2"/>
    <n v="1.7310000000000001"/>
  </r>
  <r>
    <s v="Second Class"/>
    <x v="0"/>
    <s v="United States"/>
    <s v="Jackson"/>
    <x v="12"/>
    <n v="49201"/>
    <x v="2"/>
    <x v="1"/>
    <x v="10"/>
    <n v="19.05"/>
    <n v="3"/>
    <n v="0"/>
    <n v="8.7629999999999999"/>
  </r>
  <r>
    <s v="Standard Class"/>
    <x v="0"/>
    <s v="United States"/>
    <s v="Memphis"/>
    <x v="18"/>
    <n v="38109"/>
    <x v="0"/>
    <x v="0"/>
    <x v="1"/>
    <n v="831.93600000000004"/>
    <n v="8"/>
    <n v="0.2"/>
    <n v="-114.3912"/>
  </r>
  <r>
    <s v="Standard Class"/>
    <x v="0"/>
    <s v="United States"/>
    <s v="Memphis"/>
    <x v="18"/>
    <n v="38109"/>
    <x v="0"/>
    <x v="0"/>
    <x v="5"/>
    <n v="97.04"/>
    <n v="2"/>
    <n v="0.2"/>
    <n v="1.2130000000000001"/>
  </r>
  <r>
    <s v="Standard Class"/>
    <x v="0"/>
    <s v="United States"/>
    <s v="Memphis"/>
    <x v="18"/>
    <n v="38109"/>
    <x v="0"/>
    <x v="1"/>
    <x v="4"/>
    <n v="72.784000000000006"/>
    <n v="1"/>
    <n v="0.2"/>
    <n v="-18.196000000000002"/>
  </r>
  <r>
    <s v="First Class"/>
    <x v="1"/>
    <s v="United States"/>
    <s v="Houston"/>
    <x v="5"/>
    <n v="77041"/>
    <x v="2"/>
    <x v="1"/>
    <x v="8"/>
    <n v="1.248"/>
    <n v="3"/>
    <n v="0.8"/>
    <n v="-1.9343999999999999"/>
  </r>
  <r>
    <s v="First Class"/>
    <x v="1"/>
    <s v="United States"/>
    <s v="Houston"/>
    <x v="5"/>
    <n v="77041"/>
    <x v="2"/>
    <x v="0"/>
    <x v="5"/>
    <n v="9.7080000000000002"/>
    <n v="3"/>
    <n v="0.6"/>
    <n v="-5.8247999999999998"/>
  </r>
  <r>
    <s v="First Class"/>
    <x v="1"/>
    <s v="United States"/>
    <s v="Houston"/>
    <x v="5"/>
    <n v="77041"/>
    <x v="2"/>
    <x v="1"/>
    <x v="4"/>
    <n v="27.24"/>
    <n v="3"/>
    <n v="0.2"/>
    <n v="2.7240000000000002"/>
  </r>
  <r>
    <s v="Second Class"/>
    <x v="0"/>
    <s v="United States"/>
    <s v="Houston"/>
    <x v="5"/>
    <n v="77070"/>
    <x v="2"/>
    <x v="0"/>
    <x v="5"/>
    <n v="19.3"/>
    <n v="5"/>
    <n v="0.6"/>
    <n v="-14.475"/>
  </r>
  <r>
    <s v="First Class"/>
    <x v="1"/>
    <s v="United States"/>
    <s v="Decatur"/>
    <x v="19"/>
    <n v="35601"/>
    <x v="0"/>
    <x v="1"/>
    <x v="9"/>
    <n v="208.16"/>
    <n v="1"/>
    <n v="0"/>
    <n v="56.203200000000002"/>
  </r>
  <r>
    <s v="First Class"/>
    <x v="1"/>
    <s v="United States"/>
    <s v="Decatur"/>
    <x v="19"/>
    <n v="35601"/>
    <x v="0"/>
    <x v="1"/>
    <x v="8"/>
    <n v="16.739999999999998"/>
    <n v="3"/>
    <n v="0"/>
    <n v="8.0351999999999997"/>
  </r>
  <r>
    <s v="Standard Class"/>
    <x v="0"/>
    <s v="United States"/>
    <s v="San Francisco"/>
    <x v="1"/>
    <n v="94122"/>
    <x v="1"/>
    <x v="1"/>
    <x v="6"/>
    <n v="14.9"/>
    <n v="5"/>
    <n v="0"/>
    <n v="4.1719999999999997"/>
  </r>
  <r>
    <s v="Standard Class"/>
    <x v="0"/>
    <s v="United States"/>
    <s v="San Francisco"/>
    <x v="1"/>
    <n v="94122"/>
    <x v="1"/>
    <x v="1"/>
    <x v="4"/>
    <n v="21.39"/>
    <n v="1"/>
    <n v="0"/>
    <n v="6.2031000000000001"/>
  </r>
  <r>
    <s v="Standard Class"/>
    <x v="1"/>
    <s v="United States"/>
    <s v="Durham"/>
    <x v="3"/>
    <n v="27707"/>
    <x v="0"/>
    <x v="1"/>
    <x v="12"/>
    <n v="200.98400000000001"/>
    <n v="7"/>
    <n v="0.2"/>
    <n v="62.807499999999997"/>
  </r>
  <r>
    <s v="First Class"/>
    <x v="2"/>
    <s v="United States"/>
    <s v="Chicago"/>
    <x v="10"/>
    <n v="60623"/>
    <x v="2"/>
    <x v="1"/>
    <x v="4"/>
    <n v="230.376"/>
    <n v="3"/>
    <n v="0.2"/>
    <n v="-48.954900000000002"/>
  </r>
  <r>
    <s v="Second Class"/>
    <x v="0"/>
    <s v="United States"/>
    <s v="Columbia"/>
    <x v="20"/>
    <n v="29203"/>
    <x v="0"/>
    <x v="0"/>
    <x v="1"/>
    <n v="301.95999999999998"/>
    <n v="2"/>
    <n v="0"/>
    <n v="33.215600000000002"/>
  </r>
  <r>
    <s v="Standard Class"/>
    <x v="0"/>
    <s v="United States"/>
    <s v="Rochester"/>
    <x v="11"/>
    <n v="55901"/>
    <x v="2"/>
    <x v="2"/>
    <x v="11"/>
    <n v="19.989999999999998"/>
    <n v="1"/>
    <n v="0"/>
    <n v="6.7965999999999998"/>
  </r>
  <r>
    <s v="Standard Class"/>
    <x v="0"/>
    <s v="United States"/>
    <s v="Rochester"/>
    <x v="11"/>
    <n v="55901"/>
    <x v="2"/>
    <x v="1"/>
    <x v="2"/>
    <n v="6.16"/>
    <n v="2"/>
    <n v="0"/>
    <n v="2.9567999999999999"/>
  </r>
  <r>
    <s v="Second Class"/>
    <x v="2"/>
    <s v="United States"/>
    <s v="Houston"/>
    <x v="5"/>
    <n v="77095"/>
    <x v="2"/>
    <x v="1"/>
    <x v="4"/>
    <n v="158.36799999999999"/>
    <n v="7"/>
    <n v="0.2"/>
    <n v="13.857200000000001"/>
  </r>
  <r>
    <s v="Standard Class"/>
    <x v="1"/>
    <s v="United States"/>
    <s v="Los Angeles"/>
    <x v="1"/>
    <n v="90036"/>
    <x v="1"/>
    <x v="1"/>
    <x v="6"/>
    <n v="20.100000000000001"/>
    <n v="3"/>
    <n v="0"/>
    <n v="6.633"/>
  </r>
  <r>
    <s v="Standard Class"/>
    <x v="1"/>
    <s v="United States"/>
    <s v="Los Angeles"/>
    <x v="1"/>
    <n v="90036"/>
    <x v="1"/>
    <x v="2"/>
    <x v="7"/>
    <n v="73.584000000000003"/>
    <n v="2"/>
    <n v="0.2"/>
    <n v="8.2782"/>
  </r>
  <r>
    <s v="Standard Class"/>
    <x v="1"/>
    <s v="United States"/>
    <s v="Los Angeles"/>
    <x v="1"/>
    <n v="90036"/>
    <x v="1"/>
    <x v="1"/>
    <x v="10"/>
    <n v="6.48"/>
    <n v="1"/>
    <n v="0"/>
    <n v="3.1103999999999998"/>
  </r>
  <r>
    <s v="Second Class"/>
    <x v="0"/>
    <s v="United States"/>
    <s v="Minneapolis"/>
    <x v="11"/>
    <n v="55407"/>
    <x v="2"/>
    <x v="1"/>
    <x v="10"/>
    <n v="12.96"/>
    <n v="2"/>
    <n v="0"/>
    <n v="6.2207999999999997"/>
  </r>
  <r>
    <s v="Second Class"/>
    <x v="0"/>
    <s v="United States"/>
    <s v="Minneapolis"/>
    <x v="11"/>
    <n v="55407"/>
    <x v="2"/>
    <x v="0"/>
    <x v="5"/>
    <n v="53.34"/>
    <n v="3"/>
    <n v="0"/>
    <n v="16.535399999999999"/>
  </r>
  <r>
    <s v="Second Class"/>
    <x v="0"/>
    <s v="United States"/>
    <s v="Minneapolis"/>
    <x v="11"/>
    <n v="55407"/>
    <x v="2"/>
    <x v="1"/>
    <x v="8"/>
    <n v="32.96"/>
    <n v="2"/>
    <n v="0"/>
    <n v="16.150400000000001"/>
  </r>
  <r>
    <s v="Standard Class"/>
    <x v="2"/>
    <s v="United States"/>
    <s v="Portland"/>
    <x v="21"/>
    <n v="97206"/>
    <x v="1"/>
    <x v="1"/>
    <x v="8"/>
    <n v="5.6820000000000004"/>
    <n v="1"/>
    <n v="0.7"/>
    <n v="-3.7879999999999998"/>
  </r>
  <r>
    <s v="Second Class"/>
    <x v="2"/>
    <s v="United States"/>
    <s v="New York City"/>
    <x v="15"/>
    <n v="10009"/>
    <x v="3"/>
    <x v="0"/>
    <x v="5"/>
    <n v="96.53"/>
    <n v="7"/>
    <n v="0"/>
    <n v="40.5426"/>
  </r>
  <r>
    <s v="First Class"/>
    <x v="0"/>
    <s v="United States"/>
    <s v="San Francisco"/>
    <x v="1"/>
    <n v="94122"/>
    <x v="1"/>
    <x v="1"/>
    <x v="8"/>
    <n v="51.311999999999998"/>
    <n v="3"/>
    <n v="0.2"/>
    <n v="17.959199999999999"/>
  </r>
  <r>
    <s v="Standard Class"/>
    <x v="1"/>
    <s v="United States"/>
    <s v="Saint Paul"/>
    <x v="11"/>
    <n v="55106"/>
    <x v="2"/>
    <x v="1"/>
    <x v="9"/>
    <n v="77.88"/>
    <n v="6"/>
    <n v="0"/>
    <n v="22.5852"/>
  </r>
  <r>
    <s v="Standard Class"/>
    <x v="2"/>
    <s v="United States"/>
    <s v="Chicago"/>
    <x v="10"/>
    <n v="60610"/>
    <x v="2"/>
    <x v="1"/>
    <x v="10"/>
    <n v="64.623999999999995"/>
    <n v="7"/>
    <n v="0.2"/>
    <n v="22.618400000000001"/>
  </r>
  <r>
    <s v="Standard Class"/>
    <x v="2"/>
    <s v="United States"/>
    <s v="Chicago"/>
    <x v="10"/>
    <n v="60610"/>
    <x v="2"/>
    <x v="2"/>
    <x v="11"/>
    <n v="95.975999999999999"/>
    <n v="3"/>
    <n v="0.2"/>
    <n v="-10.7973"/>
  </r>
  <r>
    <s v="Standard Class"/>
    <x v="2"/>
    <s v="United States"/>
    <s v="Chicago"/>
    <x v="10"/>
    <n v="60610"/>
    <x v="2"/>
    <x v="1"/>
    <x v="8"/>
    <n v="1.788"/>
    <n v="3"/>
    <n v="0.8"/>
    <n v="-3.0396000000000001"/>
  </r>
  <r>
    <s v="Second Class"/>
    <x v="0"/>
    <s v="United States"/>
    <s v="Rochester"/>
    <x v="11"/>
    <n v="55901"/>
    <x v="2"/>
    <x v="1"/>
    <x v="10"/>
    <n v="23.92"/>
    <n v="4"/>
    <n v="0"/>
    <n v="11.720800000000001"/>
  </r>
  <r>
    <s v="Standard Class"/>
    <x v="0"/>
    <s v="United States"/>
    <s v="Aurora"/>
    <x v="22"/>
    <n v="80013"/>
    <x v="1"/>
    <x v="2"/>
    <x v="11"/>
    <n v="238.89599999999999"/>
    <n v="6"/>
    <n v="0.2"/>
    <n v="-26.875800000000002"/>
  </r>
  <r>
    <s v="Standard Class"/>
    <x v="0"/>
    <s v="United States"/>
    <s v="Aurora"/>
    <x v="22"/>
    <n v="80013"/>
    <x v="1"/>
    <x v="0"/>
    <x v="5"/>
    <n v="102.36"/>
    <n v="3"/>
    <n v="0.2"/>
    <n v="-3.8384999999999998"/>
  </r>
  <r>
    <s v="Standard Class"/>
    <x v="0"/>
    <s v="United States"/>
    <s v="Aurora"/>
    <x v="22"/>
    <n v="80013"/>
    <x v="1"/>
    <x v="1"/>
    <x v="8"/>
    <n v="36.881999999999998"/>
    <n v="3"/>
    <n v="0.7"/>
    <n v="-25.817399999999999"/>
  </r>
  <r>
    <s v="Standard Class"/>
    <x v="0"/>
    <s v="United States"/>
    <s v="Charlotte"/>
    <x v="3"/>
    <n v="28205"/>
    <x v="0"/>
    <x v="2"/>
    <x v="11"/>
    <n v="74.111999999999995"/>
    <n v="8"/>
    <n v="0.2"/>
    <n v="17.601600000000001"/>
  </r>
  <r>
    <s v="Standard Class"/>
    <x v="0"/>
    <s v="United States"/>
    <s v="Charlotte"/>
    <x v="3"/>
    <n v="28205"/>
    <x v="0"/>
    <x v="2"/>
    <x v="7"/>
    <n v="27.992000000000001"/>
    <n v="1"/>
    <n v="0.2"/>
    <n v="2.0994000000000002"/>
  </r>
  <r>
    <s v="Standard Class"/>
    <x v="0"/>
    <s v="United States"/>
    <s v="Charlotte"/>
    <x v="3"/>
    <n v="28205"/>
    <x v="0"/>
    <x v="1"/>
    <x v="6"/>
    <n v="3.3039999999999998"/>
    <n v="1"/>
    <n v="0.2"/>
    <n v="1.0738000000000001"/>
  </r>
  <r>
    <s v="Standard Class"/>
    <x v="2"/>
    <s v="United States"/>
    <s v="Orland Park"/>
    <x v="10"/>
    <n v="60462"/>
    <x v="2"/>
    <x v="2"/>
    <x v="11"/>
    <n v="339.96"/>
    <n v="5"/>
    <n v="0.2"/>
    <n v="67.992000000000004"/>
  </r>
  <r>
    <s v="Standard Class"/>
    <x v="1"/>
    <s v="United States"/>
    <s v="New York City"/>
    <x v="15"/>
    <n v="10035"/>
    <x v="3"/>
    <x v="0"/>
    <x v="5"/>
    <n v="41.96"/>
    <n v="2"/>
    <n v="0"/>
    <n v="10.909599999999999"/>
  </r>
  <r>
    <s v="Standard Class"/>
    <x v="0"/>
    <s v="United States"/>
    <s v="Urbandale"/>
    <x v="23"/>
    <n v="50322"/>
    <x v="2"/>
    <x v="1"/>
    <x v="6"/>
    <n v="75.959999999999994"/>
    <n v="2"/>
    <n v="0"/>
    <n v="22.788"/>
  </r>
  <r>
    <s v="Standard Class"/>
    <x v="0"/>
    <s v="United States"/>
    <s v="Urbandale"/>
    <x v="23"/>
    <n v="50322"/>
    <x v="2"/>
    <x v="1"/>
    <x v="8"/>
    <n v="27.24"/>
    <n v="6"/>
    <n v="0"/>
    <n v="13.3476"/>
  </r>
  <r>
    <s v="Second Class"/>
    <x v="0"/>
    <s v="United States"/>
    <s v="Columbus"/>
    <x v="24"/>
    <n v="43229"/>
    <x v="3"/>
    <x v="1"/>
    <x v="13"/>
    <n v="40.095999999999997"/>
    <n v="14"/>
    <n v="0.2"/>
    <n v="14.534800000000001"/>
  </r>
  <r>
    <s v="Second Class"/>
    <x v="0"/>
    <s v="United States"/>
    <s v="Columbus"/>
    <x v="24"/>
    <n v="43229"/>
    <x v="3"/>
    <x v="1"/>
    <x v="12"/>
    <n v="4.72"/>
    <n v="2"/>
    <n v="0.2"/>
    <n v="1.6519999999999999"/>
  </r>
  <r>
    <s v="Second Class"/>
    <x v="0"/>
    <s v="United States"/>
    <s v="Columbus"/>
    <x v="24"/>
    <n v="43229"/>
    <x v="3"/>
    <x v="1"/>
    <x v="10"/>
    <n v="23.975999999999999"/>
    <n v="3"/>
    <n v="0.2"/>
    <n v="7.4924999999999997"/>
  </r>
  <r>
    <s v="Second Class"/>
    <x v="0"/>
    <s v="United States"/>
    <s v="Columbus"/>
    <x v="24"/>
    <n v="43229"/>
    <x v="3"/>
    <x v="1"/>
    <x v="12"/>
    <n v="130.464"/>
    <n v="6"/>
    <n v="0.2"/>
    <n v="44.031599999999997"/>
  </r>
  <r>
    <s v="Standard Class"/>
    <x v="0"/>
    <s v="United States"/>
    <s v="Seattle"/>
    <x v="4"/>
    <n v="98103"/>
    <x v="1"/>
    <x v="0"/>
    <x v="3"/>
    <n v="787.53"/>
    <n v="3"/>
    <n v="0"/>
    <n v="165.38130000000001"/>
  </r>
  <r>
    <s v="Standard Class"/>
    <x v="1"/>
    <s v="United States"/>
    <s v="Bristol"/>
    <x v="18"/>
    <n v="37620"/>
    <x v="0"/>
    <x v="1"/>
    <x v="8"/>
    <n v="157.79400000000001"/>
    <n v="1"/>
    <n v="0.7"/>
    <n v="-115.71559999999999"/>
  </r>
  <r>
    <s v="First Class"/>
    <x v="0"/>
    <s v="United States"/>
    <s v="Wilmington"/>
    <x v="13"/>
    <n v="19805"/>
    <x v="3"/>
    <x v="0"/>
    <x v="5"/>
    <n v="47.04"/>
    <n v="3"/>
    <n v="0"/>
    <n v="18.345600000000001"/>
  </r>
  <r>
    <s v="First Class"/>
    <x v="0"/>
    <s v="United States"/>
    <s v="Wilmington"/>
    <x v="13"/>
    <n v="19805"/>
    <x v="3"/>
    <x v="1"/>
    <x v="8"/>
    <n v="30.84"/>
    <n v="4"/>
    <n v="0"/>
    <n v="13.878"/>
  </r>
  <r>
    <s v="First Class"/>
    <x v="0"/>
    <s v="United States"/>
    <s v="Wilmington"/>
    <x v="13"/>
    <n v="19805"/>
    <x v="3"/>
    <x v="1"/>
    <x v="4"/>
    <n v="226.56"/>
    <n v="6"/>
    <n v="0"/>
    <n v="63.436799999999998"/>
  </r>
  <r>
    <s v="First Class"/>
    <x v="0"/>
    <s v="United States"/>
    <s v="Wilmington"/>
    <x v="13"/>
    <n v="19805"/>
    <x v="3"/>
    <x v="1"/>
    <x v="12"/>
    <n v="115.02"/>
    <n v="9"/>
    <n v="0"/>
    <n v="51.759"/>
  </r>
  <r>
    <s v="First Class"/>
    <x v="0"/>
    <s v="United States"/>
    <s v="Wilmington"/>
    <x v="13"/>
    <n v="19805"/>
    <x v="3"/>
    <x v="2"/>
    <x v="7"/>
    <n v="68.040000000000006"/>
    <n v="7"/>
    <n v="0"/>
    <n v="19.7316"/>
  </r>
  <r>
    <s v="Second Class"/>
    <x v="2"/>
    <s v="United States"/>
    <s v="Houston"/>
    <x v="5"/>
    <n v="77041"/>
    <x v="2"/>
    <x v="0"/>
    <x v="1"/>
    <n v="600.55799999999999"/>
    <n v="3"/>
    <n v="0.3"/>
    <n v="-8.5793999999999997"/>
  </r>
  <r>
    <s v="Standard Class"/>
    <x v="0"/>
    <s v="United States"/>
    <s v="Bloomington"/>
    <x v="10"/>
    <n v="61701"/>
    <x v="2"/>
    <x v="0"/>
    <x v="3"/>
    <n v="617.70000000000005"/>
    <n v="6"/>
    <n v="0.5"/>
    <n v="-407.68200000000002"/>
  </r>
  <r>
    <s v="Standard Class"/>
    <x v="0"/>
    <s v="United States"/>
    <s v="Phoenix"/>
    <x v="16"/>
    <n v="85023"/>
    <x v="1"/>
    <x v="1"/>
    <x v="8"/>
    <n v="2.3879999999999999"/>
    <n v="2"/>
    <n v="0.7"/>
    <n v="-1.8308"/>
  </r>
  <r>
    <s v="Standard Class"/>
    <x v="0"/>
    <s v="United States"/>
    <s v="Phoenix"/>
    <x v="16"/>
    <n v="85023"/>
    <x v="1"/>
    <x v="1"/>
    <x v="4"/>
    <n v="243.99199999999999"/>
    <n v="7"/>
    <n v="0.2"/>
    <n v="30.498999999999999"/>
  </r>
  <r>
    <s v="Second Class"/>
    <x v="2"/>
    <s v="United States"/>
    <s v="Los Angeles"/>
    <x v="1"/>
    <n v="90004"/>
    <x v="1"/>
    <x v="0"/>
    <x v="1"/>
    <n v="81.424000000000007"/>
    <n v="2"/>
    <n v="0.2"/>
    <n v="-9.1601999999999997"/>
  </r>
  <r>
    <s v="Second Class"/>
    <x v="2"/>
    <s v="United States"/>
    <s v="Los Angeles"/>
    <x v="1"/>
    <n v="90004"/>
    <x v="1"/>
    <x v="0"/>
    <x v="5"/>
    <n v="238.56"/>
    <n v="3"/>
    <n v="0"/>
    <n v="26.241599999999998"/>
  </r>
  <r>
    <s v="First Class"/>
    <x v="1"/>
    <s v="United States"/>
    <s v="Columbus"/>
    <x v="24"/>
    <n v="43229"/>
    <x v="3"/>
    <x v="2"/>
    <x v="7"/>
    <n v="59.97"/>
    <n v="5"/>
    <n v="0.4"/>
    <n v="-11.994"/>
  </r>
  <r>
    <s v="First Class"/>
    <x v="1"/>
    <s v="United States"/>
    <s v="Columbus"/>
    <x v="24"/>
    <n v="43229"/>
    <x v="3"/>
    <x v="1"/>
    <x v="10"/>
    <n v="78.304000000000002"/>
    <n v="2"/>
    <n v="0.2"/>
    <n v="29.364000000000001"/>
  </r>
  <r>
    <s v="First Class"/>
    <x v="1"/>
    <s v="United States"/>
    <s v="Columbus"/>
    <x v="24"/>
    <n v="43229"/>
    <x v="3"/>
    <x v="1"/>
    <x v="13"/>
    <n v="21.456"/>
    <n v="9"/>
    <n v="0.2"/>
    <n v="6.9732000000000003"/>
  </r>
  <r>
    <s v="Standard Class"/>
    <x v="0"/>
    <s v="United States"/>
    <s v="Roseville"/>
    <x v="1"/>
    <n v="95661"/>
    <x v="1"/>
    <x v="1"/>
    <x v="10"/>
    <n v="20.04"/>
    <n v="3"/>
    <n v="0"/>
    <n v="9.6191999999999993"/>
  </r>
  <r>
    <s v="Standard Class"/>
    <x v="0"/>
    <s v="United States"/>
    <s v="Roseville"/>
    <x v="1"/>
    <n v="95661"/>
    <x v="1"/>
    <x v="1"/>
    <x v="10"/>
    <n v="35.44"/>
    <n v="1"/>
    <n v="0"/>
    <n v="16.6568"/>
  </r>
  <r>
    <s v="Standard Class"/>
    <x v="0"/>
    <s v="United States"/>
    <s v="Roseville"/>
    <x v="1"/>
    <n v="95661"/>
    <x v="1"/>
    <x v="1"/>
    <x v="6"/>
    <n v="11.52"/>
    <n v="4"/>
    <n v="0"/>
    <n v="3.456"/>
  </r>
  <r>
    <s v="Standard Class"/>
    <x v="0"/>
    <s v="United States"/>
    <s v="Roseville"/>
    <x v="1"/>
    <n v="95661"/>
    <x v="1"/>
    <x v="1"/>
    <x v="13"/>
    <n v="4.0199999999999996"/>
    <n v="2"/>
    <n v="0"/>
    <n v="1.9698"/>
  </r>
  <r>
    <s v="Standard Class"/>
    <x v="0"/>
    <s v="United States"/>
    <s v="Roseville"/>
    <x v="1"/>
    <n v="95661"/>
    <x v="1"/>
    <x v="1"/>
    <x v="8"/>
    <n v="76.176000000000002"/>
    <n v="3"/>
    <n v="0.2"/>
    <n v="26.6616"/>
  </r>
  <r>
    <s v="Standard Class"/>
    <x v="0"/>
    <s v="United States"/>
    <s v="Roseville"/>
    <x v="1"/>
    <n v="95661"/>
    <x v="1"/>
    <x v="1"/>
    <x v="14"/>
    <n v="65.88"/>
    <n v="6"/>
    <n v="0"/>
    <n v="18.446400000000001"/>
  </r>
  <r>
    <s v="Standard Class"/>
    <x v="0"/>
    <s v="United States"/>
    <s v="Roseville"/>
    <x v="1"/>
    <n v="95661"/>
    <x v="1"/>
    <x v="0"/>
    <x v="5"/>
    <n v="43.12"/>
    <n v="14"/>
    <n v="0"/>
    <n v="20.697600000000001"/>
  </r>
  <r>
    <s v="Second Class"/>
    <x v="1"/>
    <s v="United States"/>
    <s v="Philadelphia"/>
    <x v="9"/>
    <n v="19140"/>
    <x v="3"/>
    <x v="0"/>
    <x v="5"/>
    <n v="82.8"/>
    <n v="2"/>
    <n v="0.2"/>
    <n v="10.35"/>
  </r>
  <r>
    <s v="Standard Class"/>
    <x v="1"/>
    <s v="United States"/>
    <s v="San Francisco"/>
    <x v="1"/>
    <n v="94122"/>
    <x v="1"/>
    <x v="1"/>
    <x v="6"/>
    <n v="8.82"/>
    <n v="3"/>
    <n v="0"/>
    <n v="2.3814000000000002"/>
  </r>
  <r>
    <s v="Standard Class"/>
    <x v="1"/>
    <s v="United States"/>
    <s v="San Francisco"/>
    <x v="1"/>
    <n v="94122"/>
    <x v="1"/>
    <x v="1"/>
    <x v="12"/>
    <n v="10.86"/>
    <n v="3"/>
    <n v="0"/>
    <n v="5.1041999999999996"/>
  </r>
  <r>
    <s v="Standard Class"/>
    <x v="1"/>
    <s v="United States"/>
    <s v="San Francisco"/>
    <x v="1"/>
    <n v="94122"/>
    <x v="1"/>
    <x v="1"/>
    <x v="10"/>
    <n v="143.69999999999999"/>
    <n v="3"/>
    <n v="0"/>
    <n v="68.975999999999999"/>
  </r>
  <r>
    <s v="Standard Class"/>
    <x v="0"/>
    <s v="United States"/>
    <s v="Independence"/>
    <x v="25"/>
    <n v="64055"/>
    <x v="2"/>
    <x v="1"/>
    <x v="9"/>
    <n v="839.43"/>
    <n v="3"/>
    <n v="0"/>
    <n v="218.2518"/>
  </r>
  <r>
    <s v="Standard Class"/>
    <x v="0"/>
    <s v="United States"/>
    <s v="Pasadena"/>
    <x v="1"/>
    <n v="91104"/>
    <x v="1"/>
    <x v="1"/>
    <x v="4"/>
    <n v="671.93"/>
    <n v="7"/>
    <n v="0"/>
    <n v="20.157900000000001"/>
  </r>
  <r>
    <s v="Standard Class"/>
    <x v="2"/>
    <s v="United States"/>
    <s v="Newark"/>
    <x v="24"/>
    <n v="43055"/>
    <x v="3"/>
    <x v="0"/>
    <x v="5"/>
    <n v="93.888000000000005"/>
    <n v="4"/>
    <n v="0.2"/>
    <n v="12.909599999999999"/>
  </r>
  <r>
    <s v="Standard Class"/>
    <x v="1"/>
    <s v="United States"/>
    <s v="Franklin"/>
    <x v="6"/>
    <n v="53132"/>
    <x v="2"/>
    <x v="2"/>
    <x v="7"/>
    <n v="384.45"/>
    <n v="11"/>
    <n v="0"/>
    <n v="103.8015"/>
  </r>
  <r>
    <s v="Standard Class"/>
    <x v="1"/>
    <s v="United States"/>
    <s v="Franklin"/>
    <x v="6"/>
    <n v="53132"/>
    <x v="2"/>
    <x v="2"/>
    <x v="7"/>
    <n v="149.97"/>
    <n v="3"/>
    <n v="0"/>
    <n v="5.9988000000000001"/>
  </r>
  <r>
    <s v="Standard Class"/>
    <x v="1"/>
    <s v="United States"/>
    <s v="Franklin"/>
    <x v="6"/>
    <n v="53132"/>
    <x v="2"/>
    <x v="0"/>
    <x v="1"/>
    <n v="1951.84"/>
    <n v="8"/>
    <n v="0"/>
    <n v="585.55200000000002"/>
  </r>
  <r>
    <s v="Standard Class"/>
    <x v="1"/>
    <s v="United States"/>
    <s v="Franklin"/>
    <x v="6"/>
    <n v="53132"/>
    <x v="2"/>
    <x v="1"/>
    <x v="8"/>
    <n v="171.55"/>
    <n v="5"/>
    <n v="0"/>
    <n v="80.628500000000003"/>
  </r>
  <r>
    <s v="First Class"/>
    <x v="2"/>
    <s v="United States"/>
    <s v="Scottsdale"/>
    <x v="16"/>
    <n v="85254"/>
    <x v="1"/>
    <x v="1"/>
    <x v="9"/>
    <n v="157.91999999999999"/>
    <n v="5"/>
    <n v="0.2"/>
    <n v="17.765999999999998"/>
  </r>
  <r>
    <s v="First Class"/>
    <x v="2"/>
    <s v="United States"/>
    <s v="Scottsdale"/>
    <x v="16"/>
    <n v="85254"/>
    <x v="1"/>
    <x v="2"/>
    <x v="7"/>
    <n v="203.184"/>
    <n v="2"/>
    <n v="0.2"/>
    <n v="15.238799999999999"/>
  </r>
  <r>
    <s v="First Class"/>
    <x v="1"/>
    <s v="United States"/>
    <s v="San Jose"/>
    <x v="1"/>
    <n v="95123"/>
    <x v="1"/>
    <x v="1"/>
    <x v="10"/>
    <n v="58.38"/>
    <n v="7"/>
    <n v="0"/>
    <n v="26.271000000000001"/>
  </r>
  <r>
    <s v="First Class"/>
    <x v="1"/>
    <s v="United States"/>
    <s v="San Jose"/>
    <x v="1"/>
    <n v="95123"/>
    <x v="1"/>
    <x v="1"/>
    <x v="10"/>
    <n v="105.52"/>
    <n v="4"/>
    <n v="0"/>
    <n v="48.539200000000001"/>
  </r>
  <r>
    <s v="First Class"/>
    <x v="1"/>
    <s v="United States"/>
    <s v="San Jose"/>
    <x v="1"/>
    <n v="95123"/>
    <x v="1"/>
    <x v="1"/>
    <x v="4"/>
    <n v="80.88"/>
    <n v="6"/>
    <n v="0"/>
    <n v="21.0288"/>
  </r>
  <r>
    <s v="Standard Class"/>
    <x v="2"/>
    <s v="United States"/>
    <s v="Seattle"/>
    <x v="4"/>
    <n v="98105"/>
    <x v="1"/>
    <x v="1"/>
    <x v="6"/>
    <n v="6.63"/>
    <n v="3"/>
    <n v="0"/>
    <n v="1.7901"/>
  </r>
  <r>
    <s v="Second Class"/>
    <x v="0"/>
    <s v="United States"/>
    <s v="Seattle"/>
    <x v="4"/>
    <n v="98115"/>
    <x v="1"/>
    <x v="0"/>
    <x v="1"/>
    <n v="457.56799999999998"/>
    <n v="2"/>
    <n v="0.2"/>
    <n v="51.476399999999998"/>
  </r>
  <r>
    <s v="Standard Class"/>
    <x v="0"/>
    <s v="United States"/>
    <s v="Edmond"/>
    <x v="26"/>
    <n v="73034"/>
    <x v="2"/>
    <x v="1"/>
    <x v="2"/>
    <n v="14.62"/>
    <n v="2"/>
    <n v="0"/>
    <n v="6.8714000000000004"/>
  </r>
  <r>
    <s v="Standard Class"/>
    <x v="0"/>
    <s v="United States"/>
    <s v="Edmond"/>
    <x v="26"/>
    <n v="73034"/>
    <x v="2"/>
    <x v="2"/>
    <x v="7"/>
    <n v="944.93"/>
    <n v="7"/>
    <n v="0"/>
    <n v="236.23249999999999"/>
  </r>
  <r>
    <s v="First Class"/>
    <x v="0"/>
    <s v="United States"/>
    <s v="Los Angeles"/>
    <x v="1"/>
    <n v="90045"/>
    <x v="1"/>
    <x v="1"/>
    <x v="10"/>
    <n v="5.98"/>
    <n v="1"/>
    <n v="0"/>
    <n v="2.6909999999999998"/>
  </r>
  <r>
    <s v="Second Class"/>
    <x v="0"/>
    <s v="United States"/>
    <s v="Philadelphia"/>
    <x v="9"/>
    <n v="19134"/>
    <x v="3"/>
    <x v="2"/>
    <x v="11"/>
    <n v="54.384"/>
    <n v="2"/>
    <n v="0.2"/>
    <n v="1.3595999999999999"/>
  </r>
  <r>
    <s v="Standard Class"/>
    <x v="0"/>
    <s v="United States"/>
    <s v="Carlsbad"/>
    <x v="27"/>
    <n v="88220"/>
    <x v="1"/>
    <x v="1"/>
    <x v="12"/>
    <n v="28.4"/>
    <n v="5"/>
    <n v="0"/>
    <n v="13.348000000000001"/>
  </r>
  <r>
    <s v="Standard Class"/>
    <x v="0"/>
    <s v="United States"/>
    <s v="Seattle"/>
    <x v="4"/>
    <n v="98115"/>
    <x v="1"/>
    <x v="1"/>
    <x v="8"/>
    <n v="27.68"/>
    <n v="2"/>
    <n v="0.2"/>
    <n v="9.6880000000000006"/>
  </r>
  <r>
    <s v="Standard Class"/>
    <x v="0"/>
    <s v="United States"/>
    <s v="San Antonio"/>
    <x v="5"/>
    <n v="78207"/>
    <x v="2"/>
    <x v="1"/>
    <x v="6"/>
    <n v="9.9359999999999999"/>
    <n v="3"/>
    <n v="0.2"/>
    <n v="2.7324000000000002"/>
  </r>
  <r>
    <s v="Standard Class"/>
    <x v="0"/>
    <s v="United States"/>
    <s v="San Antonio"/>
    <x v="5"/>
    <n v="78207"/>
    <x v="2"/>
    <x v="2"/>
    <x v="15"/>
    <n v="8159.9520000000002"/>
    <n v="8"/>
    <n v="0.4"/>
    <n v="-1359.992"/>
  </r>
  <r>
    <s v="Standard Class"/>
    <x v="0"/>
    <s v="United States"/>
    <s v="San Antonio"/>
    <x v="5"/>
    <n v="78207"/>
    <x v="2"/>
    <x v="1"/>
    <x v="4"/>
    <n v="275.928"/>
    <n v="3"/>
    <n v="0.2"/>
    <n v="-58.634700000000002"/>
  </r>
  <r>
    <s v="Standard Class"/>
    <x v="0"/>
    <s v="United States"/>
    <s v="San Antonio"/>
    <x v="5"/>
    <n v="78207"/>
    <x v="2"/>
    <x v="0"/>
    <x v="1"/>
    <n v="1740.06"/>
    <n v="9"/>
    <n v="0.3"/>
    <n v="-24.858000000000001"/>
  </r>
  <r>
    <s v="Standard Class"/>
    <x v="0"/>
    <s v="United States"/>
    <s v="San Antonio"/>
    <x v="5"/>
    <n v="78207"/>
    <x v="2"/>
    <x v="1"/>
    <x v="6"/>
    <n v="32.064"/>
    <n v="6"/>
    <n v="0.2"/>
    <n v="6.8136000000000001"/>
  </r>
  <r>
    <s v="Standard Class"/>
    <x v="0"/>
    <s v="United States"/>
    <s v="San Antonio"/>
    <x v="5"/>
    <n v="78207"/>
    <x v="2"/>
    <x v="1"/>
    <x v="9"/>
    <n v="177.98"/>
    <n v="5"/>
    <n v="0.8"/>
    <n v="-453.84899999999999"/>
  </r>
  <r>
    <s v="Standard Class"/>
    <x v="0"/>
    <s v="United States"/>
    <s v="San Antonio"/>
    <x v="5"/>
    <n v="78207"/>
    <x v="2"/>
    <x v="2"/>
    <x v="7"/>
    <n v="143.976"/>
    <n v="3"/>
    <n v="0.2"/>
    <n v="8.9984999999999999"/>
  </r>
  <r>
    <s v="Standard Class"/>
    <x v="0"/>
    <s v="United States"/>
    <s v="Los Angeles"/>
    <x v="1"/>
    <n v="90004"/>
    <x v="1"/>
    <x v="1"/>
    <x v="10"/>
    <n v="20.94"/>
    <n v="3"/>
    <n v="0"/>
    <n v="9.8417999999999992"/>
  </r>
  <r>
    <s v="Standard Class"/>
    <x v="0"/>
    <s v="United States"/>
    <s v="Los Angeles"/>
    <x v="1"/>
    <n v="90004"/>
    <x v="1"/>
    <x v="1"/>
    <x v="10"/>
    <n v="110.96"/>
    <n v="2"/>
    <n v="0"/>
    <n v="53.260800000000003"/>
  </r>
  <r>
    <s v="Standard Class"/>
    <x v="0"/>
    <s v="United States"/>
    <s v="Los Angeles"/>
    <x v="1"/>
    <n v="90004"/>
    <x v="1"/>
    <x v="0"/>
    <x v="1"/>
    <n v="340.14400000000001"/>
    <n v="7"/>
    <n v="0.2"/>
    <n v="21.259"/>
  </r>
  <r>
    <s v="Standard Class"/>
    <x v="1"/>
    <s v="United States"/>
    <s v="Chicago"/>
    <x v="10"/>
    <n v="60623"/>
    <x v="2"/>
    <x v="1"/>
    <x v="9"/>
    <n v="52.448"/>
    <n v="2"/>
    <n v="0.8"/>
    <n v="-131.12"/>
  </r>
  <r>
    <s v="Standard Class"/>
    <x v="1"/>
    <s v="United States"/>
    <s v="Chicago"/>
    <x v="10"/>
    <n v="60623"/>
    <x v="2"/>
    <x v="1"/>
    <x v="2"/>
    <n v="20.16"/>
    <n v="4"/>
    <n v="0.2"/>
    <n v="6.5519999999999996"/>
  </r>
  <r>
    <s v="Second Class"/>
    <x v="0"/>
    <s v="United States"/>
    <s v="Houston"/>
    <x v="5"/>
    <n v="77036"/>
    <x v="2"/>
    <x v="1"/>
    <x v="9"/>
    <n v="97.263999999999996"/>
    <n v="4"/>
    <n v="0.8"/>
    <n v="-243.16"/>
  </r>
  <r>
    <s v="Second Class"/>
    <x v="0"/>
    <s v="United States"/>
    <s v="Newark"/>
    <x v="24"/>
    <n v="43055"/>
    <x v="3"/>
    <x v="0"/>
    <x v="1"/>
    <n v="396.80200000000002"/>
    <n v="7"/>
    <n v="0.3"/>
    <n v="-11.337199999999999"/>
  </r>
  <r>
    <s v="Second Class"/>
    <x v="0"/>
    <s v="United States"/>
    <s v="Newark"/>
    <x v="24"/>
    <n v="43055"/>
    <x v="3"/>
    <x v="1"/>
    <x v="14"/>
    <n v="15.88"/>
    <n v="5"/>
    <n v="0.2"/>
    <n v="-3.7715000000000001"/>
  </r>
  <r>
    <s v="Standard Class"/>
    <x v="2"/>
    <s v="United States"/>
    <s v="New York City"/>
    <x v="15"/>
    <n v="10009"/>
    <x v="3"/>
    <x v="1"/>
    <x v="6"/>
    <n v="3.28"/>
    <n v="1"/>
    <n v="0"/>
    <n v="1.4104000000000001"/>
  </r>
  <r>
    <s v="Second Class"/>
    <x v="1"/>
    <s v="United States"/>
    <s v="Decatur"/>
    <x v="10"/>
    <n v="62521"/>
    <x v="2"/>
    <x v="1"/>
    <x v="4"/>
    <n v="24.815999999999999"/>
    <n v="2"/>
    <n v="0.2"/>
    <n v="1.8612"/>
  </r>
  <r>
    <s v="Second Class"/>
    <x v="1"/>
    <s v="United States"/>
    <s v="Decatur"/>
    <x v="10"/>
    <n v="62521"/>
    <x v="2"/>
    <x v="2"/>
    <x v="11"/>
    <n v="408.74400000000003"/>
    <n v="7"/>
    <n v="0.2"/>
    <n v="76.639499999999998"/>
  </r>
  <r>
    <s v="Second Class"/>
    <x v="2"/>
    <s v="United States"/>
    <s v="Monroe"/>
    <x v="28"/>
    <n v="71203"/>
    <x v="0"/>
    <x v="2"/>
    <x v="7"/>
    <n v="503.96"/>
    <n v="4"/>
    <n v="0"/>
    <n v="131.02959999999999"/>
  </r>
  <r>
    <s v="Second Class"/>
    <x v="2"/>
    <s v="United States"/>
    <s v="Monroe"/>
    <x v="28"/>
    <n v="71203"/>
    <x v="0"/>
    <x v="2"/>
    <x v="7"/>
    <n v="149.94999999999999"/>
    <n v="5"/>
    <n v="0"/>
    <n v="41.985999999999997"/>
  </r>
  <r>
    <s v="Second Class"/>
    <x v="2"/>
    <s v="United States"/>
    <s v="Monroe"/>
    <x v="28"/>
    <n v="71203"/>
    <x v="0"/>
    <x v="2"/>
    <x v="11"/>
    <n v="29"/>
    <n v="2"/>
    <n v="0"/>
    <n v="7.25"/>
  </r>
  <r>
    <s v="Standard Class"/>
    <x v="0"/>
    <s v="United States"/>
    <s v="Fairfield"/>
    <x v="29"/>
    <n v="6824"/>
    <x v="3"/>
    <x v="1"/>
    <x v="8"/>
    <n v="7.16"/>
    <n v="2"/>
    <n v="0"/>
    <n v="3.4367999999999999"/>
  </r>
  <r>
    <s v="Standard Class"/>
    <x v="2"/>
    <s v="United States"/>
    <s v="Los Angeles"/>
    <x v="1"/>
    <n v="90032"/>
    <x v="1"/>
    <x v="2"/>
    <x v="11"/>
    <n v="176.8"/>
    <n v="8"/>
    <n v="0"/>
    <n v="22.984000000000002"/>
  </r>
  <r>
    <s v="Standard Class"/>
    <x v="1"/>
    <s v="United States"/>
    <s v="Grand Prairie"/>
    <x v="5"/>
    <n v="75051"/>
    <x v="2"/>
    <x v="1"/>
    <x v="4"/>
    <n v="37.223999999999997"/>
    <n v="3"/>
    <n v="0.2"/>
    <n v="3.7223999999999999"/>
  </r>
  <r>
    <s v="Standard Class"/>
    <x v="1"/>
    <s v="United States"/>
    <s v="Grand Prairie"/>
    <x v="5"/>
    <n v="75051"/>
    <x v="2"/>
    <x v="1"/>
    <x v="10"/>
    <n v="20.015999999999998"/>
    <n v="3"/>
    <n v="0.2"/>
    <n v="6.2549999999999999"/>
  </r>
  <r>
    <s v="First Class"/>
    <x v="2"/>
    <s v="United States"/>
    <s v="New York City"/>
    <x v="15"/>
    <n v="10035"/>
    <x v="3"/>
    <x v="0"/>
    <x v="0"/>
    <n v="899.13599999999997"/>
    <n v="4"/>
    <n v="0.2"/>
    <n v="112.392"/>
  </r>
  <r>
    <s v="First Class"/>
    <x v="2"/>
    <s v="United States"/>
    <s v="New York City"/>
    <x v="15"/>
    <n v="10035"/>
    <x v="3"/>
    <x v="2"/>
    <x v="7"/>
    <n v="71.760000000000005"/>
    <n v="6"/>
    <n v="0"/>
    <n v="20.0928"/>
  </r>
  <r>
    <s v="First Class"/>
    <x v="2"/>
    <s v="United States"/>
    <s v="New York City"/>
    <x v="15"/>
    <n v="10035"/>
    <x v="3"/>
    <x v="1"/>
    <x v="10"/>
    <n v="51.84"/>
    <n v="8"/>
    <n v="0"/>
    <n v="24.883199999999999"/>
  </r>
  <r>
    <s v="First Class"/>
    <x v="2"/>
    <s v="United States"/>
    <s v="New York City"/>
    <x v="15"/>
    <n v="10035"/>
    <x v="3"/>
    <x v="0"/>
    <x v="0"/>
    <n v="626.35199999999998"/>
    <n v="3"/>
    <n v="0.2"/>
    <n v="46.976399999999998"/>
  </r>
  <r>
    <s v="First Class"/>
    <x v="2"/>
    <s v="United States"/>
    <s v="New York City"/>
    <x v="15"/>
    <n v="10035"/>
    <x v="3"/>
    <x v="1"/>
    <x v="6"/>
    <n v="19.899999999999999"/>
    <n v="5"/>
    <n v="0"/>
    <n v="6.5670000000000002"/>
  </r>
  <r>
    <s v="Standard Class"/>
    <x v="1"/>
    <s v="United States"/>
    <s v="Redlands"/>
    <x v="1"/>
    <n v="92374"/>
    <x v="1"/>
    <x v="1"/>
    <x v="12"/>
    <n v="14.28"/>
    <n v="7"/>
    <n v="0"/>
    <n v="6.7115999999999998"/>
  </r>
  <r>
    <s v="Standard Class"/>
    <x v="0"/>
    <s v="United States"/>
    <s v="Hamilton"/>
    <x v="24"/>
    <n v="45011"/>
    <x v="3"/>
    <x v="1"/>
    <x v="6"/>
    <n v="7.4080000000000004"/>
    <n v="2"/>
    <n v="0.2"/>
    <n v="1.2038"/>
  </r>
  <r>
    <s v="Standard Class"/>
    <x v="0"/>
    <s v="United States"/>
    <s v="Hamilton"/>
    <x v="24"/>
    <n v="45011"/>
    <x v="3"/>
    <x v="1"/>
    <x v="6"/>
    <n v="6.048"/>
    <n v="3"/>
    <n v="0.2"/>
    <n v="1.5875999999999999"/>
  </r>
  <r>
    <s v="Standard Class"/>
    <x v="2"/>
    <s v="United States"/>
    <s v="Westfield"/>
    <x v="30"/>
    <n v="7090"/>
    <x v="3"/>
    <x v="1"/>
    <x v="4"/>
    <n v="46.26"/>
    <n v="3"/>
    <n v="0"/>
    <n v="12.0276"/>
  </r>
  <r>
    <s v="Standard Class"/>
    <x v="1"/>
    <s v="United States"/>
    <s v="Philadelphia"/>
    <x v="9"/>
    <n v="19120"/>
    <x v="3"/>
    <x v="1"/>
    <x v="8"/>
    <n v="2.9460000000000002"/>
    <n v="2"/>
    <n v="0.7"/>
    <n v="-2.2585999999999999"/>
  </r>
  <r>
    <s v="Standard Class"/>
    <x v="1"/>
    <s v="United States"/>
    <s v="Philadelphia"/>
    <x v="9"/>
    <n v="19120"/>
    <x v="3"/>
    <x v="1"/>
    <x v="10"/>
    <n v="16.056000000000001"/>
    <n v="3"/>
    <n v="0.2"/>
    <n v="5.8202999999999996"/>
  </r>
  <r>
    <s v="Standard Class"/>
    <x v="0"/>
    <s v="United States"/>
    <s v="Akron"/>
    <x v="24"/>
    <n v="44312"/>
    <x v="3"/>
    <x v="1"/>
    <x v="10"/>
    <n v="21.744"/>
    <n v="3"/>
    <n v="0.2"/>
    <n v="6.7949999999999999"/>
  </r>
  <r>
    <s v="First Class"/>
    <x v="0"/>
    <s v="United States"/>
    <s v="Denver"/>
    <x v="22"/>
    <n v="80219"/>
    <x v="1"/>
    <x v="0"/>
    <x v="3"/>
    <n v="218.75"/>
    <n v="2"/>
    <n v="0.5"/>
    <n v="-161.875"/>
  </r>
  <r>
    <s v="First Class"/>
    <x v="0"/>
    <s v="United States"/>
    <s v="Denver"/>
    <x v="22"/>
    <n v="80219"/>
    <x v="1"/>
    <x v="1"/>
    <x v="9"/>
    <n v="2.6"/>
    <n v="1"/>
    <n v="0.2"/>
    <n v="0.29249999999999998"/>
  </r>
  <r>
    <s v="Second Class"/>
    <x v="0"/>
    <s v="United States"/>
    <s v="Dallas"/>
    <x v="5"/>
    <n v="75220"/>
    <x v="2"/>
    <x v="1"/>
    <x v="9"/>
    <n v="66.284000000000006"/>
    <n v="2"/>
    <n v="0.8"/>
    <n v="-178.96680000000001"/>
  </r>
  <r>
    <s v="Standard Class"/>
    <x v="1"/>
    <s v="United States"/>
    <s v="Franklin"/>
    <x v="18"/>
    <n v="37064"/>
    <x v="0"/>
    <x v="0"/>
    <x v="5"/>
    <n v="35.167999999999999"/>
    <n v="7"/>
    <n v="0.2"/>
    <n v="9.6712000000000007"/>
  </r>
  <r>
    <s v="Standard Class"/>
    <x v="0"/>
    <s v="United States"/>
    <s v="Whittier"/>
    <x v="1"/>
    <n v="90604"/>
    <x v="1"/>
    <x v="2"/>
    <x v="7"/>
    <n v="444.76799999999997"/>
    <n v="4"/>
    <n v="0.2"/>
    <n v="44.476799999999997"/>
  </r>
  <r>
    <s v="Standard Class"/>
    <x v="0"/>
    <s v="United States"/>
    <s v="Saginaw"/>
    <x v="12"/>
    <n v="48601"/>
    <x v="2"/>
    <x v="1"/>
    <x v="4"/>
    <n v="83.92"/>
    <n v="4"/>
    <n v="0"/>
    <n v="5.8743999999999996"/>
  </r>
  <r>
    <s v="Standard Class"/>
    <x v="0"/>
    <s v="United States"/>
    <s v="Saginaw"/>
    <x v="12"/>
    <n v="48601"/>
    <x v="2"/>
    <x v="2"/>
    <x v="7"/>
    <n v="131.97999999999999"/>
    <n v="2"/>
    <n v="0"/>
    <n v="35.634599999999999"/>
  </r>
  <r>
    <s v="Standard Class"/>
    <x v="0"/>
    <s v="United States"/>
    <s v="Saginaw"/>
    <x v="12"/>
    <n v="48601"/>
    <x v="2"/>
    <x v="1"/>
    <x v="8"/>
    <n v="15.92"/>
    <n v="4"/>
    <n v="0"/>
    <n v="7.4824000000000002"/>
  </r>
  <r>
    <s v="Standard Class"/>
    <x v="0"/>
    <s v="United States"/>
    <s v="Saginaw"/>
    <x v="12"/>
    <n v="48601"/>
    <x v="2"/>
    <x v="1"/>
    <x v="13"/>
    <n v="52.29"/>
    <n v="9"/>
    <n v="0"/>
    <n v="16.209900000000001"/>
  </r>
  <r>
    <s v="Standard Class"/>
    <x v="0"/>
    <s v="United States"/>
    <s v="Saginaw"/>
    <x v="12"/>
    <n v="48601"/>
    <x v="2"/>
    <x v="1"/>
    <x v="4"/>
    <n v="91.99"/>
    <n v="1"/>
    <n v="0"/>
    <n v="3.6796000000000002"/>
  </r>
  <r>
    <s v="Second Class"/>
    <x v="1"/>
    <s v="United States"/>
    <s v="Dallas"/>
    <x v="5"/>
    <n v="75220"/>
    <x v="2"/>
    <x v="2"/>
    <x v="11"/>
    <n v="20.8"/>
    <n v="2"/>
    <n v="0.2"/>
    <n v="6.5"/>
  </r>
  <r>
    <s v="Standard Class"/>
    <x v="1"/>
    <s v="United States"/>
    <s v="Medina"/>
    <x v="24"/>
    <n v="44256"/>
    <x v="3"/>
    <x v="1"/>
    <x v="2"/>
    <n v="23.68"/>
    <n v="2"/>
    <n v="0.2"/>
    <n v="8.8800000000000008"/>
  </r>
  <r>
    <s v="Standard Class"/>
    <x v="1"/>
    <s v="United States"/>
    <s v="Medina"/>
    <x v="24"/>
    <n v="44256"/>
    <x v="3"/>
    <x v="0"/>
    <x v="0"/>
    <n v="452.45"/>
    <n v="5"/>
    <n v="0.5"/>
    <n v="-244.32300000000001"/>
  </r>
  <r>
    <s v="Standard Class"/>
    <x v="1"/>
    <s v="United States"/>
    <s v="Medina"/>
    <x v="24"/>
    <n v="44256"/>
    <x v="3"/>
    <x v="2"/>
    <x v="7"/>
    <n v="62.981999999999999"/>
    <n v="3"/>
    <n v="0.4"/>
    <n v="-14.6958"/>
  </r>
  <r>
    <s v="Standard Class"/>
    <x v="1"/>
    <s v="United States"/>
    <s v="Medina"/>
    <x v="24"/>
    <n v="44256"/>
    <x v="3"/>
    <x v="2"/>
    <x v="15"/>
    <n v="1188"/>
    <n v="9"/>
    <n v="0.7"/>
    <n v="-950.4"/>
  </r>
  <r>
    <s v="Standard Class"/>
    <x v="1"/>
    <s v="United States"/>
    <s v="Medina"/>
    <x v="24"/>
    <n v="44256"/>
    <x v="3"/>
    <x v="2"/>
    <x v="11"/>
    <n v="89.584000000000003"/>
    <n v="2"/>
    <n v="0.2"/>
    <n v="4.4791999999999996"/>
  </r>
  <r>
    <s v="Standard Class"/>
    <x v="0"/>
    <s v="United States"/>
    <s v="Los Angeles"/>
    <x v="1"/>
    <n v="90032"/>
    <x v="1"/>
    <x v="1"/>
    <x v="4"/>
    <n v="93.06"/>
    <n v="6"/>
    <n v="0"/>
    <n v="26.056799999999999"/>
  </r>
  <r>
    <s v="Standard Class"/>
    <x v="0"/>
    <s v="United States"/>
    <s v="Los Angeles"/>
    <x v="1"/>
    <n v="90032"/>
    <x v="1"/>
    <x v="2"/>
    <x v="7"/>
    <n v="302.37599999999998"/>
    <n v="3"/>
    <n v="0.2"/>
    <n v="22.6782"/>
  </r>
  <r>
    <s v="First Class"/>
    <x v="0"/>
    <s v="United States"/>
    <s v="Dublin"/>
    <x v="24"/>
    <n v="43017"/>
    <x v="3"/>
    <x v="1"/>
    <x v="13"/>
    <n v="5.5839999999999996"/>
    <n v="2"/>
    <n v="0.2"/>
    <n v="1.8148"/>
  </r>
  <r>
    <s v="First Class"/>
    <x v="0"/>
    <s v="United States"/>
    <s v="Dublin"/>
    <x v="24"/>
    <n v="43017"/>
    <x v="3"/>
    <x v="1"/>
    <x v="10"/>
    <n v="22.704000000000001"/>
    <n v="6"/>
    <n v="0.2"/>
    <n v="8.2302"/>
  </r>
  <r>
    <s v="First Class"/>
    <x v="0"/>
    <s v="United States"/>
    <s v="Dublin"/>
    <x v="24"/>
    <n v="43017"/>
    <x v="3"/>
    <x v="1"/>
    <x v="8"/>
    <n v="19.776"/>
    <n v="4"/>
    <n v="0.7"/>
    <n v="-13.8432"/>
  </r>
  <r>
    <s v="First Class"/>
    <x v="0"/>
    <s v="United States"/>
    <s v="Dublin"/>
    <x v="24"/>
    <n v="43017"/>
    <x v="3"/>
    <x v="0"/>
    <x v="5"/>
    <n v="72.703999999999994"/>
    <n v="4"/>
    <n v="0.2"/>
    <n v="19.084800000000001"/>
  </r>
  <r>
    <s v="First Class"/>
    <x v="0"/>
    <s v="United States"/>
    <s v="Dublin"/>
    <x v="24"/>
    <n v="43017"/>
    <x v="3"/>
    <x v="2"/>
    <x v="15"/>
    <n v="479.988"/>
    <n v="4"/>
    <n v="0.7"/>
    <n v="-383.99040000000002"/>
  </r>
  <r>
    <s v="First Class"/>
    <x v="0"/>
    <s v="United States"/>
    <s v="Dublin"/>
    <x v="24"/>
    <n v="43017"/>
    <x v="3"/>
    <x v="1"/>
    <x v="6"/>
    <n v="27.167999999999999"/>
    <n v="2"/>
    <n v="0.2"/>
    <n v="2.7168000000000001"/>
  </r>
  <r>
    <s v="Standard Class"/>
    <x v="1"/>
    <s v="United States"/>
    <s v="Detroit"/>
    <x v="12"/>
    <n v="48227"/>
    <x v="2"/>
    <x v="1"/>
    <x v="6"/>
    <n v="2.2000000000000002"/>
    <n v="1"/>
    <n v="0"/>
    <n v="0.96799999999999997"/>
  </r>
  <r>
    <s v="Standard Class"/>
    <x v="1"/>
    <s v="United States"/>
    <s v="Detroit"/>
    <x v="12"/>
    <n v="48227"/>
    <x v="2"/>
    <x v="0"/>
    <x v="3"/>
    <n v="622.45000000000005"/>
    <n v="5"/>
    <n v="0"/>
    <n v="136.93899999999999"/>
  </r>
  <r>
    <s v="Standard Class"/>
    <x v="1"/>
    <s v="United States"/>
    <s v="Detroit"/>
    <x v="12"/>
    <n v="48227"/>
    <x v="2"/>
    <x v="1"/>
    <x v="4"/>
    <n v="21.98"/>
    <n v="1"/>
    <n v="0"/>
    <n v="0.2198"/>
  </r>
  <r>
    <s v="Standard Class"/>
    <x v="0"/>
    <s v="United States"/>
    <s v="Columbia"/>
    <x v="18"/>
    <n v="38401"/>
    <x v="0"/>
    <x v="0"/>
    <x v="1"/>
    <n v="161.56800000000001"/>
    <n v="2"/>
    <n v="0.2"/>
    <n v="-28.2744"/>
  </r>
  <r>
    <s v="Standard Class"/>
    <x v="0"/>
    <s v="United States"/>
    <s v="Columbia"/>
    <x v="18"/>
    <n v="38401"/>
    <x v="0"/>
    <x v="0"/>
    <x v="1"/>
    <n v="389.69600000000003"/>
    <n v="8"/>
    <n v="0.2"/>
    <n v="43.840800000000002"/>
  </r>
  <r>
    <s v="Standard Class"/>
    <x v="1"/>
    <s v="United States"/>
    <s v="Charlotte"/>
    <x v="3"/>
    <n v="28205"/>
    <x v="0"/>
    <x v="1"/>
    <x v="8"/>
    <n v="18.648"/>
    <n v="7"/>
    <n v="0.7"/>
    <n v="-12.432"/>
  </r>
  <r>
    <s v="Standard Class"/>
    <x v="2"/>
    <s v="United States"/>
    <s v="Tampa"/>
    <x v="2"/>
    <n v="33614"/>
    <x v="0"/>
    <x v="0"/>
    <x v="3"/>
    <n v="233.86"/>
    <n v="2"/>
    <n v="0.45"/>
    <n v="-102.048"/>
  </r>
  <r>
    <s v="Standard Class"/>
    <x v="2"/>
    <s v="United States"/>
    <s v="Tampa"/>
    <x v="2"/>
    <n v="33614"/>
    <x v="0"/>
    <x v="0"/>
    <x v="3"/>
    <n v="620.61450000000002"/>
    <n v="3"/>
    <n v="0.45"/>
    <n v="-248.2458"/>
  </r>
  <r>
    <s v="Standard Class"/>
    <x v="2"/>
    <s v="United States"/>
    <s v="Tampa"/>
    <x v="2"/>
    <n v="33614"/>
    <x v="0"/>
    <x v="1"/>
    <x v="8"/>
    <n v="5.3280000000000003"/>
    <n v="2"/>
    <n v="0.7"/>
    <n v="-3.552"/>
  </r>
  <r>
    <s v="Standard Class"/>
    <x v="2"/>
    <s v="United States"/>
    <s v="Tampa"/>
    <x v="2"/>
    <n v="33614"/>
    <x v="0"/>
    <x v="0"/>
    <x v="5"/>
    <n v="258.072"/>
    <n v="3"/>
    <n v="0.2"/>
    <n v="0"/>
  </r>
  <r>
    <s v="Standard Class"/>
    <x v="2"/>
    <s v="United States"/>
    <s v="Tampa"/>
    <x v="2"/>
    <n v="33614"/>
    <x v="0"/>
    <x v="2"/>
    <x v="11"/>
    <n v="617.976"/>
    <n v="3"/>
    <n v="0.2"/>
    <n v="-7.7247000000000003"/>
  </r>
  <r>
    <s v="Standard Class"/>
    <x v="1"/>
    <s v="United States"/>
    <s v="Santa Clara"/>
    <x v="1"/>
    <n v="95051"/>
    <x v="1"/>
    <x v="1"/>
    <x v="10"/>
    <n v="10.56"/>
    <n v="2"/>
    <n v="0"/>
    <n v="4.7519999999999998"/>
  </r>
  <r>
    <s v="Second Class"/>
    <x v="0"/>
    <s v="United States"/>
    <s v="Chicago"/>
    <x v="10"/>
    <n v="60610"/>
    <x v="2"/>
    <x v="1"/>
    <x v="10"/>
    <n v="25.92"/>
    <n v="5"/>
    <n v="0.2"/>
    <n v="9.3960000000000008"/>
  </r>
  <r>
    <s v="Second Class"/>
    <x v="0"/>
    <s v="United States"/>
    <s v="Chicago"/>
    <x v="10"/>
    <n v="60610"/>
    <x v="2"/>
    <x v="0"/>
    <x v="5"/>
    <n v="419.68"/>
    <n v="5"/>
    <n v="0.6"/>
    <n v="-356.72800000000001"/>
  </r>
  <r>
    <s v="Second Class"/>
    <x v="0"/>
    <s v="United States"/>
    <s v="Chicago"/>
    <x v="10"/>
    <n v="60610"/>
    <x v="2"/>
    <x v="0"/>
    <x v="5"/>
    <n v="11.688000000000001"/>
    <n v="3"/>
    <n v="0.6"/>
    <n v="-4.6752000000000002"/>
  </r>
  <r>
    <s v="Second Class"/>
    <x v="0"/>
    <s v="United States"/>
    <s v="Chicago"/>
    <x v="10"/>
    <n v="60610"/>
    <x v="2"/>
    <x v="2"/>
    <x v="7"/>
    <n v="31.984000000000002"/>
    <n v="2"/>
    <n v="0.2"/>
    <n v="11.1944"/>
  </r>
  <r>
    <s v="Second Class"/>
    <x v="0"/>
    <s v="United States"/>
    <s v="Chicago"/>
    <x v="10"/>
    <n v="60610"/>
    <x v="2"/>
    <x v="0"/>
    <x v="3"/>
    <n v="177.22499999999999"/>
    <n v="5"/>
    <n v="0.5"/>
    <n v="-120.51300000000001"/>
  </r>
  <r>
    <s v="Second Class"/>
    <x v="0"/>
    <s v="United States"/>
    <s v="Chicago"/>
    <x v="10"/>
    <n v="60610"/>
    <x v="2"/>
    <x v="0"/>
    <x v="5"/>
    <n v="4.0439999999999996"/>
    <n v="3"/>
    <n v="0.6"/>
    <n v="-2.8308"/>
  </r>
  <r>
    <s v="Second Class"/>
    <x v="0"/>
    <s v="United States"/>
    <s v="Chicago"/>
    <x v="10"/>
    <n v="60610"/>
    <x v="2"/>
    <x v="1"/>
    <x v="6"/>
    <n v="7.4080000000000004"/>
    <n v="2"/>
    <n v="0.2"/>
    <n v="1.2038"/>
  </r>
  <r>
    <s v="Second Class"/>
    <x v="2"/>
    <s v="United States"/>
    <s v="Lakeville"/>
    <x v="11"/>
    <n v="55044"/>
    <x v="2"/>
    <x v="0"/>
    <x v="1"/>
    <n v="2001.86"/>
    <n v="7"/>
    <n v="0"/>
    <n v="580.5394"/>
  </r>
  <r>
    <s v="Second Class"/>
    <x v="2"/>
    <s v="United States"/>
    <s v="Lakeville"/>
    <x v="11"/>
    <n v="55044"/>
    <x v="2"/>
    <x v="1"/>
    <x v="4"/>
    <n v="166.72"/>
    <n v="2"/>
    <n v="0"/>
    <n v="41.68"/>
  </r>
  <r>
    <s v="Second Class"/>
    <x v="2"/>
    <s v="United States"/>
    <s v="Lakeville"/>
    <x v="11"/>
    <n v="55044"/>
    <x v="2"/>
    <x v="1"/>
    <x v="10"/>
    <n v="47.88"/>
    <n v="6"/>
    <n v="0"/>
    <n v="23.94"/>
  </r>
  <r>
    <s v="Second Class"/>
    <x v="2"/>
    <s v="United States"/>
    <s v="Lakeville"/>
    <x v="11"/>
    <n v="55044"/>
    <x v="2"/>
    <x v="1"/>
    <x v="9"/>
    <n v="1503.25"/>
    <n v="5"/>
    <n v="0"/>
    <n v="496.07249999999999"/>
  </r>
  <r>
    <s v="Second Class"/>
    <x v="2"/>
    <s v="United States"/>
    <s v="Lakeville"/>
    <x v="11"/>
    <n v="55044"/>
    <x v="2"/>
    <x v="1"/>
    <x v="10"/>
    <n v="25.92"/>
    <n v="4"/>
    <n v="0"/>
    <n v="12.441599999999999"/>
  </r>
  <r>
    <s v="Second Class"/>
    <x v="0"/>
    <s v="United States"/>
    <s v="San Francisco"/>
    <x v="1"/>
    <n v="94109"/>
    <x v="1"/>
    <x v="0"/>
    <x v="1"/>
    <n v="321.56799999999998"/>
    <n v="2"/>
    <n v="0.2"/>
    <n v="28.1372"/>
  </r>
  <r>
    <s v="Standard Class"/>
    <x v="0"/>
    <s v="United States"/>
    <s v="San Diego"/>
    <x v="1"/>
    <n v="92037"/>
    <x v="1"/>
    <x v="1"/>
    <x v="10"/>
    <n v="7.61"/>
    <n v="1"/>
    <n v="0"/>
    <n v="3.5767000000000002"/>
  </r>
  <r>
    <s v="Standard Class"/>
    <x v="0"/>
    <s v="United States"/>
    <s v="San Diego"/>
    <x v="1"/>
    <n v="92037"/>
    <x v="1"/>
    <x v="2"/>
    <x v="11"/>
    <n v="3347.37"/>
    <n v="13"/>
    <n v="0"/>
    <n v="636.00030000000004"/>
  </r>
  <r>
    <s v="First Class"/>
    <x v="0"/>
    <s v="United States"/>
    <s v="New York City"/>
    <x v="15"/>
    <n v="10024"/>
    <x v="3"/>
    <x v="1"/>
    <x v="4"/>
    <n v="80.58"/>
    <n v="6"/>
    <n v="0"/>
    <n v="22.5624"/>
  </r>
  <r>
    <s v="First Class"/>
    <x v="0"/>
    <s v="United States"/>
    <s v="New York City"/>
    <x v="15"/>
    <n v="10024"/>
    <x v="3"/>
    <x v="1"/>
    <x v="12"/>
    <n v="361.92"/>
    <n v="4"/>
    <n v="0"/>
    <n v="162.864"/>
  </r>
  <r>
    <s v="Standard Class"/>
    <x v="1"/>
    <s v="United States"/>
    <s v="Chicago"/>
    <x v="10"/>
    <n v="60623"/>
    <x v="2"/>
    <x v="0"/>
    <x v="5"/>
    <n v="12.132"/>
    <n v="9"/>
    <n v="0.6"/>
    <n v="-8.4923999999999999"/>
  </r>
  <r>
    <s v="Standard Class"/>
    <x v="1"/>
    <s v="United States"/>
    <s v="Chicago"/>
    <x v="10"/>
    <n v="60623"/>
    <x v="2"/>
    <x v="1"/>
    <x v="4"/>
    <n v="82.367999999999995"/>
    <n v="2"/>
    <n v="0.2"/>
    <n v="-19.5624"/>
  </r>
  <r>
    <s v="Standard Class"/>
    <x v="1"/>
    <s v="United States"/>
    <s v="Chicago"/>
    <x v="10"/>
    <n v="60623"/>
    <x v="2"/>
    <x v="1"/>
    <x v="4"/>
    <n v="53.92"/>
    <n v="5"/>
    <n v="0.2"/>
    <n v="4.0439999999999996"/>
  </r>
  <r>
    <s v="Standard Class"/>
    <x v="1"/>
    <s v="United States"/>
    <s v="Chicago"/>
    <x v="10"/>
    <n v="60623"/>
    <x v="2"/>
    <x v="2"/>
    <x v="7"/>
    <n v="647.904"/>
    <n v="6"/>
    <n v="0.2"/>
    <n v="56.691600000000001"/>
  </r>
  <r>
    <s v="Second Class"/>
    <x v="0"/>
    <s v="United States"/>
    <s v="New York City"/>
    <x v="15"/>
    <n v="10009"/>
    <x v="3"/>
    <x v="2"/>
    <x v="11"/>
    <n v="20.37"/>
    <n v="3"/>
    <n v="0"/>
    <n v="6.9257999999999997"/>
  </r>
  <r>
    <s v="Second Class"/>
    <x v="0"/>
    <s v="United States"/>
    <s v="New York City"/>
    <x v="15"/>
    <n v="10009"/>
    <x v="3"/>
    <x v="1"/>
    <x v="4"/>
    <n v="221.55"/>
    <n v="3"/>
    <n v="0"/>
    <n v="6.6464999999999996"/>
  </r>
  <r>
    <s v="Second Class"/>
    <x v="0"/>
    <s v="United States"/>
    <s v="New York City"/>
    <x v="15"/>
    <n v="10009"/>
    <x v="3"/>
    <x v="1"/>
    <x v="8"/>
    <n v="17.52"/>
    <n v="5"/>
    <n v="0.2"/>
    <n v="6.1319999999999997"/>
  </r>
  <r>
    <s v="Standard Class"/>
    <x v="1"/>
    <s v="United States"/>
    <s v="Pasadena"/>
    <x v="5"/>
    <n v="77506"/>
    <x v="2"/>
    <x v="1"/>
    <x v="9"/>
    <n v="1.6240000000000001"/>
    <n v="2"/>
    <n v="0.8"/>
    <n v="-4.4660000000000002"/>
  </r>
  <r>
    <s v="Second Class"/>
    <x v="1"/>
    <s v="United States"/>
    <s v="Houston"/>
    <x v="5"/>
    <n v="77036"/>
    <x v="2"/>
    <x v="2"/>
    <x v="15"/>
    <n v="3059.982"/>
    <n v="3"/>
    <n v="0.4"/>
    <n v="-509.99700000000001"/>
  </r>
  <r>
    <s v="Second Class"/>
    <x v="1"/>
    <s v="United States"/>
    <s v="Houston"/>
    <x v="5"/>
    <n v="77036"/>
    <x v="2"/>
    <x v="2"/>
    <x v="15"/>
    <n v="2519.9580000000001"/>
    <n v="7"/>
    <n v="0.4"/>
    <n v="-251.9958"/>
  </r>
  <r>
    <s v="Standard Class"/>
    <x v="0"/>
    <s v="United States"/>
    <s v="Chicago"/>
    <x v="10"/>
    <n v="60610"/>
    <x v="2"/>
    <x v="2"/>
    <x v="7"/>
    <n v="328.22399999999999"/>
    <n v="4"/>
    <n v="0.2"/>
    <n v="28.7196"/>
  </r>
  <r>
    <s v="Standard Class"/>
    <x v="0"/>
    <s v="United States"/>
    <s v="Brentwood"/>
    <x v="1"/>
    <n v="94513"/>
    <x v="1"/>
    <x v="2"/>
    <x v="11"/>
    <n v="79.900000000000006"/>
    <n v="2"/>
    <n v="0"/>
    <n v="35.155999999999999"/>
  </r>
  <r>
    <s v="Standard Class"/>
    <x v="1"/>
    <s v="United States"/>
    <s v="Chapel Hill"/>
    <x v="3"/>
    <n v="27514"/>
    <x v="0"/>
    <x v="1"/>
    <x v="6"/>
    <n v="14.016"/>
    <n v="3"/>
    <n v="0.2"/>
    <n v="4.7304000000000004"/>
  </r>
  <r>
    <s v="Standard Class"/>
    <x v="0"/>
    <s v="United States"/>
    <s v="Morristown"/>
    <x v="30"/>
    <n v="7960"/>
    <x v="3"/>
    <x v="1"/>
    <x v="13"/>
    <n v="7.56"/>
    <n v="6"/>
    <n v="0"/>
    <n v="0.3024"/>
  </r>
  <r>
    <s v="Standard Class"/>
    <x v="1"/>
    <s v="United States"/>
    <s v="Cincinnati"/>
    <x v="24"/>
    <n v="45231"/>
    <x v="3"/>
    <x v="1"/>
    <x v="4"/>
    <n v="37.207999999999998"/>
    <n v="1"/>
    <n v="0.2"/>
    <n v="-7.4416000000000002"/>
  </r>
  <r>
    <s v="Standard Class"/>
    <x v="1"/>
    <s v="United States"/>
    <s v="Cincinnati"/>
    <x v="24"/>
    <n v="45231"/>
    <x v="3"/>
    <x v="1"/>
    <x v="12"/>
    <n v="57.576000000000001"/>
    <n v="3"/>
    <n v="0.2"/>
    <n v="21.591000000000001"/>
  </r>
  <r>
    <s v="Second Class"/>
    <x v="1"/>
    <s v="United States"/>
    <s v="San Francisco"/>
    <x v="1"/>
    <n v="94110"/>
    <x v="1"/>
    <x v="1"/>
    <x v="4"/>
    <n v="725.84"/>
    <n v="4"/>
    <n v="0"/>
    <n v="210.49359999999999"/>
  </r>
  <r>
    <s v="First Class"/>
    <x v="0"/>
    <s v="United States"/>
    <s v="San Francisco"/>
    <x v="1"/>
    <n v="94109"/>
    <x v="1"/>
    <x v="2"/>
    <x v="11"/>
    <n v="209.93"/>
    <n v="7"/>
    <n v="0"/>
    <n v="92.369200000000006"/>
  </r>
  <r>
    <s v="First Class"/>
    <x v="0"/>
    <s v="United States"/>
    <s v="San Francisco"/>
    <x v="1"/>
    <n v="94109"/>
    <x v="1"/>
    <x v="0"/>
    <x v="5"/>
    <n v="5.28"/>
    <n v="3"/>
    <n v="0"/>
    <n v="2.3231999999999999"/>
  </r>
  <r>
    <s v="First Class"/>
    <x v="0"/>
    <s v="United States"/>
    <s v="San Francisco"/>
    <x v="1"/>
    <n v="94109"/>
    <x v="1"/>
    <x v="1"/>
    <x v="8"/>
    <n v="10.92"/>
    <n v="3"/>
    <n v="0.2"/>
    <n v="4.0949999999999998"/>
  </r>
  <r>
    <s v="First Class"/>
    <x v="1"/>
    <s v="United States"/>
    <s v="Inglewood"/>
    <x v="1"/>
    <n v="90301"/>
    <x v="1"/>
    <x v="1"/>
    <x v="10"/>
    <n v="8.82"/>
    <n v="2"/>
    <n v="0"/>
    <n v="4.0571999999999999"/>
  </r>
  <r>
    <s v="First Class"/>
    <x v="1"/>
    <s v="United States"/>
    <s v="Inglewood"/>
    <x v="1"/>
    <n v="90301"/>
    <x v="1"/>
    <x v="1"/>
    <x v="6"/>
    <n v="5.98"/>
    <n v="1"/>
    <n v="0"/>
    <n v="1.5548"/>
  </r>
  <r>
    <s v="Standard Class"/>
    <x v="1"/>
    <s v="United States"/>
    <s v="Philadelphia"/>
    <x v="9"/>
    <n v="19140"/>
    <x v="3"/>
    <x v="1"/>
    <x v="10"/>
    <n v="11.648"/>
    <n v="2"/>
    <n v="0.2"/>
    <n v="4.0768000000000004"/>
  </r>
  <r>
    <s v="Standard Class"/>
    <x v="1"/>
    <s v="United States"/>
    <s v="Philadelphia"/>
    <x v="9"/>
    <n v="19140"/>
    <x v="3"/>
    <x v="1"/>
    <x v="10"/>
    <n v="18.175999999999998"/>
    <n v="4"/>
    <n v="0.2"/>
    <n v="5.9071999999999996"/>
  </r>
  <r>
    <s v="Standard Class"/>
    <x v="1"/>
    <s v="United States"/>
    <s v="Philadelphia"/>
    <x v="9"/>
    <n v="19140"/>
    <x v="3"/>
    <x v="1"/>
    <x v="4"/>
    <n v="59.712000000000003"/>
    <n v="6"/>
    <n v="0.2"/>
    <n v="5.9711999999999996"/>
  </r>
  <r>
    <s v="Standard Class"/>
    <x v="1"/>
    <s v="United States"/>
    <s v="Philadelphia"/>
    <x v="9"/>
    <n v="19140"/>
    <x v="3"/>
    <x v="1"/>
    <x v="2"/>
    <n v="24.84"/>
    <n v="3"/>
    <n v="0.2"/>
    <n v="8.6940000000000008"/>
  </r>
  <r>
    <s v="Second Class"/>
    <x v="0"/>
    <s v="United States"/>
    <s v="Houston"/>
    <x v="5"/>
    <n v="77070"/>
    <x v="2"/>
    <x v="1"/>
    <x v="8"/>
    <n v="2.08"/>
    <n v="5"/>
    <n v="0.8"/>
    <n v="-3.4319999999999999"/>
  </r>
  <r>
    <s v="Second Class"/>
    <x v="0"/>
    <s v="United States"/>
    <s v="Houston"/>
    <x v="5"/>
    <n v="77070"/>
    <x v="2"/>
    <x v="2"/>
    <x v="7"/>
    <n v="1114.4000000000001"/>
    <n v="7"/>
    <n v="0.2"/>
    <n v="376.11"/>
  </r>
  <r>
    <s v="Standard Class"/>
    <x v="0"/>
    <s v="United States"/>
    <s v="Los Angeles"/>
    <x v="1"/>
    <n v="90004"/>
    <x v="1"/>
    <x v="0"/>
    <x v="3"/>
    <n v="1038.8399999999999"/>
    <n v="5"/>
    <n v="0.2"/>
    <n v="51.942"/>
  </r>
  <r>
    <s v="Standard Class"/>
    <x v="0"/>
    <s v="United States"/>
    <s v="Portland"/>
    <x v="21"/>
    <n v="97206"/>
    <x v="1"/>
    <x v="1"/>
    <x v="10"/>
    <n v="141.76"/>
    <n v="5"/>
    <n v="0.2"/>
    <n v="47.844000000000001"/>
  </r>
  <r>
    <s v="Standard Class"/>
    <x v="0"/>
    <s v="United States"/>
    <s v="Portland"/>
    <x v="21"/>
    <n v="97206"/>
    <x v="1"/>
    <x v="2"/>
    <x v="11"/>
    <n v="239.8"/>
    <n v="5"/>
    <n v="0.2"/>
    <n v="47.96"/>
  </r>
  <r>
    <s v="Standard Class"/>
    <x v="0"/>
    <s v="United States"/>
    <s v="Portland"/>
    <x v="21"/>
    <n v="97206"/>
    <x v="1"/>
    <x v="1"/>
    <x v="10"/>
    <n v="31.103999999999999"/>
    <n v="6"/>
    <n v="0.2"/>
    <n v="10.8864"/>
  </r>
  <r>
    <s v="Second Class"/>
    <x v="1"/>
    <s v="United States"/>
    <s v="Tamarac"/>
    <x v="2"/>
    <n v="33319"/>
    <x v="0"/>
    <x v="1"/>
    <x v="8"/>
    <n v="254.05799999999999"/>
    <n v="7"/>
    <n v="0.7"/>
    <n v="-169.37200000000001"/>
  </r>
  <r>
    <s v="Second Class"/>
    <x v="1"/>
    <s v="United States"/>
    <s v="Tamarac"/>
    <x v="2"/>
    <n v="33319"/>
    <x v="0"/>
    <x v="1"/>
    <x v="9"/>
    <n v="194.52799999999999"/>
    <n v="2"/>
    <n v="0.2"/>
    <n v="24.315999999999999"/>
  </r>
  <r>
    <s v="Second Class"/>
    <x v="1"/>
    <s v="United States"/>
    <s v="Tamarac"/>
    <x v="2"/>
    <n v="33319"/>
    <x v="0"/>
    <x v="1"/>
    <x v="14"/>
    <n v="961.48"/>
    <n v="5"/>
    <n v="0.2"/>
    <n v="-204.31450000000001"/>
  </r>
  <r>
    <s v="Second Class"/>
    <x v="2"/>
    <s v="United States"/>
    <s v="Columbus"/>
    <x v="24"/>
    <n v="43229"/>
    <x v="3"/>
    <x v="1"/>
    <x v="13"/>
    <n v="19.096"/>
    <n v="7"/>
    <n v="0.2"/>
    <n v="6.6836000000000002"/>
  </r>
  <r>
    <s v="Second Class"/>
    <x v="2"/>
    <s v="United States"/>
    <s v="Columbus"/>
    <x v="24"/>
    <n v="43229"/>
    <x v="3"/>
    <x v="1"/>
    <x v="2"/>
    <n v="18.495999999999999"/>
    <n v="8"/>
    <n v="0.2"/>
    <n v="6.2423999999999999"/>
  </r>
  <r>
    <s v="Second Class"/>
    <x v="2"/>
    <s v="United States"/>
    <s v="Columbus"/>
    <x v="24"/>
    <n v="43229"/>
    <x v="3"/>
    <x v="2"/>
    <x v="11"/>
    <n v="255.98400000000001"/>
    <n v="2"/>
    <n v="0.2"/>
    <n v="54.396599999999999"/>
  </r>
  <r>
    <s v="Second Class"/>
    <x v="2"/>
    <s v="United States"/>
    <s v="Columbus"/>
    <x v="24"/>
    <n v="43229"/>
    <x v="3"/>
    <x v="0"/>
    <x v="0"/>
    <n v="86.97"/>
    <n v="3"/>
    <n v="0.5"/>
    <n v="-48.703200000000002"/>
  </r>
  <r>
    <s v="First Class"/>
    <x v="1"/>
    <s v="United States"/>
    <s v="Colorado Springs"/>
    <x v="22"/>
    <n v="80906"/>
    <x v="1"/>
    <x v="0"/>
    <x v="5"/>
    <n v="300.416"/>
    <n v="8"/>
    <n v="0.2"/>
    <n v="78.859200000000001"/>
  </r>
  <r>
    <s v="First Class"/>
    <x v="1"/>
    <s v="United States"/>
    <s v="Colorado Springs"/>
    <x v="22"/>
    <n v="80906"/>
    <x v="1"/>
    <x v="0"/>
    <x v="1"/>
    <n v="230.352"/>
    <n v="3"/>
    <n v="0.2"/>
    <n v="20.155799999999999"/>
  </r>
  <r>
    <s v="First Class"/>
    <x v="1"/>
    <s v="United States"/>
    <s v="Colorado Springs"/>
    <x v="22"/>
    <n v="80906"/>
    <x v="1"/>
    <x v="0"/>
    <x v="5"/>
    <n v="218.352"/>
    <n v="3"/>
    <n v="0.2"/>
    <n v="-24.564599999999999"/>
  </r>
  <r>
    <s v="First Class"/>
    <x v="1"/>
    <s v="United States"/>
    <s v="Colorado Springs"/>
    <x v="22"/>
    <n v="80906"/>
    <x v="1"/>
    <x v="1"/>
    <x v="8"/>
    <n v="78.599999999999994"/>
    <n v="5"/>
    <n v="0.7"/>
    <n v="-62.88"/>
  </r>
  <r>
    <s v="First Class"/>
    <x v="1"/>
    <s v="United States"/>
    <s v="Colorado Springs"/>
    <x v="22"/>
    <n v="80906"/>
    <x v="1"/>
    <x v="1"/>
    <x v="13"/>
    <n v="27.552"/>
    <n v="3"/>
    <n v="0.2"/>
    <n v="9.2988"/>
  </r>
  <r>
    <s v="Standard Class"/>
    <x v="1"/>
    <s v="United States"/>
    <s v="Belleville"/>
    <x v="30"/>
    <n v="7109"/>
    <x v="3"/>
    <x v="1"/>
    <x v="10"/>
    <n v="32.4"/>
    <n v="5"/>
    <n v="0"/>
    <n v="15.552"/>
  </r>
  <r>
    <s v="Standard Class"/>
    <x v="1"/>
    <s v="United States"/>
    <s v="Belleville"/>
    <x v="30"/>
    <n v="7109"/>
    <x v="3"/>
    <x v="1"/>
    <x v="4"/>
    <n v="1082.48"/>
    <n v="8"/>
    <n v="0"/>
    <n v="10.8248"/>
  </r>
  <r>
    <s v="Standard Class"/>
    <x v="1"/>
    <s v="United States"/>
    <s v="Belleville"/>
    <x v="30"/>
    <n v="7109"/>
    <x v="3"/>
    <x v="1"/>
    <x v="10"/>
    <n v="56.91"/>
    <n v="3"/>
    <n v="0"/>
    <n v="27.316800000000001"/>
  </r>
  <r>
    <s v="Standard Class"/>
    <x v="1"/>
    <s v="United States"/>
    <s v="Belleville"/>
    <x v="30"/>
    <n v="7109"/>
    <x v="3"/>
    <x v="0"/>
    <x v="5"/>
    <n v="77.599999999999994"/>
    <n v="4"/>
    <n v="0"/>
    <n v="38.024000000000001"/>
  </r>
  <r>
    <s v="Standard Class"/>
    <x v="1"/>
    <s v="United States"/>
    <s v="Belleville"/>
    <x v="30"/>
    <n v="7109"/>
    <x v="3"/>
    <x v="1"/>
    <x v="8"/>
    <n v="14.28"/>
    <n v="1"/>
    <n v="0"/>
    <n v="6.5688000000000004"/>
  </r>
  <r>
    <s v="Standard Class"/>
    <x v="0"/>
    <s v="United States"/>
    <s v="Chicago"/>
    <x v="10"/>
    <n v="60623"/>
    <x v="2"/>
    <x v="0"/>
    <x v="3"/>
    <n v="219.07499999999999"/>
    <n v="3"/>
    <n v="0.5"/>
    <n v="-131.44499999999999"/>
  </r>
  <r>
    <s v="Second Class"/>
    <x v="1"/>
    <s v="United States"/>
    <s v="New York City"/>
    <x v="15"/>
    <n v="10024"/>
    <x v="3"/>
    <x v="0"/>
    <x v="5"/>
    <n v="26.8"/>
    <n v="2"/>
    <n v="0"/>
    <n v="12.864000000000001"/>
  </r>
  <r>
    <s v="Standard Class"/>
    <x v="1"/>
    <s v="United States"/>
    <s v="Taylor"/>
    <x v="12"/>
    <n v="48180"/>
    <x v="2"/>
    <x v="1"/>
    <x v="6"/>
    <n v="9.84"/>
    <n v="3"/>
    <n v="0"/>
    <n v="2.8536000000000001"/>
  </r>
  <r>
    <s v="Standard Class"/>
    <x v="2"/>
    <s v="United States"/>
    <s v="Lakewood"/>
    <x v="30"/>
    <n v="8701"/>
    <x v="3"/>
    <x v="1"/>
    <x v="8"/>
    <n v="45.48"/>
    <n v="3"/>
    <n v="0"/>
    <n v="20.9208"/>
  </r>
  <r>
    <s v="Standard Class"/>
    <x v="2"/>
    <s v="United States"/>
    <s v="Lakewood"/>
    <x v="30"/>
    <n v="8701"/>
    <x v="3"/>
    <x v="1"/>
    <x v="6"/>
    <n v="289.2"/>
    <n v="6"/>
    <n v="0"/>
    <n v="83.867999999999995"/>
  </r>
  <r>
    <s v="First Class"/>
    <x v="0"/>
    <s v="United States"/>
    <s v="Arlington"/>
    <x v="17"/>
    <n v="22204"/>
    <x v="0"/>
    <x v="1"/>
    <x v="6"/>
    <n v="4.8899999999999997"/>
    <n v="1"/>
    <n v="0"/>
    <n v="2.0049000000000001"/>
  </r>
  <r>
    <s v="Second Class"/>
    <x v="1"/>
    <s v="United States"/>
    <s v="Arvada"/>
    <x v="22"/>
    <n v="80004"/>
    <x v="1"/>
    <x v="0"/>
    <x v="5"/>
    <n v="15.135999999999999"/>
    <n v="4"/>
    <n v="0.2"/>
    <n v="3.5948000000000002"/>
  </r>
  <r>
    <s v="Second Class"/>
    <x v="1"/>
    <s v="United States"/>
    <s v="Arvada"/>
    <x v="22"/>
    <n v="80004"/>
    <x v="1"/>
    <x v="0"/>
    <x v="1"/>
    <n v="466.76799999999997"/>
    <n v="2"/>
    <n v="0.2"/>
    <n v="52.511400000000002"/>
  </r>
  <r>
    <s v="Second Class"/>
    <x v="1"/>
    <s v="United States"/>
    <s v="Arvada"/>
    <x v="22"/>
    <n v="80004"/>
    <x v="1"/>
    <x v="0"/>
    <x v="5"/>
    <n v="15.231999999999999"/>
    <n v="1"/>
    <n v="0.2"/>
    <n v="1.7136"/>
  </r>
  <r>
    <s v="Second Class"/>
    <x v="1"/>
    <s v="United States"/>
    <s v="Arvada"/>
    <x v="22"/>
    <n v="80004"/>
    <x v="1"/>
    <x v="1"/>
    <x v="2"/>
    <n v="6.2640000000000002"/>
    <n v="3"/>
    <n v="0.2"/>
    <n v="2.0358000000000001"/>
  </r>
  <r>
    <s v="Standard Class"/>
    <x v="1"/>
    <s v="United States"/>
    <s v="Hackensack"/>
    <x v="30"/>
    <n v="7601"/>
    <x v="3"/>
    <x v="0"/>
    <x v="5"/>
    <n v="87.54"/>
    <n v="3"/>
    <n v="0"/>
    <n v="37.642200000000003"/>
  </r>
  <r>
    <s v="Standard Class"/>
    <x v="1"/>
    <s v="United States"/>
    <s v="Saint Petersburg"/>
    <x v="2"/>
    <n v="33710"/>
    <x v="0"/>
    <x v="2"/>
    <x v="7"/>
    <n v="178.38399999999999"/>
    <n v="2"/>
    <n v="0.2"/>
    <n v="22.297999999999998"/>
  </r>
  <r>
    <s v="Standard Class"/>
    <x v="1"/>
    <s v="United States"/>
    <s v="Saint Petersburg"/>
    <x v="2"/>
    <n v="33710"/>
    <x v="0"/>
    <x v="1"/>
    <x v="10"/>
    <n v="15.552"/>
    <n v="3"/>
    <n v="0.2"/>
    <n v="5.4432"/>
  </r>
  <r>
    <s v="First Class"/>
    <x v="1"/>
    <s v="United States"/>
    <s v="Philadelphia"/>
    <x v="9"/>
    <n v="19143"/>
    <x v="3"/>
    <x v="1"/>
    <x v="6"/>
    <n v="99.135999999999996"/>
    <n v="4"/>
    <n v="0.2"/>
    <n v="8.6744000000000003"/>
  </r>
  <r>
    <s v="Standard Class"/>
    <x v="2"/>
    <s v="United States"/>
    <s v="New York City"/>
    <x v="15"/>
    <n v="10024"/>
    <x v="3"/>
    <x v="0"/>
    <x v="1"/>
    <n v="135.88200000000001"/>
    <n v="1"/>
    <n v="0.1"/>
    <n v="24.1568"/>
  </r>
  <r>
    <s v="Standard Class"/>
    <x v="2"/>
    <s v="United States"/>
    <s v="New York City"/>
    <x v="15"/>
    <n v="10024"/>
    <x v="3"/>
    <x v="2"/>
    <x v="15"/>
    <n v="3991.98"/>
    <n v="2"/>
    <n v="0"/>
    <n v="1995.99"/>
  </r>
  <r>
    <s v="Standard Class"/>
    <x v="2"/>
    <s v="United States"/>
    <s v="New York City"/>
    <x v="15"/>
    <n v="10024"/>
    <x v="3"/>
    <x v="2"/>
    <x v="7"/>
    <n v="275.94"/>
    <n v="6"/>
    <n v="0"/>
    <n v="80.022599999999997"/>
  </r>
  <r>
    <s v="Standard Class"/>
    <x v="2"/>
    <s v="United States"/>
    <s v="New York City"/>
    <x v="15"/>
    <n v="10024"/>
    <x v="3"/>
    <x v="2"/>
    <x v="11"/>
    <n v="360"/>
    <n v="4"/>
    <n v="0"/>
    <n v="129.6"/>
  </r>
  <r>
    <s v="Standard Class"/>
    <x v="2"/>
    <s v="United States"/>
    <s v="New York City"/>
    <x v="15"/>
    <n v="10024"/>
    <x v="3"/>
    <x v="1"/>
    <x v="4"/>
    <n v="43.57"/>
    <n v="1"/>
    <n v="0"/>
    <n v="13.071"/>
  </r>
  <r>
    <s v="Standard Class"/>
    <x v="1"/>
    <s v="United States"/>
    <s v="Long Beach"/>
    <x v="1"/>
    <n v="90805"/>
    <x v="1"/>
    <x v="1"/>
    <x v="13"/>
    <n v="7.16"/>
    <n v="2"/>
    <n v="0"/>
    <n v="3.58"/>
  </r>
  <r>
    <s v="Standard Class"/>
    <x v="1"/>
    <s v="United States"/>
    <s v="Hesperia"/>
    <x v="1"/>
    <n v="92345"/>
    <x v="1"/>
    <x v="1"/>
    <x v="8"/>
    <n v="251.52"/>
    <n v="6"/>
    <n v="0.2"/>
    <n v="81.744"/>
  </r>
  <r>
    <s v="Standard Class"/>
    <x v="1"/>
    <s v="United States"/>
    <s v="Hesperia"/>
    <x v="1"/>
    <n v="92345"/>
    <x v="1"/>
    <x v="2"/>
    <x v="11"/>
    <n v="99.99"/>
    <n v="1"/>
    <n v="0"/>
    <n v="34.996499999999997"/>
  </r>
  <r>
    <s v="Second Class"/>
    <x v="1"/>
    <s v="United States"/>
    <s v="Murfreesboro"/>
    <x v="18"/>
    <n v="37130"/>
    <x v="0"/>
    <x v="0"/>
    <x v="5"/>
    <n v="15.992000000000001"/>
    <n v="1"/>
    <n v="0.2"/>
    <n v="0.99950000000000006"/>
  </r>
  <r>
    <s v="First Class"/>
    <x v="0"/>
    <s v="United States"/>
    <s v="Philadelphia"/>
    <x v="9"/>
    <n v="19143"/>
    <x v="3"/>
    <x v="2"/>
    <x v="7"/>
    <n v="290.89800000000002"/>
    <n v="3"/>
    <n v="0.4"/>
    <n v="-67.876199999999997"/>
  </r>
  <r>
    <s v="First Class"/>
    <x v="0"/>
    <s v="United States"/>
    <s v="Philadelphia"/>
    <x v="9"/>
    <n v="19143"/>
    <x v="3"/>
    <x v="1"/>
    <x v="4"/>
    <n v="54.223999999999997"/>
    <n v="2"/>
    <n v="0.2"/>
    <n v="3.3889999999999998"/>
  </r>
  <r>
    <s v="First Class"/>
    <x v="0"/>
    <s v="United States"/>
    <s v="Philadelphia"/>
    <x v="9"/>
    <n v="19143"/>
    <x v="3"/>
    <x v="0"/>
    <x v="1"/>
    <n v="786.74400000000003"/>
    <n v="4"/>
    <n v="0.3"/>
    <n v="-258.5016"/>
  </r>
  <r>
    <s v="First Class"/>
    <x v="0"/>
    <s v="United States"/>
    <s v="Philadelphia"/>
    <x v="9"/>
    <n v="19143"/>
    <x v="3"/>
    <x v="1"/>
    <x v="2"/>
    <n v="100.24"/>
    <n v="10"/>
    <n v="0.2"/>
    <n v="33.831000000000003"/>
  </r>
  <r>
    <s v="First Class"/>
    <x v="0"/>
    <s v="United States"/>
    <s v="Philadelphia"/>
    <x v="9"/>
    <n v="19143"/>
    <x v="3"/>
    <x v="1"/>
    <x v="8"/>
    <n v="37.764000000000003"/>
    <n v="6"/>
    <n v="0.7"/>
    <n v="-27.6936"/>
  </r>
  <r>
    <s v="Second Class"/>
    <x v="0"/>
    <s v="United States"/>
    <s v="Philadelphia"/>
    <x v="9"/>
    <n v="19134"/>
    <x v="3"/>
    <x v="2"/>
    <x v="7"/>
    <n v="82.8"/>
    <n v="2"/>
    <n v="0.4"/>
    <n v="-20.7"/>
  </r>
  <r>
    <s v="Second Class"/>
    <x v="0"/>
    <s v="United States"/>
    <s v="Philadelphia"/>
    <x v="9"/>
    <n v="19134"/>
    <x v="3"/>
    <x v="1"/>
    <x v="8"/>
    <n v="20.724"/>
    <n v="2"/>
    <n v="0.7"/>
    <n v="-13.816000000000001"/>
  </r>
  <r>
    <s v="Second Class"/>
    <x v="0"/>
    <s v="United States"/>
    <s v="Philadelphia"/>
    <x v="9"/>
    <n v="19134"/>
    <x v="3"/>
    <x v="1"/>
    <x v="8"/>
    <n v="4.8959999999999999"/>
    <n v="3"/>
    <n v="0.7"/>
    <n v="-3.4272"/>
  </r>
  <r>
    <s v="Second Class"/>
    <x v="0"/>
    <s v="United States"/>
    <s v="Los Angeles"/>
    <x v="1"/>
    <n v="90045"/>
    <x v="1"/>
    <x v="1"/>
    <x v="8"/>
    <n v="4.7519999999999998"/>
    <n v="1"/>
    <n v="0.2"/>
    <n v="1.6037999999999999"/>
  </r>
  <r>
    <s v="Second Class"/>
    <x v="0"/>
    <s v="United States"/>
    <s v="Los Angeles"/>
    <x v="1"/>
    <n v="90045"/>
    <x v="1"/>
    <x v="2"/>
    <x v="16"/>
    <n v="959.98400000000004"/>
    <n v="2"/>
    <n v="0.2"/>
    <n v="335.99439999999998"/>
  </r>
  <r>
    <s v="Second Class"/>
    <x v="0"/>
    <s v="United States"/>
    <s v="Los Angeles"/>
    <x v="1"/>
    <n v="90045"/>
    <x v="1"/>
    <x v="1"/>
    <x v="8"/>
    <n v="14.368"/>
    <n v="4"/>
    <n v="0.2"/>
    <n v="4.49"/>
  </r>
  <r>
    <s v="Standard Class"/>
    <x v="1"/>
    <s v="United States"/>
    <s v="San Francisco"/>
    <x v="1"/>
    <n v="94122"/>
    <x v="1"/>
    <x v="1"/>
    <x v="8"/>
    <n v="7.7119999999999997"/>
    <n v="2"/>
    <n v="0.2"/>
    <n v="2.7955999999999999"/>
  </r>
  <r>
    <s v="Standard Class"/>
    <x v="1"/>
    <s v="United States"/>
    <s v="San Francisco"/>
    <x v="1"/>
    <n v="94122"/>
    <x v="1"/>
    <x v="0"/>
    <x v="3"/>
    <n v="698.35199999999998"/>
    <n v="3"/>
    <n v="0.2"/>
    <n v="-17.4588"/>
  </r>
  <r>
    <s v="Second Class"/>
    <x v="0"/>
    <s v="United States"/>
    <s v="Layton"/>
    <x v="7"/>
    <n v="84041"/>
    <x v="1"/>
    <x v="1"/>
    <x v="13"/>
    <n v="4.96"/>
    <n v="4"/>
    <n v="0"/>
    <n v="2.3311999999999999"/>
  </r>
  <r>
    <s v="Second Class"/>
    <x v="1"/>
    <s v="United States"/>
    <s v="Philadelphia"/>
    <x v="9"/>
    <n v="19140"/>
    <x v="3"/>
    <x v="1"/>
    <x v="6"/>
    <n v="17.856000000000002"/>
    <n v="4"/>
    <n v="0.2"/>
    <n v="1.1160000000000001"/>
  </r>
  <r>
    <s v="Second Class"/>
    <x v="1"/>
    <s v="United States"/>
    <s v="Philadelphia"/>
    <x v="9"/>
    <n v="19140"/>
    <x v="3"/>
    <x v="1"/>
    <x v="8"/>
    <n v="509.97"/>
    <n v="10"/>
    <n v="0.7"/>
    <n v="-407.976"/>
  </r>
  <r>
    <s v="Second Class"/>
    <x v="1"/>
    <s v="United States"/>
    <s v="Philadelphia"/>
    <x v="9"/>
    <n v="19140"/>
    <x v="3"/>
    <x v="1"/>
    <x v="13"/>
    <n v="30.992000000000001"/>
    <n v="13"/>
    <n v="0.2"/>
    <n v="10.0724"/>
  </r>
  <r>
    <s v="Second Class"/>
    <x v="1"/>
    <s v="United States"/>
    <s v="Philadelphia"/>
    <x v="9"/>
    <n v="19140"/>
    <x v="3"/>
    <x v="2"/>
    <x v="7"/>
    <n v="71.927999999999997"/>
    <n v="12"/>
    <n v="0.4"/>
    <n v="8.3916000000000004"/>
  </r>
  <r>
    <s v="Standard Class"/>
    <x v="0"/>
    <s v="United States"/>
    <s v="Austin"/>
    <x v="5"/>
    <n v="78745"/>
    <x v="2"/>
    <x v="1"/>
    <x v="4"/>
    <n v="88.8"/>
    <n v="4"/>
    <n v="0.2"/>
    <n v="-2.2200000000000002"/>
  </r>
  <r>
    <s v="Standard Class"/>
    <x v="0"/>
    <s v="United States"/>
    <s v="San Francisco"/>
    <x v="1"/>
    <n v="94122"/>
    <x v="1"/>
    <x v="2"/>
    <x v="7"/>
    <n v="47.975999999999999"/>
    <n v="3"/>
    <n v="0.2"/>
    <n v="4.7976000000000001"/>
  </r>
  <r>
    <s v="Standard Class"/>
    <x v="0"/>
    <s v="United States"/>
    <s v="Lowell"/>
    <x v="31"/>
    <n v="1852"/>
    <x v="3"/>
    <x v="1"/>
    <x v="6"/>
    <n v="7.56"/>
    <n v="3"/>
    <n v="0"/>
    <n v="3.0996000000000001"/>
  </r>
  <r>
    <s v="Standard Class"/>
    <x v="0"/>
    <s v="United States"/>
    <s v="Lowell"/>
    <x v="31"/>
    <n v="1852"/>
    <x v="3"/>
    <x v="1"/>
    <x v="10"/>
    <n v="24.56"/>
    <n v="2"/>
    <n v="0"/>
    <n v="11.543200000000001"/>
  </r>
  <r>
    <s v="Standard Class"/>
    <x v="0"/>
    <s v="United States"/>
    <s v="Lowell"/>
    <x v="31"/>
    <n v="1852"/>
    <x v="3"/>
    <x v="1"/>
    <x v="6"/>
    <n v="12.96"/>
    <n v="2"/>
    <n v="0"/>
    <n v="4.1471999999999998"/>
  </r>
  <r>
    <s v="First Class"/>
    <x v="2"/>
    <s v="United States"/>
    <s v="New York City"/>
    <x v="15"/>
    <n v="10009"/>
    <x v="3"/>
    <x v="2"/>
    <x v="11"/>
    <n v="6.79"/>
    <n v="1"/>
    <n v="0"/>
    <n v="2.3086000000000002"/>
  </r>
  <r>
    <s v="First Class"/>
    <x v="2"/>
    <s v="United States"/>
    <s v="New York City"/>
    <x v="15"/>
    <n v="10009"/>
    <x v="3"/>
    <x v="1"/>
    <x v="10"/>
    <n v="24.56"/>
    <n v="2"/>
    <n v="0"/>
    <n v="11.543200000000001"/>
  </r>
  <r>
    <s v="First Class"/>
    <x v="2"/>
    <s v="United States"/>
    <s v="New York City"/>
    <x v="15"/>
    <n v="10009"/>
    <x v="3"/>
    <x v="1"/>
    <x v="8"/>
    <n v="3.048"/>
    <n v="1"/>
    <n v="0.2"/>
    <n v="1.0668"/>
  </r>
  <r>
    <s v="First Class"/>
    <x v="2"/>
    <s v="United States"/>
    <s v="New York City"/>
    <x v="15"/>
    <n v="10009"/>
    <x v="3"/>
    <x v="1"/>
    <x v="10"/>
    <n v="49.12"/>
    <n v="4"/>
    <n v="0"/>
    <n v="23.086400000000001"/>
  </r>
  <r>
    <s v="First Class"/>
    <x v="2"/>
    <s v="United States"/>
    <s v="New York City"/>
    <x v="15"/>
    <n v="10009"/>
    <x v="3"/>
    <x v="1"/>
    <x v="8"/>
    <n v="4355.1679999999997"/>
    <n v="4"/>
    <n v="0.2"/>
    <n v="1415.4295999999999"/>
  </r>
  <r>
    <s v="Standard Class"/>
    <x v="0"/>
    <s v="United States"/>
    <s v="New York City"/>
    <x v="15"/>
    <n v="10035"/>
    <x v="3"/>
    <x v="0"/>
    <x v="0"/>
    <n v="388.70400000000001"/>
    <n v="6"/>
    <n v="0.2"/>
    <n v="-4.8587999999999996"/>
  </r>
  <r>
    <s v="Standard Class"/>
    <x v="0"/>
    <s v="United States"/>
    <s v="New York City"/>
    <x v="15"/>
    <n v="10035"/>
    <x v="3"/>
    <x v="1"/>
    <x v="12"/>
    <n v="8.26"/>
    <n v="2"/>
    <n v="0"/>
    <n v="3.7995999999999999"/>
  </r>
  <r>
    <s v="Standard Class"/>
    <x v="0"/>
    <s v="United States"/>
    <s v="New York City"/>
    <x v="15"/>
    <n v="10035"/>
    <x v="3"/>
    <x v="1"/>
    <x v="6"/>
    <n v="17.04"/>
    <n v="4"/>
    <n v="0"/>
    <n v="6.9863999999999997"/>
  </r>
  <r>
    <s v="Standard Class"/>
    <x v="0"/>
    <s v="United States"/>
    <s v="New York City"/>
    <x v="15"/>
    <n v="10035"/>
    <x v="3"/>
    <x v="1"/>
    <x v="10"/>
    <n v="34.4"/>
    <n v="5"/>
    <n v="0"/>
    <n v="15.824"/>
  </r>
  <r>
    <s v="Standard Class"/>
    <x v="1"/>
    <s v="United States"/>
    <s v="Charlotte"/>
    <x v="3"/>
    <n v="28205"/>
    <x v="0"/>
    <x v="1"/>
    <x v="10"/>
    <n v="36.24"/>
    <n v="5"/>
    <n v="0.2"/>
    <n v="11.324999999999999"/>
  </r>
  <r>
    <s v="First Class"/>
    <x v="1"/>
    <s v="United States"/>
    <s v="Columbus"/>
    <x v="32"/>
    <n v="31907"/>
    <x v="0"/>
    <x v="1"/>
    <x v="9"/>
    <n v="647.84"/>
    <n v="8"/>
    <n v="0"/>
    <n v="168.4384"/>
  </r>
  <r>
    <s v="First Class"/>
    <x v="1"/>
    <s v="United States"/>
    <s v="Columbus"/>
    <x v="32"/>
    <n v="31907"/>
    <x v="0"/>
    <x v="1"/>
    <x v="2"/>
    <n v="20.7"/>
    <n v="2"/>
    <n v="0"/>
    <n v="9.9359999999999999"/>
  </r>
  <r>
    <s v="Standard Class"/>
    <x v="0"/>
    <s v="United States"/>
    <s v="New York City"/>
    <x v="15"/>
    <n v="10009"/>
    <x v="3"/>
    <x v="1"/>
    <x v="2"/>
    <n v="20.7"/>
    <n v="2"/>
    <n v="0"/>
    <n v="9.9359999999999999"/>
  </r>
  <r>
    <s v="Standard Class"/>
    <x v="0"/>
    <s v="United States"/>
    <s v="New York City"/>
    <x v="15"/>
    <n v="10009"/>
    <x v="3"/>
    <x v="0"/>
    <x v="1"/>
    <n v="488.64600000000002"/>
    <n v="3"/>
    <n v="0.1"/>
    <n v="86.870400000000004"/>
  </r>
  <r>
    <s v="Standard Class"/>
    <x v="0"/>
    <s v="United States"/>
    <s v="New York City"/>
    <x v="15"/>
    <n v="10009"/>
    <x v="3"/>
    <x v="1"/>
    <x v="6"/>
    <n v="5.56"/>
    <n v="2"/>
    <n v="0"/>
    <n v="1.4456"/>
  </r>
  <r>
    <s v="Standard Class"/>
    <x v="0"/>
    <s v="United States"/>
    <s v="New York City"/>
    <x v="15"/>
    <n v="10009"/>
    <x v="3"/>
    <x v="0"/>
    <x v="5"/>
    <n v="47.12"/>
    <n v="8"/>
    <n v="0"/>
    <n v="20.732800000000001"/>
  </r>
  <r>
    <s v="Standard Class"/>
    <x v="0"/>
    <s v="United States"/>
    <s v="San Francisco"/>
    <x v="1"/>
    <n v="94109"/>
    <x v="1"/>
    <x v="1"/>
    <x v="4"/>
    <n v="211.96"/>
    <n v="4"/>
    <n v="0"/>
    <n v="8.4784000000000006"/>
  </r>
  <r>
    <s v="Same Day"/>
    <x v="1"/>
    <s v="United States"/>
    <s v="Manchester"/>
    <x v="29"/>
    <n v="6040"/>
    <x v="3"/>
    <x v="1"/>
    <x v="8"/>
    <n v="23.2"/>
    <n v="4"/>
    <n v="0"/>
    <n v="10.44"/>
  </r>
  <r>
    <s v="Same Day"/>
    <x v="1"/>
    <s v="United States"/>
    <s v="Manchester"/>
    <x v="29"/>
    <n v="6040"/>
    <x v="3"/>
    <x v="1"/>
    <x v="14"/>
    <n v="7.36"/>
    <n v="2"/>
    <n v="0"/>
    <n v="0.1472"/>
  </r>
  <r>
    <s v="Same Day"/>
    <x v="1"/>
    <s v="United States"/>
    <s v="Manchester"/>
    <x v="29"/>
    <n v="6040"/>
    <x v="3"/>
    <x v="1"/>
    <x v="4"/>
    <n v="104.79"/>
    <n v="7"/>
    <n v="0"/>
    <n v="29.341200000000001"/>
  </r>
  <r>
    <s v="Same Day"/>
    <x v="1"/>
    <s v="United States"/>
    <s v="Manchester"/>
    <x v="29"/>
    <n v="6040"/>
    <x v="3"/>
    <x v="0"/>
    <x v="0"/>
    <n v="1043.92"/>
    <n v="4"/>
    <n v="0"/>
    <n v="271.41919999999999"/>
  </r>
  <r>
    <s v="Standard Class"/>
    <x v="0"/>
    <s v="United States"/>
    <s v="Harlingen"/>
    <x v="5"/>
    <n v="78550"/>
    <x v="2"/>
    <x v="1"/>
    <x v="10"/>
    <n v="25.92"/>
    <n v="5"/>
    <n v="0.2"/>
    <n v="9.3960000000000008"/>
  </r>
  <r>
    <s v="Standard Class"/>
    <x v="0"/>
    <s v="United States"/>
    <s v="Harlingen"/>
    <x v="5"/>
    <n v="78550"/>
    <x v="2"/>
    <x v="1"/>
    <x v="4"/>
    <n v="53.423999999999999"/>
    <n v="3"/>
    <n v="0.2"/>
    <n v="4.6745999999999999"/>
  </r>
  <r>
    <s v="Standard Class"/>
    <x v="0"/>
    <s v="United States"/>
    <s v="Tucson"/>
    <x v="16"/>
    <n v="85705"/>
    <x v="1"/>
    <x v="1"/>
    <x v="8"/>
    <n v="8.16"/>
    <n v="5"/>
    <n v="0.7"/>
    <n v="-5.7119999999999997"/>
  </r>
  <r>
    <s v="Standard Class"/>
    <x v="0"/>
    <s v="United States"/>
    <s v="Tucson"/>
    <x v="16"/>
    <n v="85705"/>
    <x v="1"/>
    <x v="2"/>
    <x v="11"/>
    <n v="1023.936"/>
    <n v="8"/>
    <n v="0.2"/>
    <n v="179.18879999999999"/>
  </r>
  <r>
    <s v="Standard Class"/>
    <x v="0"/>
    <s v="United States"/>
    <s v="Tucson"/>
    <x v="16"/>
    <n v="85705"/>
    <x v="1"/>
    <x v="1"/>
    <x v="6"/>
    <n v="9.24"/>
    <n v="1"/>
    <n v="0.2"/>
    <n v="0.92400000000000004"/>
  </r>
  <r>
    <s v="Standard Class"/>
    <x v="0"/>
    <s v="United States"/>
    <s v="Tucson"/>
    <x v="16"/>
    <n v="85705"/>
    <x v="1"/>
    <x v="2"/>
    <x v="11"/>
    <n v="479.04"/>
    <n v="10"/>
    <n v="0.2"/>
    <n v="-29.94"/>
  </r>
  <r>
    <s v="First Class"/>
    <x v="1"/>
    <s v="United States"/>
    <s v="Quincy"/>
    <x v="10"/>
    <n v="62301"/>
    <x v="2"/>
    <x v="1"/>
    <x v="10"/>
    <n v="99.135999999999996"/>
    <n v="4"/>
    <n v="0.2"/>
    <n v="30.98"/>
  </r>
  <r>
    <s v="Standard Class"/>
    <x v="1"/>
    <s v="United States"/>
    <s v="Franklin"/>
    <x v="31"/>
    <n v="2038"/>
    <x v="3"/>
    <x v="0"/>
    <x v="3"/>
    <n v="1488.424"/>
    <n v="7"/>
    <n v="0.3"/>
    <n v="-297.6848"/>
  </r>
  <r>
    <s v="Standard Class"/>
    <x v="0"/>
    <s v="United States"/>
    <s v="Houston"/>
    <x v="5"/>
    <n v="77095"/>
    <x v="2"/>
    <x v="1"/>
    <x v="9"/>
    <n v="8.6519999999999992"/>
    <n v="3"/>
    <n v="0.8"/>
    <n v="-20.3322"/>
  </r>
  <r>
    <s v="Standard Class"/>
    <x v="0"/>
    <s v="United States"/>
    <s v="Houston"/>
    <x v="5"/>
    <n v="77095"/>
    <x v="2"/>
    <x v="1"/>
    <x v="4"/>
    <n v="23.832000000000001"/>
    <n v="3"/>
    <n v="0.2"/>
    <n v="2.6810999999999998"/>
  </r>
  <r>
    <s v="Standard Class"/>
    <x v="0"/>
    <s v="United States"/>
    <s v="Houston"/>
    <x v="5"/>
    <n v="77095"/>
    <x v="2"/>
    <x v="1"/>
    <x v="8"/>
    <n v="12.176"/>
    <n v="4"/>
    <n v="0.8"/>
    <n v="-18.872800000000002"/>
  </r>
  <r>
    <s v="First Class"/>
    <x v="1"/>
    <s v="United States"/>
    <s v="San Francisco"/>
    <x v="1"/>
    <n v="94109"/>
    <x v="1"/>
    <x v="1"/>
    <x v="10"/>
    <n v="50.96"/>
    <n v="7"/>
    <n v="0"/>
    <n v="25.48"/>
  </r>
  <r>
    <s v="First Class"/>
    <x v="1"/>
    <s v="United States"/>
    <s v="San Francisco"/>
    <x v="1"/>
    <n v="94109"/>
    <x v="1"/>
    <x v="1"/>
    <x v="8"/>
    <n v="49.536000000000001"/>
    <n v="3"/>
    <n v="0.2"/>
    <n v="17.337599999999998"/>
  </r>
  <r>
    <s v="Second Class"/>
    <x v="1"/>
    <s v="United States"/>
    <s v="Taylor"/>
    <x v="12"/>
    <n v="48180"/>
    <x v="2"/>
    <x v="2"/>
    <x v="11"/>
    <n v="41.9"/>
    <n v="2"/>
    <n v="0"/>
    <n v="8.7989999999999995"/>
  </r>
  <r>
    <s v="Standard Class"/>
    <x v="0"/>
    <s v="United States"/>
    <s v="Pembroke Pines"/>
    <x v="2"/>
    <n v="33024"/>
    <x v="0"/>
    <x v="0"/>
    <x v="3"/>
    <n v="375.45749999999998"/>
    <n v="3"/>
    <n v="0.45"/>
    <n v="-157.0095"/>
  </r>
  <r>
    <s v="Standard Class"/>
    <x v="0"/>
    <s v="United States"/>
    <s v="Pembroke Pines"/>
    <x v="2"/>
    <n v="33024"/>
    <x v="0"/>
    <x v="2"/>
    <x v="11"/>
    <n v="83.975999999999999"/>
    <n v="3"/>
    <n v="0.2"/>
    <n v="-1.0497000000000001"/>
  </r>
  <r>
    <s v="Standard Class"/>
    <x v="1"/>
    <s v="United States"/>
    <s v="Philadelphia"/>
    <x v="9"/>
    <n v="19140"/>
    <x v="3"/>
    <x v="2"/>
    <x v="15"/>
    <n v="482.34"/>
    <n v="4"/>
    <n v="0.7"/>
    <n v="-337.63799999999998"/>
  </r>
  <r>
    <s v="Standard Class"/>
    <x v="1"/>
    <s v="United States"/>
    <s v="Philadelphia"/>
    <x v="9"/>
    <n v="19140"/>
    <x v="3"/>
    <x v="0"/>
    <x v="5"/>
    <n v="2.96"/>
    <n v="1"/>
    <n v="0.2"/>
    <n v="0.77700000000000002"/>
  </r>
  <r>
    <s v="First Class"/>
    <x v="0"/>
    <s v="United States"/>
    <s v="Cincinnati"/>
    <x v="24"/>
    <n v="45231"/>
    <x v="3"/>
    <x v="1"/>
    <x v="6"/>
    <n v="2.6240000000000001"/>
    <n v="1"/>
    <n v="0.2"/>
    <n v="0.4264"/>
  </r>
  <r>
    <s v="Standard Class"/>
    <x v="0"/>
    <s v="United States"/>
    <s v="New York City"/>
    <x v="15"/>
    <n v="10009"/>
    <x v="3"/>
    <x v="1"/>
    <x v="8"/>
    <n v="23.36"/>
    <n v="4"/>
    <n v="0.2"/>
    <n v="7.8840000000000003"/>
  </r>
  <r>
    <s v="Standard Class"/>
    <x v="0"/>
    <s v="United States"/>
    <s v="New York City"/>
    <x v="15"/>
    <n v="10009"/>
    <x v="3"/>
    <x v="2"/>
    <x v="11"/>
    <n v="39.979999999999997"/>
    <n v="2"/>
    <n v="0"/>
    <n v="13.5932"/>
  </r>
  <r>
    <s v="Second Class"/>
    <x v="0"/>
    <s v="United States"/>
    <s v="Des Moines"/>
    <x v="4"/>
    <n v="98198"/>
    <x v="1"/>
    <x v="2"/>
    <x v="7"/>
    <n v="246.38399999999999"/>
    <n v="2"/>
    <n v="0.2"/>
    <n v="27.7182"/>
  </r>
  <r>
    <s v="Second Class"/>
    <x v="0"/>
    <s v="United States"/>
    <s v="Des Moines"/>
    <x v="4"/>
    <n v="98198"/>
    <x v="1"/>
    <x v="2"/>
    <x v="16"/>
    <n v="1799.97"/>
    <n v="3"/>
    <n v="0"/>
    <n v="701.98829999999998"/>
  </r>
  <r>
    <s v="Second Class"/>
    <x v="1"/>
    <s v="United States"/>
    <s v="Peoria"/>
    <x v="10"/>
    <n v="61604"/>
    <x v="2"/>
    <x v="1"/>
    <x v="8"/>
    <n v="12.462"/>
    <n v="3"/>
    <n v="0.8"/>
    <n v="-20.5623"/>
  </r>
  <r>
    <s v="Standard Class"/>
    <x v="2"/>
    <s v="United States"/>
    <s v="Las Vegas"/>
    <x v="33"/>
    <n v="89115"/>
    <x v="1"/>
    <x v="1"/>
    <x v="8"/>
    <n v="75.792000000000002"/>
    <n v="3"/>
    <n v="0.2"/>
    <n v="25.579799999999999"/>
  </r>
  <r>
    <s v="Second Class"/>
    <x v="1"/>
    <s v="United States"/>
    <s v="Warwick"/>
    <x v="34"/>
    <n v="2886"/>
    <x v="3"/>
    <x v="1"/>
    <x v="4"/>
    <n v="49.96"/>
    <n v="2"/>
    <n v="0"/>
    <n v="9.4923999999999999"/>
  </r>
  <r>
    <s v="Second Class"/>
    <x v="1"/>
    <s v="United States"/>
    <s v="Warwick"/>
    <x v="34"/>
    <n v="2886"/>
    <x v="3"/>
    <x v="1"/>
    <x v="10"/>
    <n v="12.96"/>
    <n v="2"/>
    <n v="0"/>
    <n v="6.2207999999999997"/>
  </r>
  <r>
    <s v="Standard Class"/>
    <x v="2"/>
    <s v="United States"/>
    <s v="Jackson"/>
    <x v="12"/>
    <n v="49201"/>
    <x v="2"/>
    <x v="1"/>
    <x v="14"/>
    <n v="70.12"/>
    <n v="4"/>
    <n v="0"/>
    <n v="21.036000000000001"/>
  </r>
  <r>
    <s v="Second Class"/>
    <x v="0"/>
    <s v="United States"/>
    <s v="Houston"/>
    <x v="5"/>
    <n v="77036"/>
    <x v="2"/>
    <x v="1"/>
    <x v="4"/>
    <n v="35.951999999999998"/>
    <n v="3"/>
    <n v="0.2"/>
    <n v="3.5952000000000002"/>
  </r>
  <r>
    <s v="Second Class"/>
    <x v="0"/>
    <s v="United States"/>
    <s v="Houston"/>
    <x v="5"/>
    <n v="77036"/>
    <x v="2"/>
    <x v="0"/>
    <x v="0"/>
    <n v="2396.2656000000002"/>
    <n v="4"/>
    <n v="0.32"/>
    <n v="-317.15280000000001"/>
  </r>
  <r>
    <s v="Second Class"/>
    <x v="0"/>
    <s v="United States"/>
    <s v="Houston"/>
    <x v="5"/>
    <n v="77036"/>
    <x v="2"/>
    <x v="1"/>
    <x v="4"/>
    <n v="131.136"/>
    <n v="4"/>
    <n v="0.2"/>
    <n v="-32.783999999999999"/>
  </r>
  <r>
    <s v="Second Class"/>
    <x v="0"/>
    <s v="United States"/>
    <s v="Houston"/>
    <x v="5"/>
    <n v="77036"/>
    <x v="2"/>
    <x v="2"/>
    <x v="11"/>
    <n v="57.584000000000003"/>
    <n v="2"/>
    <n v="0.2"/>
    <n v="0.7198"/>
  </r>
  <r>
    <s v="First Class"/>
    <x v="0"/>
    <s v="United States"/>
    <s v="Miami"/>
    <x v="2"/>
    <n v="33180"/>
    <x v="0"/>
    <x v="1"/>
    <x v="10"/>
    <n v="9.5679999999999996"/>
    <n v="2"/>
    <n v="0.2"/>
    <n v="3.4683999999999999"/>
  </r>
  <r>
    <s v="Standard Class"/>
    <x v="1"/>
    <s v="United States"/>
    <s v="Wilmington"/>
    <x v="3"/>
    <n v="28403"/>
    <x v="0"/>
    <x v="1"/>
    <x v="6"/>
    <n v="39.072000000000003"/>
    <n v="6"/>
    <n v="0.2"/>
    <n v="9.7680000000000007"/>
  </r>
  <r>
    <s v="Standard Class"/>
    <x v="0"/>
    <s v="United States"/>
    <s v="New York City"/>
    <x v="15"/>
    <n v="10024"/>
    <x v="3"/>
    <x v="1"/>
    <x v="9"/>
    <n v="35.909999999999997"/>
    <n v="3"/>
    <n v="0"/>
    <n v="9.6957000000000004"/>
  </r>
  <r>
    <s v="Standard Class"/>
    <x v="0"/>
    <s v="United States"/>
    <s v="San Francisco"/>
    <x v="1"/>
    <n v="94110"/>
    <x v="1"/>
    <x v="2"/>
    <x v="11"/>
    <n v="179.95"/>
    <n v="5"/>
    <n v="0"/>
    <n v="37.789499999999997"/>
  </r>
  <r>
    <s v="Standard Class"/>
    <x v="0"/>
    <s v="United States"/>
    <s v="San Francisco"/>
    <x v="1"/>
    <n v="94110"/>
    <x v="1"/>
    <x v="2"/>
    <x v="16"/>
    <n v="1199.9760000000001"/>
    <n v="3"/>
    <n v="0.2"/>
    <n v="434.99130000000002"/>
  </r>
  <r>
    <s v="Standard Class"/>
    <x v="0"/>
    <s v="United States"/>
    <s v="San Francisco"/>
    <x v="1"/>
    <n v="94110"/>
    <x v="1"/>
    <x v="1"/>
    <x v="10"/>
    <n v="27.15"/>
    <n v="5"/>
    <n v="0"/>
    <n v="13.3035"/>
  </r>
  <r>
    <s v="Standard Class"/>
    <x v="0"/>
    <s v="United States"/>
    <s v="San Francisco"/>
    <x v="1"/>
    <n v="94110"/>
    <x v="1"/>
    <x v="0"/>
    <x v="3"/>
    <n v="1004.024"/>
    <n v="7"/>
    <n v="0.2"/>
    <n v="-112.95269999999999"/>
  </r>
  <r>
    <s v="Standard Class"/>
    <x v="0"/>
    <s v="United States"/>
    <s v="San Francisco"/>
    <x v="1"/>
    <n v="94110"/>
    <x v="1"/>
    <x v="1"/>
    <x v="10"/>
    <n v="9.68"/>
    <n v="1"/>
    <n v="0"/>
    <n v="4.6463999999999999"/>
  </r>
  <r>
    <s v="Standard Class"/>
    <x v="0"/>
    <s v="United States"/>
    <s v="San Francisco"/>
    <x v="1"/>
    <n v="94110"/>
    <x v="1"/>
    <x v="1"/>
    <x v="2"/>
    <n v="28.35"/>
    <n v="9"/>
    <n v="0"/>
    <n v="13.608000000000001"/>
  </r>
  <r>
    <s v="Standard Class"/>
    <x v="0"/>
    <s v="United States"/>
    <s v="San Francisco"/>
    <x v="1"/>
    <n v="94110"/>
    <x v="1"/>
    <x v="1"/>
    <x v="10"/>
    <n v="55.98"/>
    <n v="1"/>
    <n v="0"/>
    <n v="27.430199999999999"/>
  </r>
  <r>
    <s v="Standard Class"/>
    <x v="0"/>
    <s v="United States"/>
    <s v="San Francisco"/>
    <x v="1"/>
    <n v="94110"/>
    <x v="1"/>
    <x v="0"/>
    <x v="0"/>
    <n v="1336.829"/>
    <n v="13"/>
    <n v="0.15"/>
    <n v="31.454799999999999"/>
  </r>
  <r>
    <s v="Standard Class"/>
    <x v="0"/>
    <s v="United States"/>
    <s v="San Francisco"/>
    <x v="1"/>
    <n v="94110"/>
    <x v="1"/>
    <x v="0"/>
    <x v="1"/>
    <n v="113.568"/>
    <n v="2"/>
    <n v="0.2"/>
    <n v="-18.454799999999999"/>
  </r>
  <r>
    <s v="Standard Class"/>
    <x v="1"/>
    <s v="United States"/>
    <s v="Seattle"/>
    <x v="4"/>
    <n v="98105"/>
    <x v="1"/>
    <x v="1"/>
    <x v="10"/>
    <n v="139.86000000000001"/>
    <n v="7"/>
    <n v="0"/>
    <n v="65.734200000000001"/>
  </r>
  <r>
    <s v="Standard Class"/>
    <x v="1"/>
    <s v="United States"/>
    <s v="Seattle"/>
    <x v="4"/>
    <n v="98105"/>
    <x v="1"/>
    <x v="0"/>
    <x v="1"/>
    <n v="307.13600000000002"/>
    <n v="4"/>
    <n v="0.2"/>
    <n v="26.874400000000001"/>
  </r>
  <r>
    <s v="Standard Class"/>
    <x v="0"/>
    <s v="United States"/>
    <s v="Huntington Beach"/>
    <x v="1"/>
    <n v="92646"/>
    <x v="1"/>
    <x v="1"/>
    <x v="6"/>
    <n v="95.92"/>
    <n v="8"/>
    <n v="0"/>
    <n v="25.898399999999999"/>
  </r>
  <r>
    <s v="Standard Class"/>
    <x v="0"/>
    <s v="United States"/>
    <s v="Los Angeles"/>
    <x v="1"/>
    <n v="90004"/>
    <x v="1"/>
    <x v="0"/>
    <x v="1"/>
    <n v="383.8"/>
    <n v="5"/>
    <n v="0.2"/>
    <n v="38.380000000000003"/>
  </r>
  <r>
    <s v="Standard Class"/>
    <x v="1"/>
    <s v="United States"/>
    <s v="Richmond"/>
    <x v="0"/>
    <n v="40475"/>
    <x v="0"/>
    <x v="1"/>
    <x v="10"/>
    <n v="5.78"/>
    <n v="1"/>
    <n v="0"/>
    <n v="2.8321999999999998"/>
  </r>
  <r>
    <s v="Standard Class"/>
    <x v="1"/>
    <s v="United States"/>
    <s v="Los Angeles"/>
    <x v="1"/>
    <n v="90045"/>
    <x v="1"/>
    <x v="1"/>
    <x v="6"/>
    <n v="9.32"/>
    <n v="4"/>
    <n v="0"/>
    <n v="2.7027999999999999"/>
  </r>
  <r>
    <s v="Standard Class"/>
    <x v="1"/>
    <s v="United States"/>
    <s v="Los Angeles"/>
    <x v="1"/>
    <n v="90045"/>
    <x v="1"/>
    <x v="1"/>
    <x v="12"/>
    <n v="15.25"/>
    <n v="1"/>
    <n v="0"/>
    <n v="7.0149999999999997"/>
  </r>
  <r>
    <s v="First Class"/>
    <x v="0"/>
    <s v="United States"/>
    <s v="Louisville"/>
    <x v="22"/>
    <n v="80027"/>
    <x v="1"/>
    <x v="2"/>
    <x v="11"/>
    <n v="196.75200000000001"/>
    <n v="6"/>
    <n v="0.2"/>
    <n v="56.566200000000002"/>
  </r>
  <r>
    <s v="Standard Class"/>
    <x v="1"/>
    <s v="United States"/>
    <s v="Lawrence"/>
    <x v="31"/>
    <n v="1841"/>
    <x v="3"/>
    <x v="0"/>
    <x v="5"/>
    <n v="56.56"/>
    <n v="4"/>
    <n v="0"/>
    <n v="14.7056"/>
  </r>
  <r>
    <s v="Standard Class"/>
    <x v="1"/>
    <s v="United States"/>
    <s v="Lawrence"/>
    <x v="31"/>
    <n v="1841"/>
    <x v="3"/>
    <x v="1"/>
    <x v="4"/>
    <n v="32.700000000000003"/>
    <n v="3"/>
    <n v="0"/>
    <n v="8.5020000000000007"/>
  </r>
  <r>
    <s v="Second Class"/>
    <x v="0"/>
    <s v="United States"/>
    <s v="Jackson"/>
    <x v="35"/>
    <n v="39212"/>
    <x v="0"/>
    <x v="0"/>
    <x v="1"/>
    <n v="866.4"/>
    <n v="4"/>
    <n v="0"/>
    <n v="225.26400000000001"/>
  </r>
  <r>
    <s v="Second Class"/>
    <x v="1"/>
    <s v="United States"/>
    <s v="Canton"/>
    <x v="12"/>
    <n v="48187"/>
    <x v="2"/>
    <x v="0"/>
    <x v="5"/>
    <n v="28.4"/>
    <n v="2"/>
    <n v="0"/>
    <n v="11.076000000000001"/>
  </r>
  <r>
    <s v="Second Class"/>
    <x v="1"/>
    <s v="United States"/>
    <s v="Canton"/>
    <x v="12"/>
    <n v="48187"/>
    <x v="2"/>
    <x v="1"/>
    <x v="8"/>
    <n v="287.92"/>
    <n v="8"/>
    <n v="0"/>
    <n v="138.20160000000001"/>
  </r>
  <r>
    <s v="First Class"/>
    <x v="2"/>
    <s v="United States"/>
    <s v="New Rochelle"/>
    <x v="15"/>
    <n v="10801"/>
    <x v="3"/>
    <x v="2"/>
    <x v="15"/>
    <n v="69.989999999999995"/>
    <n v="1"/>
    <n v="0"/>
    <n v="30.095700000000001"/>
  </r>
  <r>
    <s v="Standard Class"/>
    <x v="1"/>
    <s v="United States"/>
    <s v="San Antonio"/>
    <x v="5"/>
    <n v="78207"/>
    <x v="2"/>
    <x v="1"/>
    <x v="6"/>
    <n v="6.6719999999999997"/>
    <n v="6"/>
    <n v="0.2"/>
    <n v="0.50039999999999996"/>
  </r>
  <r>
    <s v="Standard Class"/>
    <x v="2"/>
    <s v="United States"/>
    <s v="Gastonia"/>
    <x v="3"/>
    <n v="28052"/>
    <x v="0"/>
    <x v="1"/>
    <x v="8"/>
    <n v="189.58799999999999"/>
    <n v="2"/>
    <n v="0.7"/>
    <n v="-145.35079999999999"/>
  </r>
  <r>
    <s v="Standard Class"/>
    <x v="2"/>
    <s v="United States"/>
    <s v="Gastonia"/>
    <x v="3"/>
    <n v="28052"/>
    <x v="0"/>
    <x v="2"/>
    <x v="11"/>
    <n v="408.74400000000003"/>
    <n v="7"/>
    <n v="0.2"/>
    <n v="76.639499999999998"/>
  </r>
  <r>
    <s v="Standard Class"/>
    <x v="2"/>
    <s v="United States"/>
    <s v="Gastonia"/>
    <x v="3"/>
    <n v="28052"/>
    <x v="0"/>
    <x v="2"/>
    <x v="11"/>
    <n v="291.95999999999998"/>
    <n v="5"/>
    <n v="0.2"/>
    <n v="54.7425"/>
  </r>
  <r>
    <s v="Standard Class"/>
    <x v="2"/>
    <s v="United States"/>
    <s v="Gastonia"/>
    <x v="3"/>
    <n v="28052"/>
    <x v="0"/>
    <x v="1"/>
    <x v="4"/>
    <n v="4.7679999999999998"/>
    <n v="2"/>
    <n v="0.2"/>
    <n v="-0.77480000000000004"/>
  </r>
  <r>
    <s v="First Class"/>
    <x v="0"/>
    <s v="United States"/>
    <s v="Lowell"/>
    <x v="31"/>
    <n v="1852"/>
    <x v="3"/>
    <x v="1"/>
    <x v="4"/>
    <n v="714.3"/>
    <n v="5"/>
    <n v="0"/>
    <n v="207.14699999999999"/>
  </r>
  <r>
    <s v="Standard Class"/>
    <x v="0"/>
    <s v="United States"/>
    <s v="Jacksonville"/>
    <x v="2"/>
    <n v="32216"/>
    <x v="0"/>
    <x v="1"/>
    <x v="8"/>
    <n v="4.8120000000000003"/>
    <n v="2"/>
    <n v="0.7"/>
    <n v="-3.6892"/>
  </r>
  <r>
    <s v="Standard Class"/>
    <x v="0"/>
    <s v="United States"/>
    <s v="Jacksonville"/>
    <x v="2"/>
    <n v="32216"/>
    <x v="0"/>
    <x v="2"/>
    <x v="11"/>
    <n v="247.8"/>
    <n v="5"/>
    <n v="0.2"/>
    <n v="-18.585000000000001"/>
  </r>
  <r>
    <s v="Second Class"/>
    <x v="2"/>
    <s v="United States"/>
    <s v="Chicago"/>
    <x v="10"/>
    <n v="60623"/>
    <x v="2"/>
    <x v="2"/>
    <x v="15"/>
    <n v="1007.979"/>
    <n v="3"/>
    <n v="0.3"/>
    <n v="43.199100000000001"/>
  </r>
  <r>
    <s v="Second Class"/>
    <x v="2"/>
    <s v="United States"/>
    <s v="Chicago"/>
    <x v="10"/>
    <n v="60623"/>
    <x v="2"/>
    <x v="1"/>
    <x v="10"/>
    <n v="313.488"/>
    <n v="7"/>
    <n v="0.2"/>
    <n v="113.63939999999999"/>
  </r>
  <r>
    <s v="Standard Class"/>
    <x v="1"/>
    <s v="United States"/>
    <s v="Houston"/>
    <x v="5"/>
    <n v="77070"/>
    <x v="2"/>
    <x v="1"/>
    <x v="10"/>
    <n v="31.872"/>
    <n v="8"/>
    <n v="0.2"/>
    <n v="11.553599999999999"/>
  </r>
  <r>
    <s v="Second Class"/>
    <x v="1"/>
    <s v="United States"/>
    <s v="New York City"/>
    <x v="15"/>
    <n v="10024"/>
    <x v="3"/>
    <x v="0"/>
    <x v="1"/>
    <n v="207.846"/>
    <n v="3"/>
    <n v="0.1"/>
    <n v="2.3094000000000001"/>
  </r>
  <r>
    <s v="Second Class"/>
    <x v="0"/>
    <s v="United States"/>
    <s v="Detroit"/>
    <x v="12"/>
    <n v="48227"/>
    <x v="2"/>
    <x v="0"/>
    <x v="5"/>
    <n v="12.22"/>
    <n v="1"/>
    <n v="0"/>
    <n v="3.6659999999999999"/>
  </r>
  <r>
    <s v="Second Class"/>
    <x v="0"/>
    <s v="United States"/>
    <s v="Detroit"/>
    <x v="12"/>
    <n v="48227"/>
    <x v="2"/>
    <x v="1"/>
    <x v="4"/>
    <n v="194.94"/>
    <n v="3"/>
    <n v="0"/>
    <n v="23.392800000000001"/>
  </r>
  <r>
    <s v="Second Class"/>
    <x v="0"/>
    <s v="United States"/>
    <s v="Detroit"/>
    <x v="12"/>
    <n v="48227"/>
    <x v="2"/>
    <x v="1"/>
    <x v="4"/>
    <n v="70.95"/>
    <n v="3"/>
    <n v="0"/>
    <n v="20.575500000000002"/>
  </r>
  <r>
    <s v="Second Class"/>
    <x v="0"/>
    <s v="United States"/>
    <s v="Detroit"/>
    <x v="12"/>
    <n v="48227"/>
    <x v="2"/>
    <x v="1"/>
    <x v="10"/>
    <n v="91.36"/>
    <n v="4"/>
    <n v="0"/>
    <n v="42.025599999999997"/>
  </r>
  <r>
    <s v="Second Class"/>
    <x v="0"/>
    <s v="United States"/>
    <s v="Detroit"/>
    <x v="12"/>
    <n v="48227"/>
    <x v="2"/>
    <x v="0"/>
    <x v="1"/>
    <n v="242.94"/>
    <n v="3"/>
    <n v="0"/>
    <n v="29.152799999999999"/>
  </r>
  <r>
    <s v="Second Class"/>
    <x v="0"/>
    <s v="United States"/>
    <s v="Detroit"/>
    <x v="12"/>
    <n v="48227"/>
    <x v="2"/>
    <x v="1"/>
    <x v="2"/>
    <n v="22.05"/>
    <n v="7"/>
    <n v="0"/>
    <n v="10.584"/>
  </r>
  <r>
    <s v="Second Class"/>
    <x v="0"/>
    <s v="United States"/>
    <s v="Columbus"/>
    <x v="14"/>
    <n v="47201"/>
    <x v="2"/>
    <x v="0"/>
    <x v="5"/>
    <n v="2.91"/>
    <n v="1"/>
    <n v="0"/>
    <n v="1.3676999999999999"/>
  </r>
  <r>
    <s v="Second Class"/>
    <x v="0"/>
    <s v="United States"/>
    <s v="Auburn"/>
    <x v="15"/>
    <n v="13021"/>
    <x v="3"/>
    <x v="1"/>
    <x v="6"/>
    <n v="59.52"/>
    <n v="3"/>
    <n v="0"/>
    <n v="15.475199999999999"/>
  </r>
  <r>
    <s v="Second Class"/>
    <x v="0"/>
    <s v="United States"/>
    <s v="Auburn"/>
    <x v="15"/>
    <n v="13021"/>
    <x v="3"/>
    <x v="1"/>
    <x v="4"/>
    <n v="161.94"/>
    <n v="3"/>
    <n v="0"/>
    <n v="9.7164000000000001"/>
  </r>
  <r>
    <s v="Second Class"/>
    <x v="0"/>
    <s v="United States"/>
    <s v="Auburn"/>
    <x v="15"/>
    <n v="13021"/>
    <x v="3"/>
    <x v="1"/>
    <x v="6"/>
    <n v="263.88"/>
    <n v="6"/>
    <n v="0"/>
    <n v="71.247600000000006"/>
  </r>
  <r>
    <s v="Second Class"/>
    <x v="0"/>
    <s v="United States"/>
    <s v="Auburn"/>
    <x v="15"/>
    <n v="13021"/>
    <x v="3"/>
    <x v="1"/>
    <x v="6"/>
    <n v="30.48"/>
    <n v="3"/>
    <n v="0"/>
    <n v="7.9248000000000003"/>
  </r>
  <r>
    <s v="Second Class"/>
    <x v="0"/>
    <s v="United States"/>
    <s v="Auburn"/>
    <x v="15"/>
    <n v="13021"/>
    <x v="3"/>
    <x v="1"/>
    <x v="6"/>
    <n v="9.84"/>
    <n v="3"/>
    <n v="0"/>
    <n v="2.8536000000000001"/>
  </r>
  <r>
    <s v="Second Class"/>
    <x v="0"/>
    <s v="United States"/>
    <s v="Auburn"/>
    <x v="15"/>
    <n v="13021"/>
    <x v="3"/>
    <x v="2"/>
    <x v="7"/>
    <n v="35.119999999999997"/>
    <n v="4"/>
    <n v="0"/>
    <n v="9.1311999999999998"/>
  </r>
  <r>
    <s v="Standard Class"/>
    <x v="1"/>
    <s v="United States"/>
    <s v="Akron"/>
    <x v="24"/>
    <n v="44312"/>
    <x v="3"/>
    <x v="0"/>
    <x v="3"/>
    <n v="284.36399999999998"/>
    <n v="2"/>
    <n v="0.4"/>
    <n v="-75.830399999999997"/>
  </r>
  <r>
    <s v="Standard Class"/>
    <x v="1"/>
    <s v="United States"/>
    <s v="Akron"/>
    <x v="24"/>
    <n v="44312"/>
    <x v="3"/>
    <x v="1"/>
    <x v="4"/>
    <n v="665.40800000000002"/>
    <n v="2"/>
    <n v="0.2"/>
    <n v="66.540800000000004"/>
  </r>
  <r>
    <s v="Standard Class"/>
    <x v="1"/>
    <s v="United States"/>
    <s v="Norman"/>
    <x v="26"/>
    <n v="73071"/>
    <x v="2"/>
    <x v="2"/>
    <x v="11"/>
    <n v="63.88"/>
    <n v="4"/>
    <n v="0"/>
    <n v="24.9132"/>
  </r>
  <r>
    <s v="Standard Class"/>
    <x v="0"/>
    <s v="United States"/>
    <s v="Concord"/>
    <x v="1"/>
    <n v="94521"/>
    <x v="1"/>
    <x v="0"/>
    <x v="1"/>
    <n v="129.56800000000001"/>
    <n v="2"/>
    <n v="0.2"/>
    <n v="-24.294"/>
  </r>
  <r>
    <s v="Standard Class"/>
    <x v="0"/>
    <s v="United States"/>
    <s v="Decatur"/>
    <x v="10"/>
    <n v="62521"/>
    <x v="2"/>
    <x v="0"/>
    <x v="1"/>
    <n v="747.55799999999999"/>
    <n v="3"/>
    <n v="0.3"/>
    <n v="-96.114599999999996"/>
  </r>
  <r>
    <s v="Standard Class"/>
    <x v="0"/>
    <s v="United States"/>
    <s v="Decatur"/>
    <x v="10"/>
    <n v="62521"/>
    <x v="2"/>
    <x v="1"/>
    <x v="12"/>
    <n v="8.9280000000000008"/>
    <n v="2"/>
    <n v="0.2"/>
    <n v="3.3479999999999999"/>
  </r>
  <r>
    <s v="Standard Class"/>
    <x v="0"/>
    <s v="United States"/>
    <s v="Seattle"/>
    <x v="4"/>
    <n v="98115"/>
    <x v="1"/>
    <x v="1"/>
    <x v="9"/>
    <n v="103.92"/>
    <n v="4"/>
    <n v="0"/>
    <n v="36.372"/>
  </r>
  <r>
    <s v="Standard Class"/>
    <x v="0"/>
    <s v="United States"/>
    <s v="Seattle"/>
    <x v="4"/>
    <n v="98115"/>
    <x v="1"/>
    <x v="2"/>
    <x v="11"/>
    <n v="899.91"/>
    <n v="9"/>
    <n v="0"/>
    <n v="377.9622"/>
  </r>
  <r>
    <s v="Standard Class"/>
    <x v="0"/>
    <s v="United States"/>
    <s v="Seattle"/>
    <x v="4"/>
    <n v="98115"/>
    <x v="1"/>
    <x v="1"/>
    <x v="8"/>
    <n v="51.311999999999998"/>
    <n v="3"/>
    <n v="0.2"/>
    <n v="18.6006"/>
  </r>
  <r>
    <s v="Standard Class"/>
    <x v="2"/>
    <s v="United States"/>
    <s v="Phoenix"/>
    <x v="16"/>
    <n v="85023"/>
    <x v="1"/>
    <x v="0"/>
    <x v="5"/>
    <n v="23.56"/>
    <n v="5"/>
    <n v="0.2"/>
    <n v="7.0679999999999996"/>
  </r>
  <r>
    <s v="Standard Class"/>
    <x v="2"/>
    <s v="United States"/>
    <s v="Phoenix"/>
    <x v="16"/>
    <n v="85023"/>
    <x v="1"/>
    <x v="0"/>
    <x v="3"/>
    <n v="1272.6300000000001"/>
    <n v="6"/>
    <n v="0.5"/>
    <n v="-814.48320000000001"/>
  </r>
  <r>
    <s v="Standard Class"/>
    <x v="2"/>
    <s v="United States"/>
    <s v="Phoenix"/>
    <x v="16"/>
    <n v="85023"/>
    <x v="1"/>
    <x v="1"/>
    <x v="8"/>
    <n v="28.484999999999999"/>
    <n v="5"/>
    <n v="0.7"/>
    <n v="-20.888999999999999"/>
  </r>
  <r>
    <s v="Standard Class"/>
    <x v="2"/>
    <s v="United States"/>
    <s v="Phoenix"/>
    <x v="16"/>
    <n v="85023"/>
    <x v="1"/>
    <x v="1"/>
    <x v="14"/>
    <n v="185.376"/>
    <n v="2"/>
    <n v="0.2"/>
    <n v="-34.758000000000003"/>
  </r>
  <r>
    <s v="Standard Class"/>
    <x v="2"/>
    <s v="United States"/>
    <s v="Phoenix"/>
    <x v="16"/>
    <n v="85023"/>
    <x v="1"/>
    <x v="1"/>
    <x v="9"/>
    <n v="78.272000000000006"/>
    <n v="2"/>
    <n v="0.2"/>
    <n v="5.8704000000000001"/>
  </r>
  <r>
    <s v="Standard Class"/>
    <x v="2"/>
    <s v="United States"/>
    <s v="Park Ridge"/>
    <x v="10"/>
    <n v="60068"/>
    <x v="2"/>
    <x v="0"/>
    <x v="5"/>
    <n v="254.744"/>
    <n v="7"/>
    <n v="0.6"/>
    <n v="-312.06139999999999"/>
  </r>
  <r>
    <s v="Standard Class"/>
    <x v="1"/>
    <s v="United States"/>
    <s v="Amarillo"/>
    <x v="5"/>
    <n v="79109"/>
    <x v="2"/>
    <x v="0"/>
    <x v="0"/>
    <n v="205.33279999999999"/>
    <n v="2"/>
    <n v="0.32"/>
    <n v="-36.235199999999999"/>
  </r>
  <r>
    <s v="Second Class"/>
    <x v="0"/>
    <s v="United States"/>
    <s v="Chicago"/>
    <x v="10"/>
    <n v="60610"/>
    <x v="2"/>
    <x v="1"/>
    <x v="8"/>
    <n v="4.7880000000000003"/>
    <n v="3"/>
    <n v="0.8"/>
    <n v="-7.9001999999999999"/>
  </r>
  <r>
    <s v="Standard Class"/>
    <x v="1"/>
    <s v="United States"/>
    <s v="Lindenhurst"/>
    <x v="15"/>
    <n v="11757"/>
    <x v="3"/>
    <x v="1"/>
    <x v="10"/>
    <n v="55.48"/>
    <n v="1"/>
    <n v="0"/>
    <n v="26.630400000000002"/>
  </r>
  <r>
    <s v="Second Class"/>
    <x v="0"/>
    <s v="United States"/>
    <s v="San Francisco"/>
    <x v="1"/>
    <n v="94110"/>
    <x v="1"/>
    <x v="1"/>
    <x v="4"/>
    <n v="340.92"/>
    <n v="3"/>
    <n v="0"/>
    <n v="3.4091999999999998"/>
  </r>
  <r>
    <s v="Second Class"/>
    <x v="0"/>
    <s v="United States"/>
    <s v="San Francisco"/>
    <x v="1"/>
    <n v="94110"/>
    <x v="1"/>
    <x v="0"/>
    <x v="0"/>
    <n v="222.666"/>
    <n v="2"/>
    <n v="0.15"/>
    <n v="10.478400000000001"/>
  </r>
  <r>
    <s v="Second Class"/>
    <x v="0"/>
    <s v="United States"/>
    <s v="San Francisco"/>
    <x v="1"/>
    <n v="94110"/>
    <x v="1"/>
    <x v="2"/>
    <x v="7"/>
    <n v="703.96799999999996"/>
    <n v="4"/>
    <n v="0.2"/>
    <n v="87.995999999999995"/>
  </r>
  <r>
    <s v="Second Class"/>
    <x v="0"/>
    <s v="United States"/>
    <s v="San Francisco"/>
    <x v="1"/>
    <n v="94110"/>
    <x v="1"/>
    <x v="1"/>
    <x v="4"/>
    <n v="92.52"/>
    <n v="6"/>
    <n v="0"/>
    <n v="24.980399999999999"/>
  </r>
  <r>
    <s v="Second Class"/>
    <x v="0"/>
    <s v="United States"/>
    <s v="San Francisco"/>
    <x v="1"/>
    <n v="94110"/>
    <x v="1"/>
    <x v="1"/>
    <x v="10"/>
    <n v="62.65"/>
    <n v="7"/>
    <n v="0"/>
    <n v="28.818999999999999"/>
  </r>
  <r>
    <s v="Second Class"/>
    <x v="0"/>
    <s v="United States"/>
    <s v="San Francisco"/>
    <x v="1"/>
    <n v="94110"/>
    <x v="1"/>
    <x v="1"/>
    <x v="10"/>
    <n v="94.85"/>
    <n v="5"/>
    <n v="0"/>
    <n v="45.527999999999999"/>
  </r>
  <r>
    <s v="Standard Class"/>
    <x v="1"/>
    <s v="United States"/>
    <s v="Los Angeles"/>
    <x v="1"/>
    <n v="90008"/>
    <x v="1"/>
    <x v="2"/>
    <x v="7"/>
    <n v="95.76"/>
    <n v="6"/>
    <n v="0.2"/>
    <n v="7.1820000000000004"/>
  </r>
  <r>
    <s v="Standard Class"/>
    <x v="0"/>
    <s v="United States"/>
    <s v="Troy"/>
    <x v="15"/>
    <n v="12180"/>
    <x v="3"/>
    <x v="0"/>
    <x v="5"/>
    <n v="40.200000000000003"/>
    <n v="3"/>
    <n v="0"/>
    <n v="19.295999999999999"/>
  </r>
  <r>
    <s v="Standard Class"/>
    <x v="1"/>
    <s v="United States"/>
    <s v="New York City"/>
    <x v="15"/>
    <n v="10024"/>
    <x v="3"/>
    <x v="1"/>
    <x v="6"/>
    <n v="14.7"/>
    <n v="5"/>
    <n v="0"/>
    <n v="6.6150000000000002"/>
  </r>
  <r>
    <s v="Standard Class"/>
    <x v="1"/>
    <s v="United States"/>
    <s v="New York City"/>
    <x v="15"/>
    <n v="10024"/>
    <x v="3"/>
    <x v="1"/>
    <x v="4"/>
    <n v="704.25"/>
    <n v="5"/>
    <n v="0"/>
    <n v="84.51"/>
  </r>
  <r>
    <s v="Standard Class"/>
    <x v="0"/>
    <s v="United States"/>
    <s v="San Diego"/>
    <x v="1"/>
    <n v="92024"/>
    <x v="1"/>
    <x v="2"/>
    <x v="11"/>
    <n v="9.09"/>
    <n v="3"/>
    <n v="0"/>
    <n v="1.9089"/>
  </r>
  <r>
    <s v="Standard Class"/>
    <x v="0"/>
    <s v="United States"/>
    <s v="New York City"/>
    <x v="15"/>
    <n v="10024"/>
    <x v="3"/>
    <x v="1"/>
    <x v="6"/>
    <n v="5.96"/>
    <n v="2"/>
    <n v="0"/>
    <n v="1.6688000000000001"/>
  </r>
  <r>
    <s v="Standard Class"/>
    <x v="0"/>
    <s v="United States"/>
    <s v="New York City"/>
    <x v="15"/>
    <n v="10024"/>
    <x v="3"/>
    <x v="2"/>
    <x v="11"/>
    <n v="159.97999999999999"/>
    <n v="2"/>
    <n v="0"/>
    <n v="57.592799999999997"/>
  </r>
  <r>
    <s v="First Class"/>
    <x v="2"/>
    <s v="United States"/>
    <s v="Los Angeles"/>
    <x v="1"/>
    <n v="90045"/>
    <x v="1"/>
    <x v="1"/>
    <x v="2"/>
    <n v="29.6"/>
    <n v="2"/>
    <n v="0"/>
    <n v="14.8"/>
  </r>
  <r>
    <s v="First Class"/>
    <x v="2"/>
    <s v="United States"/>
    <s v="Los Angeles"/>
    <x v="1"/>
    <n v="90045"/>
    <x v="1"/>
    <x v="0"/>
    <x v="0"/>
    <n v="514.16499999999996"/>
    <n v="5"/>
    <n v="0.15"/>
    <n v="-30.245000000000001"/>
  </r>
  <r>
    <s v="First Class"/>
    <x v="2"/>
    <s v="United States"/>
    <s v="Los Angeles"/>
    <x v="1"/>
    <n v="90045"/>
    <x v="1"/>
    <x v="2"/>
    <x v="7"/>
    <n v="279.95999999999998"/>
    <n v="5"/>
    <n v="0.2"/>
    <n v="17.497499999999999"/>
  </r>
  <r>
    <s v="First Class"/>
    <x v="0"/>
    <s v="United States"/>
    <s v="Chicago"/>
    <x v="10"/>
    <n v="60610"/>
    <x v="2"/>
    <x v="2"/>
    <x v="7"/>
    <n v="2735.9520000000002"/>
    <n v="6"/>
    <n v="0.2"/>
    <n v="341.99400000000003"/>
  </r>
  <r>
    <s v="Second Class"/>
    <x v="2"/>
    <s v="United States"/>
    <s v="Huntsville"/>
    <x v="5"/>
    <n v="77340"/>
    <x v="2"/>
    <x v="2"/>
    <x v="7"/>
    <n v="7.992"/>
    <n v="1"/>
    <n v="0.2"/>
    <n v="0.59940000000000004"/>
  </r>
  <r>
    <s v="Second Class"/>
    <x v="2"/>
    <s v="United States"/>
    <s v="Huntsville"/>
    <x v="5"/>
    <n v="77340"/>
    <x v="2"/>
    <x v="2"/>
    <x v="11"/>
    <n v="63.984000000000002"/>
    <n v="2"/>
    <n v="0.2"/>
    <n v="10.397399999999999"/>
  </r>
  <r>
    <s v="Second Class"/>
    <x v="2"/>
    <s v="United States"/>
    <s v="Huntsville"/>
    <x v="5"/>
    <n v="77340"/>
    <x v="2"/>
    <x v="1"/>
    <x v="6"/>
    <n v="70.367999999999995"/>
    <n v="2"/>
    <n v="0.2"/>
    <n v="6.1571999999999996"/>
  </r>
  <r>
    <s v="Standard Class"/>
    <x v="0"/>
    <s v="United States"/>
    <s v="Rochester"/>
    <x v="15"/>
    <n v="14609"/>
    <x v="3"/>
    <x v="1"/>
    <x v="4"/>
    <n v="449.15"/>
    <n v="5"/>
    <n v="0"/>
    <n v="8.9830000000000005"/>
  </r>
  <r>
    <s v="Standard Class"/>
    <x v="0"/>
    <s v="United States"/>
    <s v="Rochester"/>
    <x v="15"/>
    <n v="14609"/>
    <x v="3"/>
    <x v="1"/>
    <x v="12"/>
    <n v="11.07"/>
    <n v="3"/>
    <n v="0"/>
    <n v="5.0922000000000001"/>
  </r>
  <r>
    <s v="Standard Class"/>
    <x v="0"/>
    <s v="United States"/>
    <s v="Seattle"/>
    <x v="4"/>
    <n v="98115"/>
    <x v="1"/>
    <x v="2"/>
    <x v="11"/>
    <n v="93.98"/>
    <n v="2"/>
    <n v="0"/>
    <n v="13.1572"/>
  </r>
  <r>
    <s v="Second Class"/>
    <x v="0"/>
    <s v="United States"/>
    <s v="Memphis"/>
    <x v="18"/>
    <n v="38109"/>
    <x v="0"/>
    <x v="0"/>
    <x v="3"/>
    <n v="189.88200000000001"/>
    <n v="3"/>
    <n v="0.4"/>
    <n v="-94.941000000000003"/>
  </r>
  <r>
    <s v="Standard Class"/>
    <x v="0"/>
    <s v="United States"/>
    <s v="Fayetteville"/>
    <x v="36"/>
    <n v="72701"/>
    <x v="0"/>
    <x v="1"/>
    <x v="12"/>
    <n v="105.42"/>
    <n v="2"/>
    <n v="0"/>
    <n v="51.655799999999999"/>
  </r>
  <r>
    <s v="Standard Class"/>
    <x v="0"/>
    <s v="United States"/>
    <s v="Costa Mesa"/>
    <x v="1"/>
    <n v="92627"/>
    <x v="1"/>
    <x v="1"/>
    <x v="8"/>
    <n v="119.616"/>
    <n v="8"/>
    <n v="0.2"/>
    <n v="40.370399999999997"/>
  </r>
  <r>
    <s v="Standard Class"/>
    <x v="0"/>
    <s v="United States"/>
    <s v="Costa Mesa"/>
    <x v="1"/>
    <n v="92627"/>
    <x v="1"/>
    <x v="0"/>
    <x v="5"/>
    <n v="255.76"/>
    <n v="4"/>
    <n v="0"/>
    <n v="81.843199999999996"/>
  </r>
  <r>
    <s v="Standard Class"/>
    <x v="0"/>
    <s v="United States"/>
    <s v="Costa Mesa"/>
    <x v="1"/>
    <n v="92627"/>
    <x v="1"/>
    <x v="0"/>
    <x v="1"/>
    <n v="241.56800000000001"/>
    <n v="2"/>
    <n v="0.2"/>
    <n v="18.117599999999999"/>
  </r>
  <r>
    <s v="Standard Class"/>
    <x v="0"/>
    <s v="United States"/>
    <s v="Costa Mesa"/>
    <x v="1"/>
    <n v="92627"/>
    <x v="1"/>
    <x v="0"/>
    <x v="5"/>
    <n v="69.3"/>
    <n v="9"/>
    <n v="0"/>
    <n v="22.869"/>
  </r>
  <r>
    <s v="Standard Class"/>
    <x v="1"/>
    <s v="United States"/>
    <s v="Parker"/>
    <x v="22"/>
    <n v="80134"/>
    <x v="1"/>
    <x v="1"/>
    <x v="8"/>
    <n v="22.62"/>
    <n v="2"/>
    <n v="0.7"/>
    <n v="-15.08"/>
  </r>
  <r>
    <s v="Standard Class"/>
    <x v="1"/>
    <s v="United States"/>
    <s v="Parker"/>
    <x v="22"/>
    <n v="80134"/>
    <x v="1"/>
    <x v="1"/>
    <x v="8"/>
    <n v="14.952"/>
    <n v="2"/>
    <n v="0.7"/>
    <n v="-11.961600000000001"/>
  </r>
  <r>
    <s v="Standard Class"/>
    <x v="1"/>
    <s v="United States"/>
    <s v="Parker"/>
    <x v="22"/>
    <n v="80134"/>
    <x v="1"/>
    <x v="0"/>
    <x v="1"/>
    <n v="801.56799999999998"/>
    <n v="2"/>
    <n v="0.2"/>
    <n v="50.097999999999999"/>
  </r>
  <r>
    <s v="Standard Class"/>
    <x v="1"/>
    <s v="United States"/>
    <s v="Parker"/>
    <x v="22"/>
    <n v="80134"/>
    <x v="1"/>
    <x v="1"/>
    <x v="8"/>
    <n v="2.3759999999999999"/>
    <n v="3"/>
    <n v="0.7"/>
    <n v="-1.9008"/>
  </r>
  <r>
    <s v="Standard Class"/>
    <x v="1"/>
    <s v="United States"/>
    <s v="Parker"/>
    <x v="22"/>
    <n v="80134"/>
    <x v="1"/>
    <x v="1"/>
    <x v="10"/>
    <n v="32.792000000000002"/>
    <n v="1"/>
    <n v="0.2"/>
    <n v="11.8871"/>
  </r>
  <r>
    <s v="Second Class"/>
    <x v="1"/>
    <s v="United States"/>
    <s v="New York City"/>
    <x v="15"/>
    <n v="10024"/>
    <x v="3"/>
    <x v="1"/>
    <x v="8"/>
    <n v="15.92"/>
    <n v="5"/>
    <n v="0.2"/>
    <n v="5.3730000000000002"/>
  </r>
  <r>
    <s v="Standard Class"/>
    <x v="0"/>
    <s v="United States"/>
    <s v="Atlanta"/>
    <x v="32"/>
    <n v="30318"/>
    <x v="0"/>
    <x v="1"/>
    <x v="6"/>
    <n v="2.74"/>
    <n v="1"/>
    <n v="0"/>
    <n v="0.73980000000000001"/>
  </r>
  <r>
    <s v="Standard Class"/>
    <x v="0"/>
    <s v="United States"/>
    <s v="Atlanta"/>
    <x v="32"/>
    <n v="30318"/>
    <x v="0"/>
    <x v="1"/>
    <x v="6"/>
    <n v="8.34"/>
    <n v="3"/>
    <n v="0"/>
    <n v="2.1684000000000001"/>
  </r>
  <r>
    <s v="Standard Class"/>
    <x v="0"/>
    <s v="United States"/>
    <s v="Atlanta"/>
    <x v="32"/>
    <n v="30318"/>
    <x v="0"/>
    <x v="1"/>
    <x v="4"/>
    <n v="46.74"/>
    <n v="3"/>
    <n v="0"/>
    <n v="11.685"/>
  </r>
  <r>
    <s v="Standard Class"/>
    <x v="0"/>
    <s v="United States"/>
    <s v="Atlanta"/>
    <x v="32"/>
    <n v="30318"/>
    <x v="0"/>
    <x v="1"/>
    <x v="8"/>
    <n v="6354.95"/>
    <n v="5"/>
    <n v="0"/>
    <n v="3177.4749999999999"/>
  </r>
  <r>
    <s v="First Class"/>
    <x v="0"/>
    <s v="United States"/>
    <s v="Gladstone"/>
    <x v="25"/>
    <n v="64118"/>
    <x v="2"/>
    <x v="0"/>
    <x v="5"/>
    <n v="126.3"/>
    <n v="3"/>
    <n v="0"/>
    <n v="40.415999999999997"/>
  </r>
  <r>
    <s v="First Class"/>
    <x v="0"/>
    <s v="United States"/>
    <s v="Gladstone"/>
    <x v="25"/>
    <n v="64118"/>
    <x v="2"/>
    <x v="2"/>
    <x v="11"/>
    <n v="38.04"/>
    <n v="2"/>
    <n v="0"/>
    <n v="12.172800000000001"/>
  </r>
  <r>
    <s v="First Class"/>
    <x v="0"/>
    <s v="United States"/>
    <s v="Newark"/>
    <x v="24"/>
    <n v="43055"/>
    <x v="3"/>
    <x v="1"/>
    <x v="6"/>
    <n v="7.1520000000000001"/>
    <n v="3"/>
    <n v="0.2"/>
    <n v="0.71519999999999995"/>
  </r>
  <r>
    <s v="Standard Class"/>
    <x v="0"/>
    <s v="United States"/>
    <s v="Los Angeles"/>
    <x v="1"/>
    <n v="90049"/>
    <x v="1"/>
    <x v="1"/>
    <x v="6"/>
    <n v="6.63"/>
    <n v="3"/>
    <n v="0"/>
    <n v="1.7901"/>
  </r>
  <r>
    <s v="Standard Class"/>
    <x v="0"/>
    <s v="United States"/>
    <s v="Los Angeles"/>
    <x v="1"/>
    <n v="90049"/>
    <x v="1"/>
    <x v="1"/>
    <x v="6"/>
    <n v="5.88"/>
    <n v="2"/>
    <n v="0"/>
    <n v="1.7052"/>
  </r>
  <r>
    <s v="Standard Class"/>
    <x v="2"/>
    <s v="United States"/>
    <s v="Great Falls"/>
    <x v="37"/>
    <n v="59405"/>
    <x v="1"/>
    <x v="2"/>
    <x v="16"/>
    <n v="2999.95"/>
    <n v="5"/>
    <n v="0"/>
    <n v="1379.9770000000001"/>
  </r>
  <r>
    <s v="Standard Class"/>
    <x v="2"/>
    <s v="United States"/>
    <s v="Great Falls"/>
    <x v="37"/>
    <n v="59405"/>
    <x v="1"/>
    <x v="1"/>
    <x v="4"/>
    <n v="51.45"/>
    <n v="3"/>
    <n v="0"/>
    <n v="13.891500000000001"/>
  </r>
  <r>
    <s v="Standard Class"/>
    <x v="2"/>
    <s v="United States"/>
    <s v="Great Falls"/>
    <x v="37"/>
    <n v="59405"/>
    <x v="1"/>
    <x v="1"/>
    <x v="10"/>
    <n v="11.96"/>
    <n v="2"/>
    <n v="0"/>
    <n v="5.3819999999999997"/>
  </r>
  <r>
    <s v="Standard Class"/>
    <x v="2"/>
    <s v="United States"/>
    <s v="Great Falls"/>
    <x v="37"/>
    <n v="59405"/>
    <x v="1"/>
    <x v="1"/>
    <x v="4"/>
    <n v="1126.02"/>
    <n v="3"/>
    <n v="0"/>
    <n v="56.301000000000002"/>
  </r>
  <r>
    <s v="Standard Class"/>
    <x v="0"/>
    <s v="United States"/>
    <s v="Houston"/>
    <x v="5"/>
    <n v="77041"/>
    <x v="2"/>
    <x v="2"/>
    <x v="11"/>
    <n v="18.391999999999999"/>
    <n v="1"/>
    <n v="0.2"/>
    <n v="5.2877000000000001"/>
  </r>
  <r>
    <s v="Standard Class"/>
    <x v="0"/>
    <s v="United States"/>
    <s v="Houston"/>
    <x v="5"/>
    <n v="77041"/>
    <x v="2"/>
    <x v="1"/>
    <x v="4"/>
    <n v="129.56800000000001"/>
    <n v="2"/>
    <n v="0.2"/>
    <n v="-25.913599999999999"/>
  </r>
  <r>
    <s v="Standard Class"/>
    <x v="0"/>
    <s v="United States"/>
    <s v="Houston"/>
    <x v="5"/>
    <n v="77041"/>
    <x v="2"/>
    <x v="1"/>
    <x v="8"/>
    <n v="14.112"/>
    <n v="9"/>
    <n v="0.8"/>
    <n v="-21.167999999999999"/>
  </r>
  <r>
    <s v="First Class"/>
    <x v="1"/>
    <s v="United States"/>
    <s v="Detroit"/>
    <x v="12"/>
    <n v="48234"/>
    <x v="2"/>
    <x v="0"/>
    <x v="3"/>
    <n v="210.98"/>
    <n v="2"/>
    <n v="0"/>
    <n v="21.097999999999999"/>
  </r>
  <r>
    <s v="First Class"/>
    <x v="0"/>
    <s v="United States"/>
    <s v="Los Angeles"/>
    <x v="1"/>
    <n v="90032"/>
    <x v="1"/>
    <x v="2"/>
    <x v="7"/>
    <n v="55.176000000000002"/>
    <n v="3"/>
    <n v="0.2"/>
    <n v="-12.4146"/>
  </r>
  <r>
    <s v="First Class"/>
    <x v="0"/>
    <s v="United States"/>
    <s v="Los Angeles"/>
    <x v="1"/>
    <n v="90032"/>
    <x v="1"/>
    <x v="2"/>
    <x v="11"/>
    <n v="66.260000000000005"/>
    <n v="2"/>
    <n v="0"/>
    <n v="27.166599999999999"/>
  </r>
  <r>
    <s v="Standard Class"/>
    <x v="0"/>
    <s v="United States"/>
    <s v="Lawrence"/>
    <x v="31"/>
    <n v="1841"/>
    <x v="3"/>
    <x v="1"/>
    <x v="13"/>
    <n v="22.2"/>
    <n v="5"/>
    <n v="0"/>
    <n v="10.433999999999999"/>
  </r>
  <r>
    <s v="Standard Class"/>
    <x v="2"/>
    <s v="United States"/>
    <s v="Lakeland"/>
    <x v="2"/>
    <n v="33801"/>
    <x v="0"/>
    <x v="0"/>
    <x v="1"/>
    <n v="683.952"/>
    <n v="3"/>
    <n v="0.2"/>
    <n v="42.747"/>
  </r>
  <r>
    <s v="Standard Class"/>
    <x v="2"/>
    <s v="United States"/>
    <s v="Lakeland"/>
    <x v="2"/>
    <n v="33801"/>
    <x v="0"/>
    <x v="0"/>
    <x v="5"/>
    <n v="45.695999999999998"/>
    <n v="3"/>
    <n v="0.2"/>
    <n v="5.1407999999999996"/>
  </r>
  <r>
    <s v="Standard Class"/>
    <x v="0"/>
    <s v="United States"/>
    <s v="Philadelphia"/>
    <x v="9"/>
    <n v="19134"/>
    <x v="3"/>
    <x v="1"/>
    <x v="4"/>
    <n v="36.335999999999999"/>
    <n v="3"/>
    <n v="0.2"/>
    <n v="-7.2671999999999999"/>
  </r>
  <r>
    <s v="Standard Class"/>
    <x v="0"/>
    <s v="United States"/>
    <s v="Philadelphia"/>
    <x v="9"/>
    <n v="19134"/>
    <x v="3"/>
    <x v="1"/>
    <x v="14"/>
    <n v="666.24800000000005"/>
    <n v="1"/>
    <n v="0.2"/>
    <n v="-149.9058"/>
  </r>
  <r>
    <s v="Standard Class"/>
    <x v="0"/>
    <s v="United States"/>
    <s v="Philadelphia"/>
    <x v="9"/>
    <n v="19134"/>
    <x v="3"/>
    <x v="1"/>
    <x v="12"/>
    <n v="52.512"/>
    <n v="6"/>
    <n v="0.2"/>
    <n v="19.692"/>
  </r>
  <r>
    <s v="Second Class"/>
    <x v="1"/>
    <s v="United States"/>
    <s v="Los Angeles"/>
    <x v="1"/>
    <n v="90036"/>
    <x v="1"/>
    <x v="0"/>
    <x v="1"/>
    <n v="190.72"/>
    <n v="1"/>
    <n v="0.2"/>
    <n v="11.92"/>
  </r>
  <r>
    <s v="Standard Class"/>
    <x v="0"/>
    <s v="United States"/>
    <s v="Los Angeles"/>
    <x v="1"/>
    <n v="90032"/>
    <x v="1"/>
    <x v="0"/>
    <x v="5"/>
    <n v="47.94"/>
    <n v="3"/>
    <n v="0"/>
    <n v="2.3969999999999998"/>
  </r>
  <r>
    <s v="Second Class"/>
    <x v="0"/>
    <s v="United States"/>
    <s v="Montgomery"/>
    <x v="19"/>
    <n v="36116"/>
    <x v="0"/>
    <x v="2"/>
    <x v="7"/>
    <n v="979.95"/>
    <n v="5"/>
    <n v="0"/>
    <n v="274.38600000000002"/>
  </r>
  <r>
    <s v="Second Class"/>
    <x v="0"/>
    <s v="United States"/>
    <s v="Montgomery"/>
    <x v="19"/>
    <n v="36116"/>
    <x v="0"/>
    <x v="1"/>
    <x v="8"/>
    <n v="22.75"/>
    <n v="5"/>
    <n v="0"/>
    <n v="11.375"/>
  </r>
  <r>
    <s v="Standard Class"/>
    <x v="0"/>
    <s v="United States"/>
    <s v="Mesa"/>
    <x v="16"/>
    <n v="85204"/>
    <x v="1"/>
    <x v="1"/>
    <x v="4"/>
    <n v="16.768000000000001"/>
    <n v="2"/>
    <n v="0.2"/>
    <n v="1.4672000000000001"/>
  </r>
  <r>
    <s v="Second Class"/>
    <x v="0"/>
    <s v="United States"/>
    <s v="Chicago"/>
    <x v="10"/>
    <n v="60653"/>
    <x v="2"/>
    <x v="1"/>
    <x v="8"/>
    <n v="42.616"/>
    <n v="7"/>
    <n v="0.8"/>
    <n v="-68.185599999999994"/>
  </r>
  <r>
    <s v="Standard Class"/>
    <x v="2"/>
    <s v="United States"/>
    <s v="New York City"/>
    <x v="15"/>
    <n v="10009"/>
    <x v="3"/>
    <x v="1"/>
    <x v="8"/>
    <n v="10.752000000000001"/>
    <n v="4"/>
    <n v="0.2"/>
    <n v="3.36"/>
  </r>
  <r>
    <s v="Standard Class"/>
    <x v="0"/>
    <s v="United States"/>
    <s v="Henderson"/>
    <x v="0"/>
    <n v="42420"/>
    <x v="0"/>
    <x v="1"/>
    <x v="9"/>
    <n v="152.94"/>
    <n v="3"/>
    <n v="0"/>
    <n v="41.293799999999997"/>
  </r>
  <r>
    <s v="Standard Class"/>
    <x v="0"/>
    <s v="United States"/>
    <s v="Henderson"/>
    <x v="0"/>
    <n v="42420"/>
    <x v="0"/>
    <x v="0"/>
    <x v="1"/>
    <n v="283.92"/>
    <n v="4"/>
    <n v="0"/>
    <n v="70.98"/>
  </r>
  <r>
    <s v="First Class"/>
    <x v="0"/>
    <s v="United States"/>
    <s v="Green Bay"/>
    <x v="6"/>
    <n v="54302"/>
    <x v="2"/>
    <x v="2"/>
    <x v="11"/>
    <n v="468.9"/>
    <n v="6"/>
    <n v="0"/>
    <n v="206.316"/>
  </r>
  <r>
    <s v="First Class"/>
    <x v="1"/>
    <s v="United States"/>
    <s v="Tucson"/>
    <x v="16"/>
    <n v="85705"/>
    <x v="1"/>
    <x v="2"/>
    <x v="7"/>
    <n v="380.86399999999998"/>
    <n v="8"/>
    <n v="0.2"/>
    <n v="38.086399999999998"/>
  </r>
  <r>
    <s v="Standard Class"/>
    <x v="0"/>
    <s v="United States"/>
    <s v="Springfield"/>
    <x v="24"/>
    <n v="45503"/>
    <x v="3"/>
    <x v="1"/>
    <x v="4"/>
    <n v="646.77599999999995"/>
    <n v="9"/>
    <n v="0.2"/>
    <n v="-145.52459999999999"/>
  </r>
  <r>
    <s v="Standard Class"/>
    <x v="0"/>
    <s v="United States"/>
    <s v="Fort Worth"/>
    <x v="5"/>
    <n v="76106"/>
    <x v="2"/>
    <x v="2"/>
    <x v="11"/>
    <n v="58.112000000000002"/>
    <n v="2"/>
    <n v="0.2"/>
    <n v="7.2640000000000002"/>
  </r>
  <r>
    <s v="Standard Class"/>
    <x v="0"/>
    <s v="United States"/>
    <s v="Fort Worth"/>
    <x v="5"/>
    <n v="76106"/>
    <x v="2"/>
    <x v="2"/>
    <x v="7"/>
    <n v="100.792"/>
    <n v="1"/>
    <n v="0.2"/>
    <n v="6.2995000000000001"/>
  </r>
  <r>
    <s v="Standard Class"/>
    <x v="0"/>
    <s v="United States"/>
    <s v="Fort Worth"/>
    <x v="5"/>
    <n v="76106"/>
    <x v="2"/>
    <x v="0"/>
    <x v="5"/>
    <n v="66.111999999999995"/>
    <n v="4"/>
    <n v="0.6"/>
    <n v="-84.2928"/>
  </r>
  <r>
    <s v="First Class"/>
    <x v="2"/>
    <s v="United States"/>
    <s v="New York City"/>
    <x v="15"/>
    <n v="10035"/>
    <x v="3"/>
    <x v="1"/>
    <x v="8"/>
    <n v="41.28"/>
    <n v="6"/>
    <n v="0.2"/>
    <n v="13.932"/>
  </r>
  <r>
    <s v="First Class"/>
    <x v="2"/>
    <s v="United States"/>
    <s v="New York City"/>
    <x v="15"/>
    <n v="10035"/>
    <x v="3"/>
    <x v="1"/>
    <x v="10"/>
    <n v="13.36"/>
    <n v="2"/>
    <n v="0"/>
    <n v="6.4127999999999998"/>
  </r>
  <r>
    <s v="Second Class"/>
    <x v="1"/>
    <s v="United States"/>
    <s v="Chicago"/>
    <x v="10"/>
    <n v="60653"/>
    <x v="2"/>
    <x v="1"/>
    <x v="4"/>
    <n v="250.27199999999999"/>
    <n v="9"/>
    <n v="0.2"/>
    <n v="15.641999999999999"/>
  </r>
  <r>
    <s v="Second Class"/>
    <x v="1"/>
    <s v="United States"/>
    <s v="Chicago"/>
    <x v="10"/>
    <n v="60653"/>
    <x v="2"/>
    <x v="1"/>
    <x v="8"/>
    <n v="11.364000000000001"/>
    <n v="3"/>
    <n v="0.8"/>
    <n v="-17.045999999999999"/>
  </r>
  <r>
    <s v="Second Class"/>
    <x v="1"/>
    <s v="United States"/>
    <s v="Chicago"/>
    <x v="10"/>
    <n v="60653"/>
    <x v="2"/>
    <x v="1"/>
    <x v="14"/>
    <n v="8.7200000000000006"/>
    <n v="5"/>
    <n v="0.2"/>
    <n v="-1.744"/>
  </r>
  <r>
    <s v="Second Class"/>
    <x v="0"/>
    <s v="United States"/>
    <s v="San Francisco"/>
    <x v="1"/>
    <n v="94110"/>
    <x v="1"/>
    <x v="0"/>
    <x v="1"/>
    <n v="1121.568"/>
    <n v="2"/>
    <n v="0.2"/>
    <n v="0"/>
  </r>
  <r>
    <s v="First Class"/>
    <x v="0"/>
    <s v="United States"/>
    <s v="Jacksonville"/>
    <x v="2"/>
    <n v="32216"/>
    <x v="0"/>
    <x v="0"/>
    <x v="5"/>
    <n v="34.503999999999998"/>
    <n v="1"/>
    <n v="0.2"/>
    <n v="6.0381999999999998"/>
  </r>
  <r>
    <s v="Standard Class"/>
    <x v="0"/>
    <s v="United States"/>
    <s v="Houston"/>
    <x v="5"/>
    <n v="77070"/>
    <x v="2"/>
    <x v="1"/>
    <x v="13"/>
    <n v="10.824"/>
    <n v="3"/>
    <n v="0.2"/>
    <n v="2.5707"/>
  </r>
  <r>
    <s v="Second Class"/>
    <x v="1"/>
    <s v="United States"/>
    <s v="Anaheim"/>
    <x v="1"/>
    <n v="92804"/>
    <x v="1"/>
    <x v="1"/>
    <x v="4"/>
    <n v="1295.78"/>
    <n v="2"/>
    <n v="0"/>
    <n v="310.98719999999997"/>
  </r>
  <r>
    <s v="Second Class"/>
    <x v="0"/>
    <s v="United States"/>
    <s v="Wilmington"/>
    <x v="3"/>
    <n v="28403"/>
    <x v="0"/>
    <x v="1"/>
    <x v="6"/>
    <n v="19.456"/>
    <n v="4"/>
    <n v="0.2"/>
    <n v="3.4047999999999998"/>
  </r>
  <r>
    <s v="Standard Class"/>
    <x v="0"/>
    <s v="United States"/>
    <s v="Los Angeles"/>
    <x v="1"/>
    <n v="90045"/>
    <x v="1"/>
    <x v="1"/>
    <x v="2"/>
    <n v="20.7"/>
    <n v="2"/>
    <n v="0"/>
    <n v="9.9359999999999999"/>
  </r>
  <r>
    <s v="Standard Class"/>
    <x v="0"/>
    <s v="United States"/>
    <s v="Los Angeles"/>
    <x v="1"/>
    <n v="90045"/>
    <x v="1"/>
    <x v="0"/>
    <x v="3"/>
    <n v="1335.68"/>
    <n v="4"/>
    <n v="0.2"/>
    <n v="-217.048"/>
  </r>
  <r>
    <s v="Standard Class"/>
    <x v="0"/>
    <s v="United States"/>
    <s v="Los Angeles"/>
    <x v="1"/>
    <n v="90045"/>
    <x v="1"/>
    <x v="1"/>
    <x v="10"/>
    <n v="32.4"/>
    <n v="5"/>
    <n v="0"/>
    <n v="15.552"/>
  </r>
  <r>
    <s v="Second Class"/>
    <x v="0"/>
    <s v="United States"/>
    <s v="San Francisco"/>
    <x v="1"/>
    <n v="94110"/>
    <x v="1"/>
    <x v="0"/>
    <x v="5"/>
    <n v="42.6"/>
    <n v="3"/>
    <n v="0"/>
    <n v="16.614000000000001"/>
  </r>
  <r>
    <s v="Second Class"/>
    <x v="0"/>
    <s v="United States"/>
    <s v="San Francisco"/>
    <x v="1"/>
    <n v="94110"/>
    <x v="1"/>
    <x v="1"/>
    <x v="8"/>
    <n v="84.055999999999997"/>
    <n v="7"/>
    <n v="0.2"/>
    <n v="27.318200000000001"/>
  </r>
  <r>
    <s v="Second Class"/>
    <x v="0"/>
    <s v="United States"/>
    <s v="Tampa"/>
    <x v="2"/>
    <n v="33614"/>
    <x v="0"/>
    <x v="1"/>
    <x v="9"/>
    <n v="13"/>
    <n v="5"/>
    <n v="0.2"/>
    <n v="1.3"/>
  </r>
  <r>
    <s v="Second Class"/>
    <x v="0"/>
    <s v="United States"/>
    <s v="Tampa"/>
    <x v="2"/>
    <n v="33614"/>
    <x v="0"/>
    <x v="0"/>
    <x v="5"/>
    <n v="13.128"/>
    <n v="3"/>
    <n v="0.2"/>
    <n v="3.7743000000000002"/>
  </r>
  <r>
    <s v="First Class"/>
    <x v="0"/>
    <s v="United States"/>
    <s v="Seattle"/>
    <x v="4"/>
    <n v="98105"/>
    <x v="1"/>
    <x v="1"/>
    <x v="13"/>
    <n v="3.96"/>
    <n v="2"/>
    <n v="0"/>
    <n v="0"/>
  </r>
  <r>
    <s v="First Class"/>
    <x v="0"/>
    <s v="United States"/>
    <s v="Seattle"/>
    <x v="4"/>
    <n v="98105"/>
    <x v="1"/>
    <x v="1"/>
    <x v="2"/>
    <n v="2.61"/>
    <n v="1"/>
    <n v="0"/>
    <n v="1.2005999999999999"/>
  </r>
  <r>
    <s v="First Class"/>
    <x v="0"/>
    <s v="United States"/>
    <s v="Los Angeles"/>
    <x v="1"/>
    <n v="90008"/>
    <x v="1"/>
    <x v="2"/>
    <x v="7"/>
    <n v="374.37599999999998"/>
    <n v="3"/>
    <n v="0.2"/>
    <n v="46.796999999999997"/>
  </r>
  <r>
    <s v="Standard Class"/>
    <x v="1"/>
    <s v="United States"/>
    <s v="Seattle"/>
    <x v="4"/>
    <n v="98105"/>
    <x v="1"/>
    <x v="1"/>
    <x v="10"/>
    <n v="91.84"/>
    <n v="8"/>
    <n v="0"/>
    <n v="45.001600000000003"/>
  </r>
  <r>
    <s v="Standard Class"/>
    <x v="1"/>
    <s v="United States"/>
    <s v="Seattle"/>
    <x v="4"/>
    <n v="98105"/>
    <x v="1"/>
    <x v="1"/>
    <x v="8"/>
    <n v="81.087999999999994"/>
    <n v="7"/>
    <n v="0.2"/>
    <n v="27.3672"/>
  </r>
  <r>
    <s v="Standard Class"/>
    <x v="1"/>
    <s v="United States"/>
    <s v="Seattle"/>
    <x v="4"/>
    <n v="98105"/>
    <x v="1"/>
    <x v="1"/>
    <x v="10"/>
    <n v="19.440000000000001"/>
    <n v="3"/>
    <n v="0"/>
    <n v="9.3312000000000008"/>
  </r>
  <r>
    <s v="Standard Class"/>
    <x v="1"/>
    <s v="United States"/>
    <s v="Seattle"/>
    <x v="4"/>
    <n v="98105"/>
    <x v="1"/>
    <x v="0"/>
    <x v="1"/>
    <n v="451.15199999999999"/>
    <n v="3"/>
    <n v="0.2"/>
    <n v="0"/>
  </r>
  <r>
    <s v="Standard Class"/>
    <x v="0"/>
    <s v="United States"/>
    <s v="New York City"/>
    <x v="15"/>
    <n v="10024"/>
    <x v="3"/>
    <x v="1"/>
    <x v="2"/>
    <n v="72.45"/>
    <n v="7"/>
    <n v="0"/>
    <n v="34.776000000000003"/>
  </r>
  <r>
    <s v="Standard Class"/>
    <x v="0"/>
    <s v="United States"/>
    <s v="New York City"/>
    <x v="15"/>
    <n v="10024"/>
    <x v="3"/>
    <x v="1"/>
    <x v="13"/>
    <n v="13.96"/>
    <n v="4"/>
    <n v="0"/>
    <n v="6.4215999999999998"/>
  </r>
  <r>
    <s v="Standard Class"/>
    <x v="0"/>
    <s v="United States"/>
    <s v="New York City"/>
    <x v="15"/>
    <n v="10024"/>
    <x v="3"/>
    <x v="1"/>
    <x v="8"/>
    <n v="33.264000000000003"/>
    <n v="7"/>
    <n v="0.2"/>
    <n v="11.226599999999999"/>
  </r>
  <r>
    <s v="Standard Class"/>
    <x v="0"/>
    <s v="United States"/>
    <s v="New York City"/>
    <x v="15"/>
    <n v="10024"/>
    <x v="3"/>
    <x v="2"/>
    <x v="7"/>
    <n v="14.85"/>
    <n v="3"/>
    <n v="0"/>
    <n v="4.0095000000000001"/>
  </r>
  <r>
    <s v="Standard Class"/>
    <x v="0"/>
    <s v="United States"/>
    <s v="Marysville"/>
    <x v="4"/>
    <n v="98270"/>
    <x v="1"/>
    <x v="1"/>
    <x v="6"/>
    <n v="8.82"/>
    <n v="3"/>
    <n v="0"/>
    <n v="2.3814000000000002"/>
  </r>
  <r>
    <s v="Second Class"/>
    <x v="0"/>
    <s v="United States"/>
    <s v="Long Beach"/>
    <x v="1"/>
    <n v="90805"/>
    <x v="1"/>
    <x v="1"/>
    <x v="10"/>
    <n v="160.72"/>
    <n v="14"/>
    <n v="0"/>
    <n v="78.752799999999993"/>
  </r>
  <r>
    <s v="Second Class"/>
    <x v="0"/>
    <s v="United States"/>
    <s v="Long Beach"/>
    <x v="1"/>
    <n v="90805"/>
    <x v="1"/>
    <x v="1"/>
    <x v="10"/>
    <n v="19.920000000000002"/>
    <n v="4"/>
    <n v="0"/>
    <n v="9.7607999999999997"/>
  </r>
  <r>
    <s v="Second Class"/>
    <x v="0"/>
    <s v="United States"/>
    <s v="Long Beach"/>
    <x v="1"/>
    <n v="90805"/>
    <x v="1"/>
    <x v="1"/>
    <x v="14"/>
    <n v="7.3"/>
    <n v="2"/>
    <n v="0"/>
    <n v="2.19"/>
  </r>
  <r>
    <s v="Standard Class"/>
    <x v="0"/>
    <s v="United States"/>
    <s v="Chicago"/>
    <x v="10"/>
    <n v="60610"/>
    <x v="2"/>
    <x v="1"/>
    <x v="4"/>
    <n v="69.712000000000003"/>
    <n v="2"/>
    <n v="0.2"/>
    <n v="8.7140000000000004"/>
  </r>
  <r>
    <s v="Standard Class"/>
    <x v="0"/>
    <s v="United States"/>
    <s v="Chicago"/>
    <x v="10"/>
    <n v="60610"/>
    <x v="2"/>
    <x v="0"/>
    <x v="5"/>
    <n v="8.7919999999999998"/>
    <n v="1"/>
    <n v="0.6"/>
    <n v="-5.7148000000000003"/>
  </r>
  <r>
    <s v="Standard Class"/>
    <x v="0"/>
    <s v="United States"/>
    <s v="Los Angeles"/>
    <x v="1"/>
    <n v="90004"/>
    <x v="1"/>
    <x v="1"/>
    <x v="14"/>
    <n v="51.52"/>
    <n v="4"/>
    <n v="0"/>
    <n v="1.5456000000000001"/>
  </r>
  <r>
    <s v="Standard Class"/>
    <x v="0"/>
    <s v="United States"/>
    <s v="Denver"/>
    <x v="22"/>
    <n v="80219"/>
    <x v="1"/>
    <x v="2"/>
    <x v="7"/>
    <n v="470.37599999999998"/>
    <n v="3"/>
    <n v="0.2"/>
    <n v="52.917299999999997"/>
  </r>
  <r>
    <s v="Standard Class"/>
    <x v="0"/>
    <s v="United States"/>
    <s v="Denver"/>
    <x v="22"/>
    <n v="80219"/>
    <x v="1"/>
    <x v="2"/>
    <x v="7"/>
    <n v="105.584"/>
    <n v="2"/>
    <n v="0.2"/>
    <n v="9.2385999999999999"/>
  </r>
  <r>
    <s v="Standard Class"/>
    <x v="0"/>
    <s v="United States"/>
    <s v="Denver"/>
    <x v="22"/>
    <n v="80219"/>
    <x v="1"/>
    <x v="1"/>
    <x v="9"/>
    <n v="31.152000000000001"/>
    <n v="3"/>
    <n v="0.2"/>
    <n v="3.5045999999999999"/>
  </r>
  <r>
    <s v="Standard Class"/>
    <x v="0"/>
    <s v="United States"/>
    <s v="Denver"/>
    <x v="22"/>
    <n v="80219"/>
    <x v="1"/>
    <x v="1"/>
    <x v="8"/>
    <n v="6.7830000000000004"/>
    <n v="7"/>
    <n v="0.7"/>
    <n v="-4.7481"/>
  </r>
  <r>
    <s v="Standard Class"/>
    <x v="0"/>
    <s v="United States"/>
    <s v="Denver"/>
    <x v="22"/>
    <n v="80219"/>
    <x v="1"/>
    <x v="2"/>
    <x v="7"/>
    <n v="406.36799999999999"/>
    <n v="4"/>
    <n v="0.2"/>
    <n v="30.477599999999999"/>
  </r>
  <r>
    <s v="Standard Class"/>
    <x v="0"/>
    <s v="United States"/>
    <s v="Richmond"/>
    <x v="0"/>
    <n v="40475"/>
    <x v="0"/>
    <x v="0"/>
    <x v="1"/>
    <n v="70.98"/>
    <n v="1"/>
    <n v="0"/>
    <n v="4.9686000000000003"/>
  </r>
  <r>
    <s v="Standard Class"/>
    <x v="0"/>
    <s v="United States"/>
    <s v="Richmond"/>
    <x v="0"/>
    <n v="40475"/>
    <x v="0"/>
    <x v="1"/>
    <x v="2"/>
    <n v="294.93"/>
    <n v="3"/>
    <n v="0"/>
    <n v="144.51570000000001"/>
  </r>
  <r>
    <s v="Standard Class"/>
    <x v="0"/>
    <s v="United States"/>
    <s v="Salem"/>
    <x v="21"/>
    <n v="97301"/>
    <x v="1"/>
    <x v="2"/>
    <x v="7"/>
    <n v="84.784000000000006"/>
    <n v="2"/>
    <n v="0.2"/>
    <n v="-20.136199999999999"/>
  </r>
  <r>
    <s v="Standard Class"/>
    <x v="0"/>
    <s v="United States"/>
    <s v="Salem"/>
    <x v="21"/>
    <n v="97301"/>
    <x v="1"/>
    <x v="1"/>
    <x v="10"/>
    <n v="20.736000000000001"/>
    <n v="4"/>
    <n v="0.2"/>
    <n v="7.2576000000000001"/>
  </r>
  <r>
    <s v="Standard Class"/>
    <x v="0"/>
    <s v="United States"/>
    <s v="Salem"/>
    <x v="21"/>
    <n v="97301"/>
    <x v="1"/>
    <x v="1"/>
    <x v="8"/>
    <n v="16.821000000000002"/>
    <n v="3"/>
    <n v="0.7"/>
    <n v="-12.896100000000001"/>
  </r>
  <r>
    <s v="Standard Class"/>
    <x v="0"/>
    <s v="United States"/>
    <s v="Salem"/>
    <x v="21"/>
    <n v="97301"/>
    <x v="1"/>
    <x v="1"/>
    <x v="10"/>
    <n v="10.368"/>
    <n v="2"/>
    <n v="0.2"/>
    <n v="3.6288"/>
  </r>
  <r>
    <s v="Standard Class"/>
    <x v="0"/>
    <s v="United States"/>
    <s v="Laredo"/>
    <x v="5"/>
    <n v="78041"/>
    <x v="2"/>
    <x v="1"/>
    <x v="6"/>
    <n v="9.3439999999999994"/>
    <n v="2"/>
    <n v="0.2"/>
    <n v="1.1679999999999999"/>
  </r>
  <r>
    <s v="Standard Class"/>
    <x v="0"/>
    <s v="United States"/>
    <s v="Laredo"/>
    <x v="5"/>
    <n v="78041"/>
    <x v="2"/>
    <x v="2"/>
    <x v="11"/>
    <n v="31.2"/>
    <n v="3"/>
    <n v="0.2"/>
    <n v="9.75"/>
  </r>
  <r>
    <s v="Standard Class"/>
    <x v="0"/>
    <s v="United States"/>
    <s v="San Diego"/>
    <x v="1"/>
    <n v="92024"/>
    <x v="1"/>
    <x v="1"/>
    <x v="9"/>
    <n v="76.12"/>
    <n v="2"/>
    <n v="0"/>
    <n v="22.0748"/>
  </r>
  <r>
    <s v="Standard Class"/>
    <x v="0"/>
    <s v="United States"/>
    <s v="San Diego"/>
    <x v="1"/>
    <n v="92024"/>
    <x v="1"/>
    <x v="2"/>
    <x v="16"/>
    <n v="1199.9760000000001"/>
    <n v="3"/>
    <n v="0.2"/>
    <n v="434.99130000000002"/>
  </r>
  <r>
    <s v="Standard Class"/>
    <x v="0"/>
    <s v="United States"/>
    <s v="San Diego"/>
    <x v="1"/>
    <n v="92024"/>
    <x v="1"/>
    <x v="2"/>
    <x v="7"/>
    <n v="445.96"/>
    <n v="5"/>
    <n v="0.2"/>
    <n v="55.744999999999997"/>
  </r>
  <r>
    <s v="Standard Class"/>
    <x v="0"/>
    <s v="United States"/>
    <s v="San Diego"/>
    <x v="1"/>
    <n v="92024"/>
    <x v="1"/>
    <x v="0"/>
    <x v="5"/>
    <n v="327.76"/>
    <n v="8"/>
    <n v="0"/>
    <n v="91.772800000000004"/>
  </r>
  <r>
    <s v="First Class"/>
    <x v="0"/>
    <s v="United States"/>
    <s v="Philadelphia"/>
    <x v="9"/>
    <n v="19134"/>
    <x v="3"/>
    <x v="1"/>
    <x v="14"/>
    <n v="11.632"/>
    <n v="2"/>
    <n v="0.2"/>
    <n v="1.0178"/>
  </r>
  <r>
    <s v="Standard Class"/>
    <x v="0"/>
    <s v="United States"/>
    <s v="Philadelphia"/>
    <x v="9"/>
    <n v="19120"/>
    <x v="3"/>
    <x v="2"/>
    <x v="7"/>
    <n v="143.982"/>
    <n v="3"/>
    <n v="0.4"/>
    <n v="-28.796399999999998"/>
  </r>
  <r>
    <s v="Standard Class"/>
    <x v="0"/>
    <s v="United States"/>
    <s v="Philadelphia"/>
    <x v="9"/>
    <n v="19120"/>
    <x v="3"/>
    <x v="2"/>
    <x v="7"/>
    <n v="494.37599999999998"/>
    <n v="4"/>
    <n v="0.4"/>
    <n v="-115.3544"/>
  </r>
  <r>
    <s v="Standard Class"/>
    <x v="0"/>
    <s v="United States"/>
    <s v="Philadelphia"/>
    <x v="9"/>
    <n v="19120"/>
    <x v="3"/>
    <x v="1"/>
    <x v="14"/>
    <n v="5.84"/>
    <n v="2"/>
    <n v="0.2"/>
    <n v="0.73"/>
  </r>
  <r>
    <s v="Standard Class"/>
    <x v="0"/>
    <s v="United States"/>
    <s v="Tampa"/>
    <x v="2"/>
    <n v="33614"/>
    <x v="0"/>
    <x v="1"/>
    <x v="4"/>
    <n v="142.77600000000001"/>
    <n v="1"/>
    <n v="0.2"/>
    <n v="17.847000000000001"/>
  </r>
  <r>
    <s v="Standard Class"/>
    <x v="0"/>
    <s v="United States"/>
    <s v="Tampa"/>
    <x v="2"/>
    <n v="33614"/>
    <x v="0"/>
    <x v="0"/>
    <x v="5"/>
    <n v="45.695999999999998"/>
    <n v="3"/>
    <n v="0.2"/>
    <n v="5.1407999999999996"/>
  </r>
  <r>
    <s v="Standard Class"/>
    <x v="0"/>
    <s v="United States"/>
    <s v="Tampa"/>
    <x v="2"/>
    <n v="33614"/>
    <x v="0"/>
    <x v="1"/>
    <x v="8"/>
    <n v="7.218"/>
    <n v="3"/>
    <n v="0.7"/>
    <n v="-5.5338000000000003"/>
  </r>
  <r>
    <s v="Standard Class"/>
    <x v="0"/>
    <s v="United States"/>
    <s v="Tampa"/>
    <x v="2"/>
    <n v="33614"/>
    <x v="0"/>
    <x v="1"/>
    <x v="8"/>
    <n v="43.188000000000002"/>
    <n v="4"/>
    <n v="0.7"/>
    <n v="-31.671199999999999"/>
  </r>
  <r>
    <s v="Standard Class"/>
    <x v="0"/>
    <s v="United States"/>
    <s v="Tampa"/>
    <x v="2"/>
    <n v="33614"/>
    <x v="0"/>
    <x v="1"/>
    <x v="10"/>
    <n v="131.904"/>
    <n v="3"/>
    <n v="0.2"/>
    <n v="47.815199999999997"/>
  </r>
  <r>
    <s v="Standard Class"/>
    <x v="0"/>
    <s v="United States"/>
    <s v="Philadelphia"/>
    <x v="9"/>
    <n v="19134"/>
    <x v="3"/>
    <x v="1"/>
    <x v="8"/>
    <n v="3.282"/>
    <n v="2"/>
    <n v="0.7"/>
    <n v="-2.6255999999999999"/>
  </r>
  <r>
    <s v="Standard Class"/>
    <x v="0"/>
    <s v="United States"/>
    <s v="Philadelphia"/>
    <x v="9"/>
    <n v="19134"/>
    <x v="3"/>
    <x v="1"/>
    <x v="6"/>
    <n v="21.167999999999999"/>
    <n v="9"/>
    <n v="0.2"/>
    <n v="2.3814000000000002"/>
  </r>
  <r>
    <s v="Standard Class"/>
    <x v="0"/>
    <s v="United States"/>
    <s v="Philadelphia"/>
    <x v="9"/>
    <n v="19134"/>
    <x v="3"/>
    <x v="2"/>
    <x v="7"/>
    <n v="55.188000000000002"/>
    <n v="2"/>
    <n v="0.4"/>
    <n v="-10.117800000000001"/>
  </r>
  <r>
    <s v="First Class"/>
    <x v="1"/>
    <s v="United States"/>
    <s v="Dallas"/>
    <x v="5"/>
    <n v="75217"/>
    <x v="2"/>
    <x v="2"/>
    <x v="7"/>
    <n v="369.57600000000002"/>
    <n v="3"/>
    <n v="0.2"/>
    <n v="41.577300000000001"/>
  </r>
  <r>
    <s v="First Class"/>
    <x v="1"/>
    <s v="United States"/>
    <s v="Dallas"/>
    <x v="5"/>
    <n v="75217"/>
    <x v="2"/>
    <x v="1"/>
    <x v="2"/>
    <n v="15.712"/>
    <n v="4"/>
    <n v="0.2"/>
    <n v="5.6955999999999998"/>
  </r>
  <r>
    <s v="Second Class"/>
    <x v="1"/>
    <s v="United States"/>
    <s v="Philadelphia"/>
    <x v="9"/>
    <n v="19143"/>
    <x v="3"/>
    <x v="1"/>
    <x v="10"/>
    <n v="8.4480000000000004"/>
    <n v="2"/>
    <n v="0.2"/>
    <n v="2.64"/>
  </r>
  <r>
    <s v="Second Class"/>
    <x v="1"/>
    <s v="United States"/>
    <s v="Philadelphia"/>
    <x v="9"/>
    <n v="19143"/>
    <x v="3"/>
    <x v="2"/>
    <x v="7"/>
    <n v="728.94600000000003"/>
    <n v="9"/>
    <n v="0.4"/>
    <n v="-157.9383"/>
  </r>
  <r>
    <s v="Second Class"/>
    <x v="0"/>
    <s v="United States"/>
    <s v="Grove City"/>
    <x v="24"/>
    <n v="43123"/>
    <x v="3"/>
    <x v="2"/>
    <x v="7"/>
    <n v="119.94"/>
    <n v="10"/>
    <n v="0.4"/>
    <n v="15.992000000000001"/>
  </r>
  <r>
    <s v="Second Class"/>
    <x v="0"/>
    <s v="United States"/>
    <s v="Grove City"/>
    <x v="24"/>
    <n v="43123"/>
    <x v="3"/>
    <x v="1"/>
    <x v="8"/>
    <n v="3.6480000000000001"/>
    <n v="2"/>
    <n v="0.7"/>
    <n v="-2.7968000000000002"/>
  </r>
  <r>
    <s v="Second Class"/>
    <x v="1"/>
    <s v="United States"/>
    <s v="New York City"/>
    <x v="15"/>
    <n v="10011"/>
    <x v="3"/>
    <x v="0"/>
    <x v="5"/>
    <n v="40.479999999999997"/>
    <n v="2"/>
    <n v="0"/>
    <n v="15.7872"/>
  </r>
  <r>
    <s v="Second Class"/>
    <x v="1"/>
    <s v="United States"/>
    <s v="New York City"/>
    <x v="15"/>
    <n v="10011"/>
    <x v="3"/>
    <x v="0"/>
    <x v="5"/>
    <n v="9.94"/>
    <n v="2"/>
    <n v="0"/>
    <n v="3.0813999999999999"/>
  </r>
  <r>
    <s v="Second Class"/>
    <x v="1"/>
    <s v="United States"/>
    <s v="New York City"/>
    <x v="15"/>
    <n v="10011"/>
    <x v="3"/>
    <x v="1"/>
    <x v="8"/>
    <n v="107.42400000000001"/>
    <n v="9"/>
    <n v="0.2"/>
    <n v="33.57"/>
  </r>
  <r>
    <s v="Second Class"/>
    <x v="1"/>
    <s v="United States"/>
    <s v="New York City"/>
    <x v="15"/>
    <n v="10011"/>
    <x v="3"/>
    <x v="2"/>
    <x v="7"/>
    <n v="37.909999999999997"/>
    <n v="1"/>
    <n v="0"/>
    <n v="10.9939"/>
  </r>
  <r>
    <s v="Second Class"/>
    <x v="1"/>
    <s v="United States"/>
    <s v="New York City"/>
    <x v="15"/>
    <n v="10011"/>
    <x v="3"/>
    <x v="0"/>
    <x v="5"/>
    <n v="88.02"/>
    <n v="3"/>
    <n v="0"/>
    <n v="27.286200000000001"/>
  </r>
  <r>
    <s v="Standard Class"/>
    <x v="0"/>
    <s v="United States"/>
    <s v="Chicago"/>
    <x v="10"/>
    <n v="60610"/>
    <x v="2"/>
    <x v="1"/>
    <x v="8"/>
    <n v="8.69"/>
    <n v="5"/>
    <n v="0.8"/>
    <n v="-14.773"/>
  </r>
  <r>
    <s v="Standard Class"/>
    <x v="1"/>
    <s v="United States"/>
    <s v="Dearborn"/>
    <x v="12"/>
    <n v="48126"/>
    <x v="2"/>
    <x v="0"/>
    <x v="1"/>
    <n v="301.95999999999998"/>
    <n v="2"/>
    <n v="0"/>
    <n v="87.568399999999997"/>
  </r>
  <r>
    <s v="Standard Class"/>
    <x v="1"/>
    <s v="United States"/>
    <s v="Dearborn"/>
    <x v="12"/>
    <n v="48126"/>
    <x v="2"/>
    <x v="1"/>
    <x v="9"/>
    <n v="555.21"/>
    <n v="5"/>
    <n v="0.1"/>
    <n v="178.90100000000001"/>
  </r>
  <r>
    <s v="Standard Class"/>
    <x v="1"/>
    <s v="United States"/>
    <s v="Dearborn"/>
    <x v="12"/>
    <n v="48126"/>
    <x v="2"/>
    <x v="1"/>
    <x v="4"/>
    <n v="523.48"/>
    <n v="4"/>
    <n v="0"/>
    <n v="130.87"/>
  </r>
  <r>
    <s v="Standard Class"/>
    <x v="1"/>
    <s v="United States"/>
    <s v="Dearborn"/>
    <x v="12"/>
    <n v="48126"/>
    <x v="2"/>
    <x v="1"/>
    <x v="6"/>
    <n v="161.82"/>
    <n v="9"/>
    <n v="0"/>
    <n v="46.927799999999998"/>
  </r>
  <r>
    <s v="Standard Class"/>
    <x v="2"/>
    <s v="United States"/>
    <s v="New York City"/>
    <x v="15"/>
    <n v="10009"/>
    <x v="3"/>
    <x v="0"/>
    <x v="5"/>
    <n v="35.56"/>
    <n v="7"/>
    <n v="0"/>
    <n v="12.090400000000001"/>
  </r>
  <r>
    <s v="Standard Class"/>
    <x v="0"/>
    <s v="United States"/>
    <s v="Seattle"/>
    <x v="4"/>
    <n v="98115"/>
    <x v="1"/>
    <x v="1"/>
    <x v="9"/>
    <n v="97.16"/>
    <n v="2"/>
    <n v="0"/>
    <n v="28.176400000000001"/>
  </r>
  <r>
    <s v="Standard Class"/>
    <x v="0"/>
    <s v="United States"/>
    <s v="San Francisco"/>
    <x v="1"/>
    <n v="94122"/>
    <x v="1"/>
    <x v="1"/>
    <x v="8"/>
    <n v="15.24"/>
    <n v="5"/>
    <n v="0.2"/>
    <n v="5.1435000000000004"/>
  </r>
  <r>
    <s v="Standard Class"/>
    <x v="0"/>
    <s v="United States"/>
    <s v="San Francisco"/>
    <x v="1"/>
    <n v="94122"/>
    <x v="1"/>
    <x v="1"/>
    <x v="10"/>
    <n v="13.23"/>
    <n v="3"/>
    <n v="0"/>
    <n v="6.0857999999999999"/>
  </r>
  <r>
    <s v="Second Class"/>
    <x v="0"/>
    <s v="United States"/>
    <s v="Aurora"/>
    <x v="22"/>
    <n v="80013"/>
    <x v="1"/>
    <x v="1"/>
    <x v="4"/>
    <n v="243.38399999999999"/>
    <n v="3"/>
    <n v="0.2"/>
    <n v="-51.719099999999997"/>
  </r>
  <r>
    <s v="Second Class"/>
    <x v="0"/>
    <s v="United States"/>
    <s v="Aurora"/>
    <x v="22"/>
    <n v="80013"/>
    <x v="1"/>
    <x v="2"/>
    <x v="11"/>
    <n v="119.8"/>
    <n v="5"/>
    <n v="0.2"/>
    <n v="29.95"/>
  </r>
  <r>
    <s v="Second Class"/>
    <x v="0"/>
    <s v="United States"/>
    <s v="Aurora"/>
    <x v="22"/>
    <n v="80013"/>
    <x v="1"/>
    <x v="2"/>
    <x v="7"/>
    <n v="300.76799999999997"/>
    <n v="4"/>
    <n v="0.2"/>
    <n v="30.076799999999999"/>
  </r>
  <r>
    <s v="Second Class"/>
    <x v="0"/>
    <s v="United States"/>
    <s v="Miami"/>
    <x v="2"/>
    <n v="33180"/>
    <x v="0"/>
    <x v="2"/>
    <x v="11"/>
    <n v="17.88"/>
    <n v="3"/>
    <n v="0.2"/>
    <n v="2.4584999999999999"/>
  </r>
  <r>
    <s v="Second Class"/>
    <x v="0"/>
    <s v="United States"/>
    <s v="Miami"/>
    <x v="2"/>
    <n v="33180"/>
    <x v="0"/>
    <x v="1"/>
    <x v="2"/>
    <n v="235.94399999999999"/>
    <n v="3"/>
    <n v="0.2"/>
    <n v="85.529700000000005"/>
  </r>
  <r>
    <s v="Second Class"/>
    <x v="1"/>
    <s v="United States"/>
    <s v="Warner Robins"/>
    <x v="32"/>
    <n v="31088"/>
    <x v="0"/>
    <x v="0"/>
    <x v="1"/>
    <n v="392.94"/>
    <n v="3"/>
    <n v="0"/>
    <n v="43.223399999999998"/>
  </r>
  <r>
    <s v="Standard Class"/>
    <x v="0"/>
    <s v="United States"/>
    <s v="Aurora"/>
    <x v="22"/>
    <n v="80013"/>
    <x v="1"/>
    <x v="1"/>
    <x v="8"/>
    <n v="18.882000000000001"/>
    <n v="3"/>
    <n v="0.7"/>
    <n v="-13.8468"/>
  </r>
  <r>
    <s v="Standard Class"/>
    <x v="0"/>
    <s v="United States"/>
    <s v="Aurora"/>
    <x v="22"/>
    <n v="80013"/>
    <x v="1"/>
    <x v="1"/>
    <x v="9"/>
    <n v="122.328"/>
    <n v="3"/>
    <n v="0.2"/>
    <n v="12.232799999999999"/>
  </r>
  <r>
    <s v="Standard Class"/>
    <x v="2"/>
    <s v="United States"/>
    <s v="Vallejo"/>
    <x v="1"/>
    <n v="94591"/>
    <x v="1"/>
    <x v="0"/>
    <x v="5"/>
    <n v="1049.2"/>
    <n v="5"/>
    <n v="0"/>
    <n v="272.79199999999997"/>
  </r>
  <r>
    <s v="Standard Class"/>
    <x v="2"/>
    <s v="United States"/>
    <s v="Vallejo"/>
    <x v="1"/>
    <n v="94591"/>
    <x v="1"/>
    <x v="1"/>
    <x v="8"/>
    <n v="15.423999999999999"/>
    <n v="4"/>
    <n v="0.2"/>
    <n v="5.0128000000000004"/>
  </r>
  <r>
    <s v="Standard Class"/>
    <x v="1"/>
    <s v="United States"/>
    <s v="Minneapolis"/>
    <x v="11"/>
    <n v="55407"/>
    <x v="2"/>
    <x v="0"/>
    <x v="5"/>
    <n v="18.84"/>
    <n v="3"/>
    <n v="0"/>
    <n v="6.0288000000000004"/>
  </r>
  <r>
    <s v="Second Class"/>
    <x v="0"/>
    <s v="United States"/>
    <s v="Mission Viejo"/>
    <x v="1"/>
    <n v="92691"/>
    <x v="1"/>
    <x v="1"/>
    <x v="4"/>
    <n v="330.4"/>
    <n v="2"/>
    <n v="0"/>
    <n v="85.903999999999996"/>
  </r>
  <r>
    <s v="Second Class"/>
    <x v="0"/>
    <s v="United States"/>
    <s v="Mission Viejo"/>
    <x v="1"/>
    <n v="92691"/>
    <x v="1"/>
    <x v="1"/>
    <x v="2"/>
    <n v="26.25"/>
    <n v="7"/>
    <n v="0"/>
    <n v="12.6"/>
  </r>
  <r>
    <s v="Standard Class"/>
    <x v="0"/>
    <s v="United States"/>
    <s v="Rochester Hills"/>
    <x v="12"/>
    <n v="48307"/>
    <x v="2"/>
    <x v="2"/>
    <x v="11"/>
    <n v="132.52000000000001"/>
    <n v="4"/>
    <n v="0"/>
    <n v="54.333199999999998"/>
  </r>
  <r>
    <s v="Standard Class"/>
    <x v="2"/>
    <s v="United States"/>
    <s v="Plainfield"/>
    <x v="30"/>
    <n v="7060"/>
    <x v="3"/>
    <x v="1"/>
    <x v="10"/>
    <n v="6.48"/>
    <n v="1"/>
    <n v="0"/>
    <n v="3.1751999999999998"/>
  </r>
  <r>
    <s v="Standard Class"/>
    <x v="2"/>
    <s v="United States"/>
    <s v="Columbus"/>
    <x v="14"/>
    <n v="47201"/>
    <x v="2"/>
    <x v="1"/>
    <x v="9"/>
    <n v="209.3"/>
    <n v="2"/>
    <n v="0"/>
    <n v="56.511000000000003"/>
  </r>
  <r>
    <s v="Standard Class"/>
    <x v="1"/>
    <s v="United States"/>
    <s v="Sierra Vista"/>
    <x v="16"/>
    <n v="85635"/>
    <x v="1"/>
    <x v="1"/>
    <x v="13"/>
    <n v="31.56"/>
    <n v="5"/>
    <n v="0.2"/>
    <n v="9.8625000000000007"/>
  </r>
  <r>
    <s v="Standard Class"/>
    <x v="1"/>
    <s v="United States"/>
    <s v="Sierra Vista"/>
    <x v="16"/>
    <n v="85635"/>
    <x v="1"/>
    <x v="1"/>
    <x v="9"/>
    <n v="30.143999999999998"/>
    <n v="2"/>
    <n v="0.2"/>
    <n v="3.0144000000000002"/>
  </r>
  <r>
    <s v="Second Class"/>
    <x v="1"/>
    <s v="United States"/>
    <s v="Vancouver"/>
    <x v="4"/>
    <n v="98661"/>
    <x v="1"/>
    <x v="0"/>
    <x v="5"/>
    <n v="14.8"/>
    <n v="4"/>
    <n v="0"/>
    <n v="6.0679999999999996"/>
  </r>
  <r>
    <s v="Second Class"/>
    <x v="1"/>
    <s v="United States"/>
    <s v="Vancouver"/>
    <x v="4"/>
    <n v="98661"/>
    <x v="1"/>
    <x v="2"/>
    <x v="7"/>
    <n v="302.37599999999998"/>
    <n v="3"/>
    <n v="0.2"/>
    <n v="22.6782"/>
  </r>
  <r>
    <s v="Second Class"/>
    <x v="1"/>
    <s v="United States"/>
    <s v="Vancouver"/>
    <x v="4"/>
    <n v="98661"/>
    <x v="1"/>
    <x v="2"/>
    <x v="11"/>
    <n v="316"/>
    <n v="4"/>
    <n v="0"/>
    <n v="31.6"/>
  </r>
  <r>
    <s v="Standard Class"/>
    <x v="2"/>
    <s v="United States"/>
    <s v="New York City"/>
    <x v="15"/>
    <n v="10024"/>
    <x v="3"/>
    <x v="1"/>
    <x v="10"/>
    <n v="379.4"/>
    <n v="10"/>
    <n v="0"/>
    <n v="178.31800000000001"/>
  </r>
  <r>
    <s v="Standard Class"/>
    <x v="1"/>
    <s v="United States"/>
    <s v="New York City"/>
    <x v="15"/>
    <n v="10035"/>
    <x v="3"/>
    <x v="1"/>
    <x v="10"/>
    <n v="97.82"/>
    <n v="2"/>
    <n v="0"/>
    <n v="45.9754"/>
  </r>
  <r>
    <s v="Standard Class"/>
    <x v="1"/>
    <s v="United States"/>
    <s v="New York City"/>
    <x v="15"/>
    <n v="10035"/>
    <x v="3"/>
    <x v="2"/>
    <x v="11"/>
    <n v="103.12"/>
    <n v="8"/>
    <n v="0"/>
    <n v="10.311999999999999"/>
  </r>
  <r>
    <s v="Standard Class"/>
    <x v="0"/>
    <s v="United States"/>
    <s v="Columbus"/>
    <x v="24"/>
    <n v="43229"/>
    <x v="3"/>
    <x v="1"/>
    <x v="9"/>
    <n v="113.55200000000001"/>
    <n v="2"/>
    <n v="0.2"/>
    <n v="8.5164000000000009"/>
  </r>
  <r>
    <s v="Standard Class"/>
    <x v="0"/>
    <s v="United States"/>
    <s v="Columbus"/>
    <x v="24"/>
    <n v="43229"/>
    <x v="3"/>
    <x v="1"/>
    <x v="8"/>
    <n v="3.3180000000000001"/>
    <n v="2"/>
    <n v="0.7"/>
    <n v="-2.6543999999999999"/>
  </r>
  <r>
    <s v="Standard Class"/>
    <x v="0"/>
    <s v="United States"/>
    <s v="Columbus"/>
    <x v="24"/>
    <n v="43229"/>
    <x v="3"/>
    <x v="1"/>
    <x v="12"/>
    <n v="134.28800000000001"/>
    <n v="2"/>
    <n v="0.2"/>
    <n v="45.322200000000002"/>
  </r>
  <r>
    <s v="Same Day"/>
    <x v="2"/>
    <s v="United States"/>
    <s v="Aurora"/>
    <x v="10"/>
    <n v="60505"/>
    <x v="2"/>
    <x v="0"/>
    <x v="1"/>
    <n v="701.37199999999996"/>
    <n v="2"/>
    <n v="0.3"/>
    <n v="-50.097999999999999"/>
  </r>
  <r>
    <s v="Same Day"/>
    <x v="2"/>
    <s v="United States"/>
    <s v="Aurora"/>
    <x v="10"/>
    <n v="60505"/>
    <x v="2"/>
    <x v="1"/>
    <x v="8"/>
    <n v="2.3079999999999998"/>
    <n v="2"/>
    <n v="0.8"/>
    <n v="-3.4620000000000002"/>
  </r>
  <r>
    <s v="Standard Class"/>
    <x v="0"/>
    <s v="United States"/>
    <s v="Arlington"/>
    <x v="5"/>
    <n v="76017"/>
    <x v="2"/>
    <x v="1"/>
    <x v="4"/>
    <n v="999.43200000000002"/>
    <n v="7"/>
    <n v="0.2"/>
    <n v="124.929"/>
  </r>
  <r>
    <s v="Standard Class"/>
    <x v="0"/>
    <s v="United States"/>
    <s v="Arlington"/>
    <x v="5"/>
    <n v="76017"/>
    <x v="2"/>
    <x v="1"/>
    <x v="4"/>
    <n v="724.08"/>
    <n v="14"/>
    <n v="0.2"/>
    <n v="-135.76499999999999"/>
  </r>
  <r>
    <s v="Standard Class"/>
    <x v="0"/>
    <s v="United States"/>
    <s v="Arlington"/>
    <x v="5"/>
    <n v="76017"/>
    <x v="2"/>
    <x v="0"/>
    <x v="3"/>
    <n v="918.78499999999997"/>
    <n v="5"/>
    <n v="0.3"/>
    <n v="-118.12949999999999"/>
  </r>
  <r>
    <s v="Standard Class"/>
    <x v="0"/>
    <s v="United States"/>
    <s v="Arlington"/>
    <x v="5"/>
    <n v="76017"/>
    <x v="2"/>
    <x v="1"/>
    <x v="8"/>
    <n v="2.7240000000000002"/>
    <n v="3"/>
    <n v="0.8"/>
    <n v="-4.2222"/>
  </r>
  <r>
    <s v="Standard Class"/>
    <x v="1"/>
    <s v="United States"/>
    <s v="New York City"/>
    <x v="15"/>
    <n v="10011"/>
    <x v="3"/>
    <x v="1"/>
    <x v="4"/>
    <n v="459.95"/>
    <n v="5"/>
    <n v="0"/>
    <n v="18.398"/>
  </r>
  <r>
    <s v="Same Day"/>
    <x v="0"/>
    <s v="United States"/>
    <s v="Louisville"/>
    <x v="0"/>
    <n v="40214"/>
    <x v="0"/>
    <x v="1"/>
    <x v="13"/>
    <n v="10.74"/>
    <n v="3"/>
    <n v="0"/>
    <n v="5.2625999999999999"/>
  </r>
  <r>
    <s v="Second Class"/>
    <x v="1"/>
    <s v="United States"/>
    <s v="Dallas"/>
    <x v="5"/>
    <n v="75081"/>
    <x v="2"/>
    <x v="1"/>
    <x v="14"/>
    <n v="23.76"/>
    <n v="3"/>
    <n v="0.2"/>
    <n v="2.0790000000000002"/>
  </r>
  <r>
    <s v="Second Class"/>
    <x v="1"/>
    <s v="United States"/>
    <s v="Dallas"/>
    <x v="5"/>
    <n v="75081"/>
    <x v="2"/>
    <x v="1"/>
    <x v="10"/>
    <n v="85.055999999999997"/>
    <n v="3"/>
    <n v="0.2"/>
    <n v="28.706399999999999"/>
  </r>
  <r>
    <s v="Second Class"/>
    <x v="1"/>
    <s v="United States"/>
    <s v="Dallas"/>
    <x v="5"/>
    <n v="75081"/>
    <x v="2"/>
    <x v="2"/>
    <x v="7"/>
    <n v="381.57600000000002"/>
    <n v="3"/>
    <n v="0.2"/>
    <n v="28.618200000000002"/>
  </r>
  <r>
    <s v="First Class"/>
    <x v="0"/>
    <s v="United States"/>
    <s v="Cleveland"/>
    <x v="24"/>
    <n v="44105"/>
    <x v="3"/>
    <x v="0"/>
    <x v="5"/>
    <n v="30.36"/>
    <n v="5"/>
    <n v="0.2"/>
    <n v="8.7285000000000004"/>
  </r>
  <r>
    <s v="Standard Class"/>
    <x v="2"/>
    <s v="United States"/>
    <s v="Chicago"/>
    <x v="10"/>
    <n v="60653"/>
    <x v="2"/>
    <x v="0"/>
    <x v="5"/>
    <n v="23.975999999999999"/>
    <n v="3"/>
    <n v="0.6"/>
    <n v="-14.3856"/>
  </r>
  <r>
    <s v="Standard Class"/>
    <x v="2"/>
    <s v="United States"/>
    <s v="Chicago"/>
    <x v="10"/>
    <n v="60653"/>
    <x v="2"/>
    <x v="0"/>
    <x v="3"/>
    <n v="108.925"/>
    <n v="1"/>
    <n v="0.5"/>
    <n v="-71.890500000000003"/>
  </r>
  <r>
    <s v="Standard Class"/>
    <x v="2"/>
    <s v="United States"/>
    <s v="Chicago"/>
    <x v="10"/>
    <n v="60653"/>
    <x v="2"/>
    <x v="1"/>
    <x v="10"/>
    <n v="36.351999999999997"/>
    <n v="8"/>
    <n v="0.2"/>
    <n v="11.36"/>
  </r>
  <r>
    <s v="Standard Class"/>
    <x v="0"/>
    <s v="United States"/>
    <s v="Quincy"/>
    <x v="10"/>
    <n v="62301"/>
    <x v="2"/>
    <x v="1"/>
    <x v="6"/>
    <n v="19.559999999999999"/>
    <n v="5"/>
    <n v="0.2"/>
    <n v="1.7115"/>
  </r>
  <r>
    <s v="First Class"/>
    <x v="0"/>
    <s v="United States"/>
    <s v="Columbus"/>
    <x v="14"/>
    <n v="47201"/>
    <x v="2"/>
    <x v="1"/>
    <x v="9"/>
    <n v="61.44"/>
    <n v="3"/>
    <n v="0"/>
    <n v="16.588799999999999"/>
  </r>
  <r>
    <s v="First Class"/>
    <x v="0"/>
    <s v="United States"/>
    <s v="Columbus"/>
    <x v="14"/>
    <n v="47201"/>
    <x v="2"/>
    <x v="1"/>
    <x v="10"/>
    <n v="38.9"/>
    <n v="5"/>
    <n v="0"/>
    <n v="17.504999999999999"/>
  </r>
  <r>
    <s v="First Class"/>
    <x v="0"/>
    <s v="United States"/>
    <s v="Columbus"/>
    <x v="14"/>
    <n v="47201"/>
    <x v="2"/>
    <x v="2"/>
    <x v="11"/>
    <n v="99.39"/>
    <n v="3"/>
    <n v="0"/>
    <n v="40.749899999999997"/>
  </r>
  <r>
    <s v="Standard Class"/>
    <x v="0"/>
    <s v="United States"/>
    <s v="Tyler"/>
    <x v="5"/>
    <n v="75701"/>
    <x v="2"/>
    <x v="1"/>
    <x v="9"/>
    <n v="2.6880000000000002"/>
    <n v="3"/>
    <n v="0.8"/>
    <n v="-7.3920000000000003"/>
  </r>
  <r>
    <s v="Standard Class"/>
    <x v="0"/>
    <s v="United States"/>
    <s v="Tyler"/>
    <x v="5"/>
    <n v="75701"/>
    <x v="2"/>
    <x v="2"/>
    <x v="11"/>
    <n v="27.815999999999999"/>
    <n v="3"/>
    <n v="0.2"/>
    <n v="4.5201000000000002"/>
  </r>
  <r>
    <s v="Standard Class"/>
    <x v="0"/>
    <s v="United States"/>
    <s v="Tyler"/>
    <x v="5"/>
    <n v="75701"/>
    <x v="2"/>
    <x v="0"/>
    <x v="5"/>
    <n v="82.524000000000001"/>
    <n v="3"/>
    <n v="0.6"/>
    <n v="-41.262"/>
  </r>
  <r>
    <s v="Standard Class"/>
    <x v="0"/>
    <s v="United States"/>
    <s v="Tyler"/>
    <x v="5"/>
    <n v="75701"/>
    <x v="2"/>
    <x v="1"/>
    <x v="8"/>
    <n v="182.994"/>
    <n v="3"/>
    <n v="0.8"/>
    <n v="-320.23950000000002"/>
  </r>
  <r>
    <s v="Standard Class"/>
    <x v="0"/>
    <s v="United States"/>
    <s v="New York City"/>
    <x v="15"/>
    <n v="10024"/>
    <x v="3"/>
    <x v="1"/>
    <x v="8"/>
    <n v="14.352"/>
    <n v="3"/>
    <n v="0.2"/>
    <n v="4.6643999999999997"/>
  </r>
  <r>
    <s v="Standard Class"/>
    <x v="0"/>
    <s v="United States"/>
    <s v="New York City"/>
    <x v="15"/>
    <n v="10024"/>
    <x v="3"/>
    <x v="1"/>
    <x v="4"/>
    <n v="64.959999999999994"/>
    <n v="2"/>
    <n v="0"/>
    <n v="2.5983999999999998"/>
  </r>
  <r>
    <s v="Standard Class"/>
    <x v="0"/>
    <s v="United States"/>
    <s v="New York City"/>
    <x v="15"/>
    <n v="10024"/>
    <x v="3"/>
    <x v="1"/>
    <x v="4"/>
    <n v="68.599999999999994"/>
    <n v="4"/>
    <n v="0"/>
    <n v="18.521999999999998"/>
  </r>
  <r>
    <s v="Same Day"/>
    <x v="1"/>
    <s v="United States"/>
    <s v="Burlington"/>
    <x v="3"/>
    <n v="27217"/>
    <x v="0"/>
    <x v="2"/>
    <x v="15"/>
    <n v="7999.98"/>
    <n v="4"/>
    <n v="0.5"/>
    <n v="-3839.9904000000001"/>
  </r>
  <r>
    <s v="Same Day"/>
    <x v="1"/>
    <s v="United States"/>
    <s v="Burlington"/>
    <x v="3"/>
    <n v="27217"/>
    <x v="0"/>
    <x v="1"/>
    <x v="9"/>
    <n v="167.44"/>
    <n v="2"/>
    <n v="0.2"/>
    <n v="14.651"/>
  </r>
  <r>
    <s v="First Class"/>
    <x v="0"/>
    <s v="United States"/>
    <s v="Jackson"/>
    <x v="35"/>
    <n v="39212"/>
    <x v="0"/>
    <x v="2"/>
    <x v="11"/>
    <n v="479.97"/>
    <n v="3"/>
    <n v="0"/>
    <n v="163.18979999999999"/>
  </r>
  <r>
    <s v="First Class"/>
    <x v="0"/>
    <s v="United States"/>
    <s v="Jackson"/>
    <x v="35"/>
    <n v="39212"/>
    <x v="0"/>
    <x v="1"/>
    <x v="2"/>
    <n v="14.62"/>
    <n v="2"/>
    <n v="0"/>
    <n v="6.8714000000000004"/>
  </r>
  <r>
    <s v="First Class"/>
    <x v="0"/>
    <s v="United States"/>
    <s v="Jackson"/>
    <x v="35"/>
    <n v="39212"/>
    <x v="0"/>
    <x v="1"/>
    <x v="10"/>
    <n v="19.440000000000001"/>
    <n v="3"/>
    <n v="0"/>
    <n v="9.3312000000000008"/>
  </r>
  <r>
    <s v="Standard Class"/>
    <x v="0"/>
    <s v="United States"/>
    <s v="New York City"/>
    <x v="15"/>
    <n v="10035"/>
    <x v="3"/>
    <x v="0"/>
    <x v="0"/>
    <n v="191.98400000000001"/>
    <n v="2"/>
    <n v="0.2"/>
    <n v="4.7995999999999999"/>
  </r>
  <r>
    <s v="Second Class"/>
    <x v="0"/>
    <s v="United States"/>
    <s v="Waynesboro"/>
    <x v="17"/>
    <n v="22980"/>
    <x v="0"/>
    <x v="0"/>
    <x v="5"/>
    <n v="104.01"/>
    <n v="1"/>
    <n v="0"/>
    <n v="14.561400000000001"/>
  </r>
  <r>
    <s v="Second Class"/>
    <x v="0"/>
    <s v="United States"/>
    <s v="Waynesboro"/>
    <x v="17"/>
    <n v="22980"/>
    <x v="0"/>
    <x v="2"/>
    <x v="7"/>
    <n v="284.82"/>
    <n v="1"/>
    <n v="0"/>
    <n v="74.053200000000004"/>
  </r>
  <r>
    <s v="Second Class"/>
    <x v="0"/>
    <s v="United States"/>
    <s v="Waynesboro"/>
    <x v="17"/>
    <n v="22980"/>
    <x v="0"/>
    <x v="1"/>
    <x v="4"/>
    <n v="36.840000000000003"/>
    <n v="3"/>
    <n v="0"/>
    <n v="10.315200000000001"/>
  </r>
  <r>
    <s v="Standard Class"/>
    <x v="0"/>
    <s v="United States"/>
    <s v="Los Angeles"/>
    <x v="1"/>
    <n v="90036"/>
    <x v="1"/>
    <x v="2"/>
    <x v="11"/>
    <n v="166.24"/>
    <n v="1"/>
    <n v="0"/>
    <n v="24.936"/>
  </r>
  <r>
    <s v="Standard Class"/>
    <x v="0"/>
    <s v="United States"/>
    <s v="Los Angeles"/>
    <x v="1"/>
    <n v="90036"/>
    <x v="1"/>
    <x v="1"/>
    <x v="10"/>
    <n v="33.4"/>
    <n v="5"/>
    <n v="0"/>
    <n v="16.032"/>
  </r>
  <r>
    <s v="First Class"/>
    <x v="2"/>
    <s v="United States"/>
    <s v="Chester"/>
    <x v="9"/>
    <n v="19013"/>
    <x v="3"/>
    <x v="1"/>
    <x v="6"/>
    <n v="198.27199999999999"/>
    <n v="8"/>
    <n v="0.2"/>
    <n v="17.348800000000001"/>
  </r>
  <r>
    <s v="First Class"/>
    <x v="2"/>
    <s v="United States"/>
    <s v="Chester"/>
    <x v="9"/>
    <n v="19013"/>
    <x v="3"/>
    <x v="1"/>
    <x v="2"/>
    <n v="47.36"/>
    <n v="4"/>
    <n v="0.2"/>
    <n v="17.760000000000002"/>
  </r>
  <r>
    <s v="First Class"/>
    <x v="2"/>
    <s v="United States"/>
    <s v="Chester"/>
    <x v="9"/>
    <n v="19013"/>
    <x v="3"/>
    <x v="1"/>
    <x v="12"/>
    <n v="200.98400000000001"/>
    <n v="7"/>
    <n v="0.2"/>
    <n v="62.807499999999997"/>
  </r>
  <r>
    <s v="First Class"/>
    <x v="2"/>
    <s v="United States"/>
    <s v="Chester"/>
    <x v="9"/>
    <n v="19013"/>
    <x v="3"/>
    <x v="1"/>
    <x v="2"/>
    <n v="97.695999999999998"/>
    <n v="4"/>
    <n v="0.2"/>
    <n v="31.751200000000001"/>
  </r>
  <r>
    <s v="First Class"/>
    <x v="2"/>
    <s v="United States"/>
    <s v="Chester"/>
    <x v="9"/>
    <n v="19013"/>
    <x v="3"/>
    <x v="1"/>
    <x v="6"/>
    <n v="2.6960000000000002"/>
    <n v="1"/>
    <n v="0.2"/>
    <n v="0.80879999999999996"/>
  </r>
  <r>
    <s v="First Class"/>
    <x v="2"/>
    <s v="United States"/>
    <s v="Chester"/>
    <x v="9"/>
    <n v="19013"/>
    <x v="3"/>
    <x v="1"/>
    <x v="8"/>
    <n v="18.588000000000001"/>
    <n v="2"/>
    <n v="0.7"/>
    <n v="-13.6312"/>
  </r>
  <r>
    <s v="First Class"/>
    <x v="2"/>
    <s v="United States"/>
    <s v="Chester"/>
    <x v="9"/>
    <n v="19013"/>
    <x v="3"/>
    <x v="1"/>
    <x v="8"/>
    <n v="4.8959999999999999"/>
    <n v="3"/>
    <n v="0.7"/>
    <n v="-3.4272"/>
  </r>
  <r>
    <s v="Standard Class"/>
    <x v="1"/>
    <s v="United States"/>
    <s v="Cleveland"/>
    <x v="24"/>
    <n v="44105"/>
    <x v="3"/>
    <x v="0"/>
    <x v="5"/>
    <n v="15.071999999999999"/>
    <n v="3"/>
    <n v="0.2"/>
    <n v="4.1448"/>
  </r>
  <r>
    <s v="Second Class"/>
    <x v="1"/>
    <s v="United States"/>
    <s v="Seattle"/>
    <x v="4"/>
    <n v="98103"/>
    <x v="1"/>
    <x v="0"/>
    <x v="5"/>
    <n v="209.88"/>
    <n v="3"/>
    <n v="0"/>
    <n v="35.679600000000001"/>
  </r>
  <r>
    <s v="Standard Class"/>
    <x v="0"/>
    <s v="United States"/>
    <s v="Long Beach"/>
    <x v="1"/>
    <n v="90805"/>
    <x v="1"/>
    <x v="0"/>
    <x v="3"/>
    <n v="369.91199999999998"/>
    <n v="3"/>
    <n v="0.2"/>
    <n v="-13.871700000000001"/>
  </r>
  <r>
    <s v="Standard Class"/>
    <x v="1"/>
    <s v="United States"/>
    <s v="Cary"/>
    <x v="3"/>
    <n v="27511"/>
    <x v="0"/>
    <x v="1"/>
    <x v="10"/>
    <n v="10.368"/>
    <n v="2"/>
    <n v="0.2"/>
    <n v="3.6288"/>
  </r>
  <r>
    <s v="Standard Class"/>
    <x v="1"/>
    <s v="United States"/>
    <s v="Cary"/>
    <x v="3"/>
    <n v="27511"/>
    <x v="0"/>
    <x v="1"/>
    <x v="9"/>
    <n v="166.84"/>
    <n v="5"/>
    <n v="0.2"/>
    <n v="18.769500000000001"/>
  </r>
  <r>
    <s v="Standard Class"/>
    <x v="1"/>
    <s v="United States"/>
    <s v="Cary"/>
    <x v="3"/>
    <n v="27511"/>
    <x v="0"/>
    <x v="2"/>
    <x v="11"/>
    <n v="15.215999999999999"/>
    <n v="1"/>
    <n v="0.2"/>
    <n v="2.2824"/>
  </r>
  <r>
    <s v="First Class"/>
    <x v="0"/>
    <s v="United States"/>
    <s v="New York City"/>
    <x v="15"/>
    <n v="10035"/>
    <x v="3"/>
    <x v="2"/>
    <x v="11"/>
    <n v="119.96"/>
    <n v="4"/>
    <n v="0"/>
    <n v="52.782400000000003"/>
  </r>
  <r>
    <s v="First Class"/>
    <x v="0"/>
    <s v="United States"/>
    <s v="New York City"/>
    <x v="15"/>
    <n v="10035"/>
    <x v="3"/>
    <x v="0"/>
    <x v="0"/>
    <n v="883.92"/>
    <n v="5"/>
    <n v="0.2"/>
    <n v="-110.49"/>
  </r>
  <r>
    <s v="First Class"/>
    <x v="0"/>
    <s v="United States"/>
    <s v="New York City"/>
    <x v="15"/>
    <n v="10035"/>
    <x v="3"/>
    <x v="1"/>
    <x v="8"/>
    <n v="46.72"/>
    <n v="8"/>
    <n v="0.2"/>
    <n v="15.768000000000001"/>
  </r>
  <r>
    <s v="First Class"/>
    <x v="2"/>
    <s v="United States"/>
    <s v="New York City"/>
    <x v="15"/>
    <n v="10035"/>
    <x v="3"/>
    <x v="1"/>
    <x v="10"/>
    <n v="55.48"/>
    <n v="1"/>
    <n v="0"/>
    <n v="26.630400000000002"/>
  </r>
  <r>
    <s v="Standard Class"/>
    <x v="0"/>
    <s v="United States"/>
    <s v="Palm Coast"/>
    <x v="2"/>
    <n v="32137"/>
    <x v="0"/>
    <x v="1"/>
    <x v="12"/>
    <n v="24.448"/>
    <n v="4"/>
    <n v="0.2"/>
    <n v="8.8623999999999992"/>
  </r>
  <r>
    <s v="Standard Class"/>
    <x v="1"/>
    <s v="United States"/>
    <s v="Mount Vernon"/>
    <x v="15"/>
    <n v="10550"/>
    <x v="3"/>
    <x v="1"/>
    <x v="9"/>
    <n v="281.33999999999997"/>
    <n v="6"/>
    <n v="0"/>
    <n v="109.7226"/>
  </r>
  <r>
    <s v="Standard Class"/>
    <x v="1"/>
    <s v="United States"/>
    <s v="Mount Vernon"/>
    <x v="15"/>
    <n v="10550"/>
    <x v="3"/>
    <x v="2"/>
    <x v="7"/>
    <n v="307.98"/>
    <n v="2"/>
    <n v="0"/>
    <n v="89.3142"/>
  </r>
  <r>
    <s v="Standard Class"/>
    <x v="1"/>
    <s v="United States"/>
    <s v="Mount Vernon"/>
    <x v="15"/>
    <n v="10550"/>
    <x v="3"/>
    <x v="2"/>
    <x v="11"/>
    <n v="299.97000000000003"/>
    <n v="3"/>
    <n v="0"/>
    <n v="113.98860000000001"/>
  </r>
  <r>
    <s v="Second Class"/>
    <x v="1"/>
    <s v="United States"/>
    <s v="Seattle"/>
    <x v="4"/>
    <n v="98105"/>
    <x v="1"/>
    <x v="1"/>
    <x v="8"/>
    <n v="19.920000000000002"/>
    <n v="5"/>
    <n v="0.2"/>
    <n v="6.9720000000000004"/>
  </r>
  <r>
    <s v="First Class"/>
    <x v="0"/>
    <s v="United States"/>
    <s v="Dover"/>
    <x v="13"/>
    <n v="19901"/>
    <x v="3"/>
    <x v="0"/>
    <x v="5"/>
    <n v="9.94"/>
    <n v="2"/>
    <n v="0"/>
    <n v="3.0813999999999999"/>
  </r>
  <r>
    <s v="Standard Class"/>
    <x v="0"/>
    <s v="United States"/>
    <s v="Newark"/>
    <x v="24"/>
    <n v="43055"/>
    <x v="3"/>
    <x v="0"/>
    <x v="5"/>
    <n v="103.056"/>
    <n v="3"/>
    <n v="0.2"/>
    <n v="24.4758"/>
  </r>
  <r>
    <s v="Standard Class"/>
    <x v="2"/>
    <s v="United States"/>
    <s v="Orem"/>
    <x v="7"/>
    <n v="84057"/>
    <x v="1"/>
    <x v="1"/>
    <x v="8"/>
    <n v="59.808"/>
    <n v="3"/>
    <n v="0.2"/>
    <n v="19.4376"/>
  </r>
  <r>
    <s v="Standard Class"/>
    <x v="2"/>
    <s v="United States"/>
    <s v="Orem"/>
    <x v="7"/>
    <n v="84057"/>
    <x v="1"/>
    <x v="0"/>
    <x v="5"/>
    <n v="73.319999999999993"/>
    <n v="6"/>
    <n v="0"/>
    <n v="21.995999999999999"/>
  </r>
  <r>
    <s v="Standard Class"/>
    <x v="2"/>
    <s v="United States"/>
    <s v="Los Angeles"/>
    <x v="1"/>
    <n v="90045"/>
    <x v="1"/>
    <x v="1"/>
    <x v="10"/>
    <n v="146.82"/>
    <n v="3"/>
    <n v="0"/>
    <n v="73.41"/>
  </r>
  <r>
    <s v="Standard Class"/>
    <x v="1"/>
    <s v="United States"/>
    <s v="Detroit"/>
    <x v="12"/>
    <n v="48205"/>
    <x v="2"/>
    <x v="0"/>
    <x v="3"/>
    <n v="1652.94"/>
    <n v="3"/>
    <n v="0"/>
    <n v="231.41159999999999"/>
  </r>
  <r>
    <s v="Standard Class"/>
    <x v="1"/>
    <s v="United States"/>
    <s v="Detroit"/>
    <x v="12"/>
    <n v="48205"/>
    <x v="2"/>
    <x v="1"/>
    <x v="4"/>
    <n v="296.37"/>
    <n v="3"/>
    <n v="0"/>
    <n v="80.019900000000007"/>
  </r>
  <r>
    <s v="Standard Class"/>
    <x v="2"/>
    <s v="United States"/>
    <s v="Philadelphia"/>
    <x v="9"/>
    <n v="19140"/>
    <x v="3"/>
    <x v="0"/>
    <x v="5"/>
    <n v="129.91999999999999"/>
    <n v="5"/>
    <n v="0.2"/>
    <n v="21.111999999999998"/>
  </r>
  <r>
    <s v="Standard Class"/>
    <x v="1"/>
    <s v="United States"/>
    <s v="Hialeah"/>
    <x v="2"/>
    <n v="33012"/>
    <x v="0"/>
    <x v="1"/>
    <x v="14"/>
    <n v="45.584000000000003"/>
    <n v="7"/>
    <n v="0.2"/>
    <n v="5.1281999999999996"/>
  </r>
  <r>
    <s v="Standard Class"/>
    <x v="0"/>
    <s v="United States"/>
    <s v="Austin"/>
    <x v="5"/>
    <n v="78745"/>
    <x v="2"/>
    <x v="1"/>
    <x v="12"/>
    <n v="17.568000000000001"/>
    <n v="2"/>
    <n v="0.2"/>
    <n v="6.3684000000000003"/>
  </r>
  <r>
    <s v="Standard Class"/>
    <x v="0"/>
    <s v="United States"/>
    <s v="Austin"/>
    <x v="5"/>
    <n v="78745"/>
    <x v="2"/>
    <x v="2"/>
    <x v="7"/>
    <n v="55.991999999999997"/>
    <n v="1"/>
    <n v="0.2"/>
    <n v="5.5991999999999997"/>
  </r>
  <r>
    <s v="First Class"/>
    <x v="0"/>
    <s v="United States"/>
    <s v="Oceanside"/>
    <x v="15"/>
    <n v="11572"/>
    <x v="3"/>
    <x v="1"/>
    <x v="10"/>
    <n v="182.72"/>
    <n v="8"/>
    <n v="0"/>
    <n v="84.051199999999994"/>
  </r>
  <r>
    <s v="First Class"/>
    <x v="0"/>
    <s v="United States"/>
    <s v="Oceanside"/>
    <x v="15"/>
    <n v="11572"/>
    <x v="3"/>
    <x v="0"/>
    <x v="3"/>
    <n v="400.03199999999998"/>
    <n v="2"/>
    <n v="0.4"/>
    <n v="-153.34559999999999"/>
  </r>
  <r>
    <s v="First Class"/>
    <x v="0"/>
    <s v="United States"/>
    <s v="Oceanside"/>
    <x v="15"/>
    <n v="11572"/>
    <x v="3"/>
    <x v="1"/>
    <x v="4"/>
    <n v="33.630000000000003"/>
    <n v="3"/>
    <n v="0"/>
    <n v="10.089"/>
  </r>
  <r>
    <s v="First Class"/>
    <x v="0"/>
    <s v="United States"/>
    <s v="Oceanside"/>
    <x v="15"/>
    <n v="11572"/>
    <x v="3"/>
    <x v="0"/>
    <x v="1"/>
    <n v="542.64599999999996"/>
    <n v="3"/>
    <n v="0.1"/>
    <n v="102.49979999999999"/>
  </r>
  <r>
    <s v="First Class"/>
    <x v="0"/>
    <s v="United States"/>
    <s v="Oceanside"/>
    <x v="15"/>
    <n v="11572"/>
    <x v="3"/>
    <x v="1"/>
    <x v="2"/>
    <n v="6.3"/>
    <n v="2"/>
    <n v="0"/>
    <n v="3.024"/>
  </r>
  <r>
    <s v="Standard Class"/>
    <x v="2"/>
    <s v="United States"/>
    <s v="Seattle"/>
    <x v="4"/>
    <n v="98115"/>
    <x v="1"/>
    <x v="1"/>
    <x v="4"/>
    <n v="242.94"/>
    <n v="3"/>
    <n v="0"/>
    <n v="9.7175999999999991"/>
  </r>
  <r>
    <s v="Standard Class"/>
    <x v="2"/>
    <s v="United States"/>
    <s v="Seattle"/>
    <x v="4"/>
    <n v="98115"/>
    <x v="1"/>
    <x v="2"/>
    <x v="11"/>
    <n v="179.97"/>
    <n v="3"/>
    <n v="0"/>
    <n v="86.385599999999997"/>
  </r>
  <r>
    <s v="Standard Class"/>
    <x v="2"/>
    <s v="United States"/>
    <s v="Seattle"/>
    <x v="4"/>
    <n v="98115"/>
    <x v="1"/>
    <x v="1"/>
    <x v="8"/>
    <n v="99.695999999999998"/>
    <n v="6"/>
    <n v="0.2"/>
    <n v="33.647399999999998"/>
  </r>
  <r>
    <s v="Standard Class"/>
    <x v="2"/>
    <s v="United States"/>
    <s v="Seattle"/>
    <x v="4"/>
    <n v="98115"/>
    <x v="1"/>
    <x v="1"/>
    <x v="8"/>
    <n v="27.936"/>
    <n v="4"/>
    <n v="0.2"/>
    <n v="9.4283999999999999"/>
  </r>
  <r>
    <s v="Standard Class"/>
    <x v="2"/>
    <s v="United States"/>
    <s v="Seattle"/>
    <x v="4"/>
    <n v="98115"/>
    <x v="1"/>
    <x v="0"/>
    <x v="0"/>
    <n v="84.98"/>
    <n v="1"/>
    <n v="0"/>
    <n v="18.695599999999999"/>
  </r>
  <r>
    <s v="Standard Class"/>
    <x v="2"/>
    <s v="United States"/>
    <s v="Seattle"/>
    <x v="4"/>
    <n v="98115"/>
    <x v="1"/>
    <x v="1"/>
    <x v="8"/>
    <n v="18.72"/>
    <n v="5"/>
    <n v="0.2"/>
    <n v="6.5519999999999996"/>
  </r>
  <r>
    <s v="Standard Class"/>
    <x v="0"/>
    <s v="United States"/>
    <s v="San Francisco"/>
    <x v="1"/>
    <n v="94110"/>
    <x v="1"/>
    <x v="2"/>
    <x v="11"/>
    <n v="49.98"/>
    <n v="2"/>
    <n v="0"/>
    <n v="8.4966000000000008"/>
  </r>
  <r>
    <s v="Standard Class"/>
    <x v="2"/>
    <s v="United States"/>
    <s v="Naperville"/>
    <x v="10"/>
    <n v="60540"/>
    <x v="2"/>
    <x v="1"/>
    <x v="2"/>
    <n v="11.784000000000001"/>
    <n v="3"/>
    <n v="0.2"/>
    <n v="4.2717000000000001"/>
  </r>
  <r>
    <s v="Standard Class"/>
    <x v="2"/>
    <s v="United States"/>
    <s v="Naperville"/>
    <x v="10"/>
    <n v="60540"/>
    <x v="2"/>
    <x v="1"/>
    <x v="4"/>
    <n v="272.73599999999999"/>
    <n v="3"/>
    <n v="0.2"/>
    <n v="-64.774799999999999"/>
  </r>
  <r>
    <s v="Standard Class"/>
    <x v="2"/>
    <s v="United States"/>
    <s v="Naperville"/>
    <x v="10"/>
    <n v="60540"/>
    <x v="2"/>
    <x v="1"/>
    <x v="8"/>
    <n v="3.54"/>
    <n v="2"/>
    <n v="0.8"/>
    <n v="-5.4870000000000001"/>
  </r>
  <r>
    <s v="Standard Class"/>
    <x v="0"/>
    <s v="United States"/>
    <s v="Dallas"/>
    <x v="5"/>
    <n v="75220"/>
    <x v="2"/>
    <x v="1"/>
    <x v="14"/>
    <n v="51.52"/>
    <n v="5"/>
    <n v="0.2"/>
    <n v="-10.948"/>
  </r>
  <r>
    <s v="Standard Class"/>
    <x v="0"/>
    <s v="United States"/>
    <s v="Dallas"/>
    <x v="5"/>
    <n v="75220"/>
    <x v="2"/>
    <x v="1"/>
    <x v="10"/>
    <n v="3.528"/>
    <n v="1"/>
    <n v="0.2"/>
    <n v="1.1466000000000001"/>
  </r>
  <r>
    <s v="Standard Class"/>
    <x v="0"/>
    <s v="United States"/>
    <s v="Dallas"/>
    <x v="5"/>
    <n v="75220"/>
    <x v="2"/>
    <x v="1"/>
    <x v="10"/>
    <n v="4.6239999999999997"/>
    <n v="1"/>
    <n v="0.2"/>
    <n v="1.6761999999999999"/>
  </r>
  <r>
    <s v="Standard Class"/>
    <x v="0"/>
    <s v="United States"/>
    <s v="Dallas"/>
    <x v="5"/>
    <n v="75220"/>
    <x v="2"/>
    <x v="1"/>
    <x v="14"/>
    <n v="55.167999999999999"/>
    <n v="4"/>
    <n v="0.2"/>
    <n v="6.2064000000000004"/>
  </r>
  <r>
    <s v="Same Day"/>
    <x v="1"/>
    <s v="United States"/>
    <s v="San Diego"/>
    <x v="1"/>
    <n v="92105"/>
    <x v="1"/>
    <x v="0"/>
    <x v="3"/>
    <n v="567.12"/>
    <n v="10"/>
    <n v="0.2"/>
    <n v="-28.356000000000002"/>
  </r>
  <r>
    <s v="Same Day"/>
    <x v="1"/>
    <s v="United States"/>
    <s v="San Diego"/>
    <x v="1"/>
    <n v="92105"/>
    <x v="1"/>
    <x v="1"/>
    <x v="4"/>
    <n v="359.32"/>
    <n v="4"/>
    <n v="0"/>
    <n v="7.1863999999999999"/>
  </r>
  <r>
    <s v="Second Class"/>
    <x v="0"/>
    <s v="United States"/>
    <s v="Evanston"/>
    <x v="10"/>
    <n v="60201"/>
    <x v="2"/>
    <x v="2"/>
    <x v="7"/>
    <n v="11.992000000000001"/>
    <n v="1"/>
    <n v="0.2"/>
    <n v="0.89939999999999998"/>
  </r>
  <r>
    <s v="Standard Class"/>
    <x v="0"/>
    <s v="United States"/>
    <s v="Trenton"/>
    <x v="12"/>
    <n v="48183"/>
    <x v="2"/>
    <x v="1"/>
    <x v="8"/>
    <n v="58.05"/>
    <n v="3"/>
    <n v="0"/>
    <n v="26.702999999999999"/>
  </r>
  <r>
    <s v="Standard Class"/>
    <x v="0"/>
    <s v="United States"/>
    <s v="Trenton"/>
    <x v="12"/>
    <n v="48183"/>
    <x v="2"/>
    <x v="0"/>
    <x v="5"/>
    <n v="157.74"/>
    <n v="11"/>
    <n v="0"/>
    <n v="56.7864"/>
  </r>
  <r>
    <s v="Standard Class"/>
    <x v="0"/>
    <s v="United States"/>
    <s v="Trenton"/>
    <x v="12"/>
    <n v="48183"/>
    <x v="2"/>
    <x v="1"/>
    <x v="6"/>
    <n v="56.98"/>
    <n v="7"/>
    <n v="0"/>
    <n v="22.792000000000002"/>
  </r>
  <r>
    <s v="Standard Class"/>
    <x v="0"/>
    <s v="United States"/>
    <s v="Trenton"/>
    <x v="12"/>
    <n v="48183"/>
    <x v="2"/>
    <x v="1"/>
    <x v="8"/>
    <n v="2.88"/>
    <n v="1"/>
    <n v="0"/>
    <n v="1.4112"/>
  </r>
  <r>
    <s v="First Class"/>
    <x v="1"/>
    <s v="United States"/>
    <s v="San Francisco"/>
    <x v="1"/>
    <n v="94110"/>
    <x v="1"/>
    <x v="2"/>
    <x v="16"/>
    <n v="1199.9760000000001"/>
    <n v="3"/>
    <n v="0.2"/>
    <n v="374.99250000000001"/>
  </r>
  <r>
    <s v="Standard Class"/>
    <x v="0"/>
    <s v="United States"/>
    <s v="Los Angeles"/>
    <x v="1"/>
    <n v="90036"/>
    <x v="1"/>
    <x v="0"/>
    <x v="5"/>
    <n v="79.92"/>
    <n v="4"/>
    <n v="0"/>
    <n v="28.7712"/>
  </r>
  <r>
    <s v="Standard Class"/>
    <x v="1"/>
    <s v="United States"/>
    <s v="Jacksonville"/>
    <x v="2"/>
    <n v="32216"/>
    <x v="0"/>
    <x v="0"/>
    <x v="3"/>
    <n v="383.43799999999999"/>
    <n v="4"/>
    <n v="0.45"/>
    <n v="-167.3184"/>
  </r>
  <r>
    <s v="Standard Class"/>
    <x v="0"/>
    <s v="United States"/>
    <s v="Cottage Grove"/>
    <x v="11"/>
    <n v="55016"/>
    <x v="2"/>
    <x v="1"/>
    <x v="4"/>
    <n v="24.56"/>
    <n v="2"/>
    <n v="0"/>
    <n v="6.8768000000000002"/>
  </r>
  <r>
    <s v="Standard Class"/>
    <x v="0"/>
    <s v="United States"/>
    <s v="Cottage Grove"/>
    <x v="11"/>
    <n v="55016"/>
    <x v="2"/>
    <x v="2"/>
    <x v="11"/>
    <n v="119.8"/>
    <n v="4"/>
    <n v="0"/>
    <n v="47.92"/>
  </r>
  <r>
    <s v="Standard Class"/>
    <x v="1"/>
    <s v="United States"/>
    <s v="New York City"/>
    <x v="15"/>
    <n v="10009"/>
    <x v="3"/>
    <x v="1"/>
    <x v="8"/>
    <n v="13.128"/>
    <n v="3"/>
    <n v="0.2"/>
    <n v="4.2666000000000004"/>
  </r>
  <r>
    <s v="Standard Class"/>
    <x v="1"/>
    <s v="United States"/>
    <s v="Green Bay"/>
    <x v="6"/>
    <n v="54302"/>
    <x v="2"/>
    <x v="1"/>
    <x v="10"/>
    <n v="22.72"/>
    <n v="4"/>
    <n v="0"/>
    <n v="10.224"/>
  </r>
  <r>
    <s v="Standard Class"/>
    <x v="0"/>
    <s v="United States"/>
    <s v="Los Angeles"/>
    <x v="1"/>
    <n v="90004"/>
    <x v="1"/>
    <x v="1"/>
    <x v="10"/>
    <n v="58.32"/>
    <n v="9"/>
    <n v="0"/>
    <n v="27.993600000000001"/>
  </r>
  <r>
    <s v="Standard Class"/>
    <x v="1"/>
    <s v="United States"/>
    <s v="Atlanta"/>
    <x v="32"/>
    <n v="30318"/>
    <x v="0"/>
    <x v="1"/>
    <x v="2"/>
    <n v="12.39"/>
    <n v="3"/>
    <n v="0"/>
    <n v="5.6993999999999998"/>
  </r>
  <r>
    <s v="Standard Class"/>
    <x v="0"/>
    <s v="United States"/>
    <s v="Columbus"/>
    <x v="24"/>
    <n v="43229"/>
    <x v="3"/>
    <x v="2"/>
    <x v="7"/>
    <n v="107.982"/>
    <n v="3"/>
    <n v="0.4"/>
    <n v="-26.9955"/>
  </r>
  <r>
    <s v="Second Class"/>
    <x v="1"/>
    <s v="United States"/>
    <s v="Bossier City"/>
    <x v="28"/>
    <n v="71111"/>
    <x v="0"/>
    <x v="1"/>
    <x v="12"/>
    <n v="11.36"/>
    <n v="2"/>
    <n v="0"/>
    <n v="5.3391999999999999"/>
  </r>
  <r>
    <s v="Second Class"/>
    <x v="1"/>
    <s v="United States"/>
    <s v="Bossier City"/>
    <x v="28"/>
    <n v="71111"/>
    <x v="0"/>
    <x v="1"/>
    <x v="12"/>
    <n v="50.94"/>
    <n v="3"/>
    <n v="0"/>
    <n v="25.47"/>
  </r>
  <r>
    <s v="Second Class"/>
    <x v="1"/>
    <s v="United States"/>
    <s v="Bossier City"/>
    <x v="28"/>
    <n v="71111"/>
    <x v="0"/>
    <x v="2"/>
    <x v="11"/>
    <n v="646.74"/>
    <n v="6"/>
    <n v="0"/>
    <n v="258.69600000000003"/>
  </r>
  <r>
    <s v="Second Class"/>
    <x v="1"/>
    <s v="United States"/>
    <s v="Bossier City"/>
    <x v="28"/>
    <n v="71111"/>
    <x v="0"/>
    <x v="1"/>
    <x v="8"/>
    <n v="5.64"/>
    <n v="3"/>
    <n v="0"/>
    <n v="2.7071999999999998"/>
  </r>
  <r>
    <s v="Second Class"/>
    <x v="1"/>
    <s v="United States"/>
    <s v="Bossier City"/>
    <x v="28"/>
    <n v="71111"/>
    <x v="0"/>
    <x v="1"/>
    <x v="4"/>
    <n v="572.58000000000004"/>
    <n v="6"/>
    <n v="0"/>
    <n v="34.354799999999997"/>
  </r>
  <r>
    <s v="Standard Class"/>
    <x v="1"/>
    <s v="United States"/>
    <s v="Saint Petersburg"/>
    <x v="2"/>
    <n v="33710"/>
    <x v="0"/>
    <x v="0"/>
    <x v="5"/>
    <n v="310.88"/>
    <n v="2"/>
    <n v="0.2"/>
    <n v="23.315999999999999"/>
  </r>
  <r>
    <s v="Standard Class"/>
    <x v="0"/>
    <s v="United States"/>
    <s v="Arlington"/>
    <x v="17"/>
    <n v="22204"/>
    <x v="0"/>
    <x v="0"/>
    <x v="1"/>
    <n v="641.96"/>
    <n v="2"/>
    <n v="0"/>
    <n v="179.74879999999999"/>
  </r>
  <r>
    <s v="Standard Class"/>
    <x v="1"/>
    <s v="United States"/>
    <s v="Des Moines"/>
    <x v="23"/>
    <n v="50315"/>
    <x v="2"/>
    <x v="1"/>
    <x v="8"/>
    <n v="18.28"/>
    <n v="2"/>
    <n v="0"/>
    <n v="9.14"/>
  </r>
  <r>
    <s v="Standard Class"/>
    <x v="1"/>
    <s v="United States"/>
    <s v="Des Moines"/>
    <x v="23"/>
    <n v="50315"/>
    <x v="2"/>
    <x v="2"/>
    <x v="7"/>
    <n v="207"/>
    <n v="3"/>
    <n v="0"/>
    <n v="51.75"/>
  </r>
  <r>
    <s v="Standard Class"/>
    <x v="1"/>
    <s v="United States"/>
    <s v="Des Moines"/>
    <x v="23"/>
    <n v="50315"/>
    <x v="2"/>
    <x v="1"/>
    <x v="8"/>
    <n v="32.35"/>
    <n v="5"/>
    <n v="0"/>
    <n v="16.175000000000001"/>
  </r>
  <r>
    <s v="Standard Class"/>
    <x v="1"/>
    <s v="United States"/>
    <s v="Des Moines"/>
    <x v="23"/>
    <n v="50315"/>
    <x v="2"/>
    <x v="1"/>
    <x v="8"/>
    <n v="7.71"/>
    <n v="1"/>
    <n v="0"/>
    <n v="3.4695"/>
  </r>
  <r>
    <s v="Standard Class"/>
    <x v="1"/>
    <s v="United States"/>
    <s v="Des Moines"/>
    <x v="23"/>
    <n v="50315"/>
    <x v="2"/>
    <x v="1"/>
    <x v="6"/>
    <n v="40.299999999999997"/>
    <n v="2"/>
    <n v="0"/>
    <n v="10.881"/>
  </r>
  <r>
    <s v="Standard Class"/>
    <x v="1"/>
    <s v="United States"/>
    <s v="Des Moines"/>
    <x v="23"/>
    <n v="50315"/>
    <x v="2"/>
    <x v="0"/>
    <x v="5"/>
    <n v="34.58"/>
    <n v="7"/>
    <n v="0"/>
    <n v="14.5236"/>
  </r>
  <r>
    <s v="Standard Class"/>
    <x v="0"/>
    <s v="United States"/>
    <s v="Cincinnati"/>
    <x v="24"/>
    <n v="45231"/>
    <x v="3"/>
    <x v="1"/>
    <x v="6"/>
    <n v="32.76"/>
    <n v="7"/>
    <n v="0.2"/>
    <n v="3.6855000000000002"/>
  </r>
  <r>
    <s v="First Class"/>
    <x v="2"/>
    <s v="United States"/>
    <s v="San Francisco"/>
    <x v="1"/>
    <n v="94110"/>
    <x v="1"/>
    <x v="0"/>
    <x v="1"/>
    <n v="544.00800000000004"/>
    <n v="3"/>
    <n v="0.2"/>
    <n v="40.800600000000003"/>
  </r>
  <r>
    <s v="First Class"/>
    <x v="2"/>
    <s v="United States"/>
    <s v="San Francisco"/>
    <x v="1"/>
    <n v="94110"/>
    <x v="1"/>
    <x v="1"/>
    <x v="10"/>
    <n v="59.94"/>
    <n v="3"/>
    <n v="0"/>
    <n v="28.171800000000001"/>
  </r>
  <r>
    <s v="First Class"/>
    <x v="2"/>
    <s v="United States"/>
    <s v="San Francisco"/>
    <x v="1"/>
    <n v="94110"/>
    <x v="1"/>
    <x v="1"/>
    <x v="10"/>
    <n v="23.92"/>
    <n v="4"/>
    <n v="0"/>
    <n v="11.720800000000001"/>
  </r>
  <r>
    <s v="First Class"/>
    <x v="2"/>
    <s v="United States"/>
    <s v="San Francisco"/>
    <x v="1"/>
    <n v="94110"/>
    <x v="1"/>
    <x v="1"/>
    <x v="10"/>
    <n v="4.28"/>
    <n v="1"/>
    <n v="0"/>
    <n v="1.9259999999999999"/>
  </r>
  <r>
    <s v="Second Class"/>
    <x v="0"/>
    <s v="United States"/>
    <s v="Columbus"/>
    <x v="24"/>
    <n v="43229"/>
    <x v="3"/>
    <x v="1"/>
    <x v="8"/>
    <n v="32.07"/>
    <n v="5"/>
    <n v="0.7"/>
    <n v="-22.449000000000002"/>
  </r>
  <r>
    <s v="Second Class"/>
    <x v="0"/>
    <s v="United States"/>
    <s v="Columbus"/>
    <x v="24"/>
    <n v="43229"/>
    <x v="3"/>
    <x v="2"/>
    <x v="11"/>
    <n v="24"/>
    <n v="2"/>
    <n v="0.2"/>
    <n v="-2.7"/>
  </r>
  <r>
    <s v="Second Class"/>
    <x v="0"/>
    <s v="United States"/>
    <s v="Columbus"/>
    <x v="24"/>
    <n v="43229"/>
    <x v="3"/>
    <x v="0"/>
    <x v="0"/>
    <n v="35.49"/>
    <n v="1"/>
    <n v="0.5"/>
    <n v="-15.615600000000001"/>
  </r>
  <r>
    <s v="Second Class"/>
    <x v="0"/>
    <s v="United States"/>
    <s v="Columbus"/>
    <x v="24"/>
    <n v="43229"/>
    <x v="3"/>
    <x v="2"/>
    <x v="11"/>
    <n v="47.984000000000002"/>
    <n v="2"/>
    <n v="0.2"/>
    <n v="0.5998"/>
  </r>
  <r>
    <s v="Standard Class"/>
    <x v="1"/>
    <s v="United States"/>
    <s v="Columbia"/>
    <x v="20"/>
    <n v="29203"/>
    <x v="0"/>
    <x v="1"/>
    <x v="12"/>
    <n v="186.69"/>
    <n v="3"/>
    <n v="0"/>
    <n v="87.744299999999996"/>
  </r>
  <r>
    <s v="Second Class"/>
    <x v="0"/>
    <s v="United States"/>
    <s v="Lancaster"/>
    <x v="1"/>
    <n v="93534"/>
    <x v="1"/>
    <x v="1"/>
    <x v="8"/>
    <n v="17.456"/>
    <n v="2"/>
    <n v="0.2"/>
    <n v="5.8914"/>
  </r>
  <r>
    <s v="Standard Class"/>
    <x v="0"/>
    <s v="United States"/>
    <s v="Lancaster"/>
    <x v="1"/>
    <n v="93534"/>
    <x v="1"/>
    <x v="0"/>
    <x v="1"/>
    <n v="348.928"/>
    <n v="2"/>
    <n v="0.2"/>
    <n v="34.892800000000001"/>
  </r>
  <r>
    <s v="Standard Class"/>
    <x v="0"/>
    <s v="United States"/>
    <s v="Richmond"/>
    <x v="17"/>
    <n v="23223"/>
    <x v="0"/>
    <x v="1"/>
    <x v="8"/>
    <n v="143.96"/>
    <n v="4"/>
    <n v="0"/>
    <n v="69.100800000000007"/>
  </r>
  <r>
    <s v="Standard Class"/>
    <x v="0"/>
    <s v="United States"/>
    <s v="Richmond"/>
    <x v="17"/>
    <n v="23223"/>
    <x v="0"/>
    <x v="1"/>
    <x v="4"/>
    <n v="15.42"/>
    <n v="1"/>
    <n v="0"/>
    <n v="4.1634000000000002"/>
  </r>
  <r>
    <s v="Standard Class"/>
    <x v="0"/>
    <s v="United States"/>
    <s v="Richmond"/>
    <x v="17"/>
    <n v="23223"/>
    <x v="0"/>
    <x v="1"/>
    <x v="8"/>
    <n v="43.04"/>
    <n v="8"/>
    <n v="0"/>
    <n v="21.089600000000001"/>
  </r>
  <r>
    <s v="Standard Class"/>
    <x v="0"/>
    <s v="United States"/>
    <s v="Richmond"/>
    <x v="17"/>
    <n v="23223"/>
    <x v="0"/>
    <x v="0"/>
    <x v="1"/>
    <n v="332.94"/>
    <n v="3"/>
    <n v="0"/>
    <n v="79.905600000000007"/>
  </r>
  <r>
    <s v="Same Day"/>
    <x v="0"/>
    <s v="United States"/>
    <s v="Asheville"/>
    <x v="3"/>
    <n v="28806"/>
    <x v="0"/>
    <x v="2"/>
    <x v="7"/>
    <n v="1363.96"/>
    <n v="5"/>
    <n v="0.2"/>
    <n v="85.247500000000002"/>
  </r>
  <r>
    <s v="Standard Class"/>
    <x v="0"/>
    <s v="United States"/>
    <s v="San Francisco"/>
    <x v="1"/>
    <n v="94110"/>
    <x v="1"/>
    <x v="1"/>
    <x v="2"/>
    <n v="9.9600000000000009"/>
    <n v="2"/>
    <n v="0"/>
    <n v="4.5815999999999999"/>
  </r>
  <r>
    <s v="Standard Class"/>
    <x v="0"/>
    <s v="United States"/>
    <s v="San Francisco"/>
    <x v="1"/>
    <n v="94110"/>
    <x v="1"/>
    <x v="1"/>
    <x v="10"/>
    <n v="21.72"/>
    <n v="4"/>
    <n v="0"/>
    <n v="10.642799999999999"/>
  </r>
  <r>
    <s v="Standard Class"/>
    <x v="0"/>
    <s v="United States"/>
    <s v="Rochester"/>
    <x v="11"/>
    <n v="55901"/>
    <x v="2"/>
    <x v="1"/>
    <x v="8"/>
    <n v="20.16"/>
    <n v="7"/>
    <n v="0"/>
    <n v="9.8783999999999992"/>
  </r>
  <r>
    <s v="First Class"/>
    <x v="1"/>
    <s v="United States"/>
    <s v="Rochester"/>
    <x v="15"/>
    <n v="14609"/>
    <x v="3"/>
    <x v="1"/>
    <x v="10"/>
    <n v="132.79"/>
    <n v="7"/>
    <n v="0"/>
    <n v="63.739199999999997"/>
  </r>
  <r>
    <s v="First Class"/>
    <x v="1"/>
    <s v="United States"/>
    <s v="Rochester"/>
    <x v="15"/>
    <n v="14609"/>
    <x v="3"/>
    <x v="1"/>
    <x v="10"/>
    <n v="12.96"/>
    <n v="2"/>
    <n v="0"/>
    <n v="6.2207999999999997"/>
  </r>
  <r>
    <s v="First Class"/>
    <x v="1"/>
    <s v="United States"/>
    <s v="Rochester"/>
    <x v="15"/>
    <n v="14609"/>
    <x v="3"/>
    <x v="1"/>
    <x v="2"/>
    <n v="21.56"/>
    <n v="7"/>
    <n v="0"/>
    <n v="10.348800000000001"/>
  </r>
  <r>
    <s v="Standard Class"/>
    <x v="0"/>
    <s v="United States"/>
    <s v="Lake Elsinore"/>
    <x v="1"/>
    <n v="92530"/>
    <x v="1"/>
    <x v="0"/>
    <x v="1"/>
    <n v="283.92"/>
    <n v="5"/>
    <n v="0.2"/>
    <n v="17.745000000000001"/>
  </r>
  <r>
    <s v="First Class"/>
    <x v="1"/>
    <s v="United States"/>
    <s v="San Diego"/>
    <x v="1"/>
    <n v="92105"/>
    <x v="1"/>
    <x v="0"/>
    <x v="5"/>
    <n v="22.23"/>
    <n v="1"/>
    <n v="0"/>
    <n v="7.3358999999999996"/>
  </r>
  <r>
    <s v="First Class"/>
    <x v="1"/>
    <s v="United States"/>
    <s v="San Diego"/>
    <x v="1"/>
    <n v="92105"/>
    <x v="1"/>
    <x v="2"/>
    <x v="7"/>
    <n v="215.96799999999999"/>
    <n v="2"/>
    <n v="0.2"/>
    <n v="18.897200000000002"/>
  </r>
  <r>
    <s v="Second Class"/>
    <x v="1"/>
    <s v="United States"/>
    <s v="New York City"/>
    <x v="15"/>
    <n v="10024"/>
    <x v="3"/>
    <x v="1"/>
    <x v="9"/>
    <n v="355.32"/>
    <n v="9"/>
    <n v="0"/>
    <n v="99.489599999999996"/>
  </r>
  <r>
    <s v="Standard Class"/>
    <x v="1"/>
    <s v="United States"/>
    <s v="Monroe"/>
    <x v="28"/>
    <n v="71203"/>
    <x v="0"/>
    <x v="1"/>
    <x v="10"/>
    <n v="12.96"/>
    <n v="2"/>
    <n v="0"/>
    <n v="6.2207999999999997"/>
  </r>
  <r>
    <s v="First Class"/>
    <x v="0"/>
    <s v="United States"/>
    <s v="San Francisco"/>
    <x v="1"/>
    <n v="94122"/>
    <x v="1"/>
    <x v="0"/>
    <x v="5"/>
    <n v="18.28"/>
    <n v="2"/>
    <n v="0"/>
    <n v="6.2152000000000003"/>
  </r>
  <r>
    <s v="Standard Class"/>
    <x v="0"/>
    <s v="United States"/>
    <s v="Denver"/>
    <x v="22"/>
    <n v="80219"/>
    <x v="1"/>
    <x v="1"/>
    <x v="6"/>
    <n v="43.176000000000002"/>
    <n v="3"/>
    <n v="0.2"/>
    <n v="4.3175999999999997"/>
  </r>
  <r>
    <s v="Standard Class"/>
    <x v="0"/>
    <s v="United States"/>
    <s v="Denver"/>
    <x v="22"/>
    <n v="80219"/>
    <x v="1"/>
    <x v="2"/>
    <x v="7"/>
    <n v="1983.9680000000001"/>
    <n v="4"/>
    <n v="0.2"/>
    <n v="247.99600000000001"/>
  </r>
  <r>
    <s v="First Class"/>
    <x v="0"/>
    <s v="United States"/>
    <s v="Omaha"/>
    <x v="8"/>
    <n v="68104"/>
    <x v="2"/>
    <x v="0"/>
    <x v="5"/>
    <n v="28.4"/>
    <n v="2"/>
    <n v="0"/>
    <n v="11.076000000000001"/>
  </r>
  <r>
    <s v="First Class"/>
    <x v="0"/>
    <s v="United States"/>
    <s v="Omaha"/>
    <x v="8"/>
    <n v="68104"/>
    <x v="2"/>
    <x v="2"/>
    <x v="11"/>
    <n v="149.97"/>
    <n v="3"/>
    <n v="0"/>
    <n v="50.989800000000002"/>
  </r>
  <r>
    <s v="First Class"/>
    <x v="0"/>
    <s v="United States"/>
    <s v="Edmonds"/>
    <x v="4"/>
    <n v="98026"/>
    <x v="1"/>
    <x v="1"/>
    <x v="6"/>
    <n v="11.52"/>
    <n v="4"/>
    <n v="0"/>
    <n v="3.2256"/>
  </r>
  <r>
    <s v="First Class"/>
    <x v="0"/>
    <s v="United States"/>
    <s v="Edmonds"/>
    <x v="4"/>
    <n v="98026"/>
    <x v="1"/>
    <x v="0"/>
    <x v="3"/>
    <n v="1298.55"/>
    <n v="5"/>
    <n v="0"/>
    <n v="311.65199999999999"/>
  </r>
  <r>
    <s v="First Class"/>
    <x v="0"/>
    <s v="United States"/>
    <s v="Edmonds"/>
    <x v="4"/>
    <n v="98026"/>
    <x v="1"/>
    <x v="1"/>
    <x v="9"/>
    <n v="213.92"/>
    <n v="4"/>
    <n v="0"/>
    <n v="62.036799999999999"/>
  </r>
  <r>
    <s v="First Class"/>
    <x v="0"/>
    <s v="United States"/>
    <s v="Edmonds"/>
    <x v="4"/>
    <n v="98026"/>
    <x v="1"/>
    <x v="2"/>
    <x v="11"/>
    <n v="25.78"/>
    <n v="2"/>
    <n v="0"/>
    <n v="2.5779999999999998"/>
  </r>
  <r>
    <s v="Same Day"/>
    <x v="0"/>
    <s v="United States"/>
    <s v="Santa Ana"/>
    <x v="1"/>
    <n v="92704"/>
    <x v="1"/>
    <x v="0"/>
    <x v="5"/>
    <n v="18.28"/>
    <n v="2"/>
    <n v="0"/>
    <n v="6.2152000000000003"/>
  </r>
  <r>
    <s v="Same Day"/>
    <x v="0"/>
    <s v="United States"/>
    <s v="Santa Ana"/>
    <x v="1"/>
    <n v="92704"/>
    <x v="1"/>
    <x v="2"/>
    <x v="11"/>
    <n v="1399.93"/>
    <n v="7"/>
    <n v="0"/>
    <n v="601.96990000000005"/>
  </r>
  <r>
    <s v="First Class"/>
    <x v="1"/>
    <s v="United States"/>
    <s v="Milwaukee"/>
    <x v="6"/>
    <n v="53209"/>
    <x v="2"/>
    <x v="1"/>
    <x v="10"/>
    <n v="51.84"/>
    <n v="8"/>
    <n v="0"/>
    <n v="24.883199999999999"/>
  </r>
  <r>
    <s v="Standard Class"/>
    <x v="0"/>
    <s v="United States"/>
    <s v="Philadelphia"/>
    <x v="9"/>
    <n v="19140"/>
    <x v="3"/>
    <x v="1"/>
    <x v="10"/>
    <n v="5.3440000000000003"/>
    <n v="1"/>
    <n v="0.2"/>
    <n v="1.8704000000000001"/>
  </r>
  <r>
    <s v="Standard Class"/>
    <x v="0"/>
    <s v="United States"/>
    <s v="Philadelphia"/>
    <x v="9"/>
    <n v="19140"/>
    <x v="3"/>
    <x v="1"/>
    <x v="10"/>
    <n v="41.472000000000001"/>
    <n v="8"/>
    <n v="0.2"/>
    <n v="14.5152"/>
  </r>
  <r>
    <s v="Standard Class"/>
    <x v="0"/>
    <s v="United States"/>
    <s v="Philadelphia"/>
    <x v="9"/>
    <n v="19140"/>
    <x v="3"/>
    <x v="1"/>
    <x v="8"/>
    <n v="3.1680000000000001"/>
    <n v="3"/>
    <n v="0.7"/>
    <n v="-2.4287999999999998"/>
  </r>
  <r>
    <s v="Standard Class"/>
    <x v="0"/>
    <s v="United States"/>
    <s v="Philadelphia"/>
    <x v="9"/>
    <n v="19140"/>
    <x v="3"/>
    <x v="0"/>
    <x v="1"/>
    <n v="1228.4649999999999"/>
    <n v="5"/>
    <n v="0.3"/>
    <n v="0"/>
  </r>
  <r>
    <s v="Standard Class"/>
    <x v="0"/>
    <s v="United States"/>
    <s v="Philadelphia"/>
    <x v="9"/>
    <n v="19140"/>
    <x v="3"/>
    <x v="1"/>
    <x v="8"/>
    <n v="31.085999999999999"/>
    <n v="3"/>
    <n v="0.7"/>
    <n v="-22.796399999999998"/>
  </r>
  <r>
    <s v="Standard Class"/>
    <x v="0"/>
    <s v="United States"/>
    <s v="Philadelphia"/>
    <x v="9"/>
    <n v="19140"/>
    <x v="3"/>
    <x v="1"/>
    <x v="10"/>
    <n v="335.52"/>
    <n v="4"/>
    <n v="0.2"/>
    <n v="117.432"/>
  </r>
  <r>
    <s v="Standard Class"/>
    <x v="0"/>
    <s v="United States"/>
    <s v="Belleville"/>
    <x v="30"/>
    <n v="7109"/>
    <x v="3"/>
    <x v="2"/>
    <x v="11"/>
    <n v="239.97"/>
    <n v="3"/>
    <n v="0"/>
    <n v="71.991"/>
  </r>
  <r>
    <s v="Standard Class"/>
    <x v="0"/>
    <s v="United States"/>
    <s v="Belleville"/>
    <x v="30"/>
    <n v="7109"/>
    <x v="3"/>
    <x v="1"/>
    <x v="2"/>
    <n v="9.82"/>
    <n v="2"/>
    <n v="0"/>
    <n v="4.8117999999999999"/>
  </r>
  <r>
    <s v="Standard Class"/>
    <x v="0"/>
    <s v="United States"/>
    <s v="San Francisco"/>
    <x v="1"/>
    <n v="94110"/>
    <x v="1"/>
    <x v="2"/>
    <x v="11"/>
    <n v="67.8"/>
    <n v="4"/>
    <n v="0"/>
    <n v="4.0679999999999996"/>
  </r>
  <r>
    <s v="Standard Class"/>
    <x v="0"/>
    <s v="United States"/>
    <s v="San Francisco"/>
    <x v="1"/>
    <n v="94110"/>
    <x v="1"/>
    <x v="2"/>
    <x v="11"/>
    <n v="167.97"/>
    <n v="3"/>
    <n v="0"/>
    <n v="40.312800000000003"/>
  </r>
  <r>
    <s v="Standard Class"/>
    <x v="0"/>
    <s v="United States"/>
    <s v="Lakeville"/>
    <x v="11"/>
    <n v="55044"/>
    <x v="2"/>
    <x v="1"/>
    <x v="13"/>
    <n v="35"/>
    <n v="7"/>
    <n v="0"/>
    <n v="16.8"/>
  </r>
  <r>
    <s v="Standard Class"/>
    <x v="0"/>
    <s v="United States"/>
    <s v="Lakeville"/>
    <x v="11"/>
    <n v="55044"/>
    <x v="2"/>
    <x v="1"/>
    <x v="14"/>
    <n v="37.24"/>
    <n v="4"/>
    <n v="0"/>
    <n v="10.7996"/>
  </r>
  <r>
    <s v="Standard Class"/>
    <x v="0"/>
    <s v="United States"/>
    <s v="Lakeville"/>
    <x v="11"/>
    <n v="55044"/>
    <x v="2"/>
    <x v="1"/>
    <x v="12"/>
    <n v="15.28"/>
    <n v="2"/>
    <n v="0"/>
    <n v="7.4871999999999996"/>
  </r>
  <r>
    <s v="Second Class"/>
    <x v="0"/>
    <s v="United States"/>
    <s v="Florence"/>
    <x v="0"/>
    <n v="41042"/>
    <x v="0"/>
    <x v="0"/>
    <x v="1"/>
    <n v="301.95999999999998"/>
    <n v="2"/>
    <n v="0"/>
    <n v="90.587999999999994"/>
  </r>
  <r>
    <s v="Second Class"/>
    <x v="0"/>
    <s v="United States"/>
    <s v="Florence"/>
    <x v="0"/>
    <n v="41042"/>
    <x v="0"/>
    <x v="1"/>
    <x v="9"/>
    <n v="180.66"/>
    <n v="3"/>
    <n v="0"/>
    <n v="50.584800000000001"/>
  </r>
  <r>
    <s v="Second Class"/>
    <x v="0"/>
    <s v="United States"/>
    <s v="Florence"/>
    <x v="0"/>
    <n v="41042"/>
    <x v="0"/>
    <x v="2"/>
    <x v="7"/>
    <n v="191.98"/>
    <n v="2"/>
    <n v="0"/>
    <n v="51.834600000000002"/>
  </r>
  <r>
    <s v="Second Class"/>
    <x v="0"/>
    <s v="United States"/>
    <s v="Florence"/>
    <x v="0"/>
    <n v="41042"/>
    <x v="0"/>
    <x v="2"/>
    <x v="7"/>
    <n v="65.989999999999995"/>
    <n v="1"/>
    <n v="0"/>
    <n v="17.157399999999999"/>
  </r>
  <r>
    <s v="Standard Class"/>
    <x v="1"/>
    <s v="United States"/>
    <s v="Tampa"/>
    <x v="2"/>
    <n v="33614"/>
    <x v="0"/>
    <x v="1"/>
    <x v="6"/>
    <n v="35.216000000000001"/>
    <n v="2"/>
    <n v="0.2"/>
    <n v="2.6412"/>
  </r>
  <r>
    <s v="Standard Class"/>
    <x v="1"/>
    <s v="United States"/>
    <s v="Tampa"/>
    <x v="2"/>
    <n v="33614"/>
    <x v="0"/>
    <x v="1"/>
    <x v="9"/>
    <n v="23.696000000000002"/>
    <n v="2"/>
    <n v="0.2"/>
    <n v="6.5164"/>
  </r>
  <r>
    <s v="Standard Class"/>
    <x v="1"/>
    <s v="United States"/>
    <s v="Tampa"/>
    <x v="2"/>
    <n v="33614"/>
    <x v="0"/>
    <x v="2"/>
    <x v="15"/>
    <n v="265.47500000000002"/>
    <n v="1"/>
    <n v="0.5"/>
    <n v="-111.4995"/>
  </r>
  <r>
    <s v="Second Class"/>
    <x v="0"/>
    <s v="United States"/>
    <s v="Tyler"/>
    <x v="5"/>
    <n v="75701"/>
    <x v="2"/>
    <x v="1"/>
    <x v="8"/>
    <n v="51.183999999999997"/>
    <n v="4"/>
    <n v="0.8"/>
    <n v="-79.3352"/>
  </r>
  <r>
    <s v="Standard Class"/>
    <x v="2"/>
    <s v="United States"/>
    <s v="Columbia"/>
    <x v="18"/>
    <n v="38401"/>
    <x v="0"/>
    <x v="1"/>
    <x v="10"/>
    <n v="9.6639999999999997"/>
    <n v="2"/>
    <n v="0.2"/>
    <n v="3.2616000000000001"/>
  </r>
  <r>
    <s v="Standard Class"/>
    <x v="1"/>
    <s v="United States"/>
    <s v="Fort Worth"/>
    <x v="5"/>
    <n v="76106"/>
    <x v="2"/>
    <x v="2"/>
    <x v="7"/>
    <n v="21.071999999999999"/>
    <n v="3"/>
    <n v="0.2"/>
    <n v="1.5804"/>
  </r>
  <r>
    <s v="Standard Class"/>
    <x v="1"/>
    <s v="United States"/>
    <s v="New York City"/>
    <x v="15"/>
    <n v="10035"/>
    <x v="3"/>
    <x v="1"/>
    <x v="6"/>
    <n v="60.45"/>
    <n v="3"/>
    <n v="0"/>
    <n v="16.3215"/>
  </r>
  <r>
    <s v="Standard Class"/>
    <x v="1"/>
    <s v="United States"/>
    <s v="New York City"/>
    <x v="15"/>
    <n v="10035"/>
    <x v="3"/>
    <x v="1"/>
    <x v="6"/>
    <n v="11.52"/>
    <n v="4"/>
    <n v="0"/>
    <n v="3.3408000000000002"/>
  </r>
  <r>
    <s v="Standard Class"/>
    <x v="1"/>
    <s v="United States"/>
    <s v="New York City"/>
    <x v="15"/>
    <n v="10035"/>
    <x v="3"/>
    <x v="0"/>
    <x v="0"/>
    <n v="186.048"/>
    <n v="4"/>
    <n v="0.2"/>
    <n v="9.3024000000000004"/>
  </r>
  <r>
    <s v="First Class"/>
    <x v="1"/>
    <s v="United States"/>
    <s v="Los Angeles"/>
    <x v="1"/>
    <n v="90036"/>
    <x v="1"/>
    <x v="1"/>
    <x v="8"/>
    <n v="37.44"/>
    <n v="4"/>
    <n v="0.2"/>
    <n v="11.7"/>
  </r>
  <r>
    <s v="First Class"/>
    <x v="1"/>
    <s v="United States"/>
    <s v="Los Angeles"/>
    <x v="1"/>
    <n v="90036"/>
    <x v="1"/>
    <x v="1"/>
    <x v="8"/>
    <n v="26.975999999999999"/>
    <n v="4"/>
    <n v="0.2"/>
    <n v="8.7672000000000008"/>
  </r>
  <r>
    <s v="First Class"/>
    <x v="1"/>
    <s v="United States"/>
    <s v="Los Angeles"/>
    <x v="1"/>
    <n v="90036"/>
    <x v="1"/>
    <x v="1"/>
    <x v="14"/>
    <n v="11.36"/>
    <n v="2"/>
    <n v="0"/>
    <n v="3.2944"/>
  </r>
  <r>
    <s v="First Class"/>
    <x v="1"/>
    <s v="United States"/>
    <s v="Los Angeles"/>
    <x v="1"/>
    <n v="90036"/>
    <x v="1"/>
    <x v="1"/>
    <x v="2"/>
    <n v="14.62"/>
    <n v="2"/>
    <n v="0"/>
    <n v="6.8714000000000004"/>
  </r>
  <r>
    <s v="Standard Class"/>
    <x v="0"/>
    <s v="United States"/>
    <s v="Louisville"/>
    <x v="0"/>
    <n v="40214"/>
    <x v="0"/>
    <x v="2"/>
    <x v="7"/>
    <n v="83.72"/>
    <n v="7"/>
    <n v="0"/>
    <n v="23.441600000000001"/>
  </r>
  <r>
    <s v="Standard Class"/>
    <x v="0"/>
    <s v="United States"/>
    <s v="Louisville"/>
    <x v="0"/>
    <n v="40214"/>
    <x v="0"/>
    <x v="0"/>
    <x v="1"/>
    <n v="287.94"/>
    <n v="3"/>
    <n v="0"/>
    <n v="77.743799999999993"/>
  </r>
  <r>
    <s v="Standard Class"/>
    <x v="0"/>
    <s v="United States"/>
    <s v="Lorain"/>
    <x v="24"/>
    <n v="44052"/>
    <x v="3"/>
    <x v="0"/>
    <x v="5"/>
    <n v="48.896000000000001"/>
    <n v="4"/>
    <n v="0.2"/>
    <n v="8.5568000000000008"/>
  </r>
  <r>
    <s v="Standard Class"/>
    <x v="1"/>
    <s v="United States"/>
    <s v="Linden"/>
    <x v="30"/>
    <n v="7036"/>
    <x v="3"/>
    <x v="2"/>
    <x v="11"/>
    <n v="115.36"/>
    <n v="7"/>
    <n v="0"/>
    <n v="49.604799999999997"/>
  </r>
  <r>
    <s v="Second Class"/>
    <x v="1"/>
    <s v="United States"/>
    <s v="Salinas"/>
    <x v="1"/>
    <n v="93905"/>
    <x v="1"/>
    <x v="1"/>
    <x v="6"/>
    <n v="5.16"/>
    <n v="2"/>
    <n v="0"/>
    <n v="1.3415999999999999"/>
  </r>
  <r>
    <s v="Second Class"/>
    <x v="1"/>
    <s v="United States"/>
    <s v="Salinas"/>
    <x v="1"/>
    <n v="93905"/>
    <x v="1"/>
    <x v="1"/>
    <x v="10"/>
    <n v="38.880000000000003"/>
    <n v="6"/>
    <n v="0"/>
    <n v="18.662400000000002"/>
  </r>
  <r>
    <s v="Standard Class"/>
    <x v="0"/>
    <s v="United States"/>
    <s v="Jackson"/>
    <x v="35"/>
    <n v="39212"/>
    <x v="0"/>
    <x v="1"/>
    <x v="6"/>
    <n v="185.88"/>
    <n v="6"/>
    <n v="0"/>
    <n v="50.187600000000003"/>
  </r>
  <r>
    <s v="Standard Class"/>
    <x v="0"/>
    <s v="United States"/>
    <s v="New York City"/>
    <x v="15"/>
    <n v="10035"/>
    <x v="3"/>
    <x v="0"/>
    <x v="5"/>
    <n v="44.46"/>
    <n v="2"/>
    <n v="0"/>
    <n v="14.671799999999999"/>
  </r>
  <r>
    <s v="Standard Class"/>
    <x v="0"/>
    <s v="United States"/>
    <s v="New York City"/>
    <x v="15"/>
    <n v="10035"/>
    <x v="3"/>
    <x v="1"/>
    <x v="4"/>
    <n v="242.94"/>
    <n v="3"/>
    <n v="0"/>
    <n v="9.7175999999999991"/>
  </r>
  <r>
    <s v="Standard Class"/>
    <x v="0"/>
    <s v="United States"/>
    <s v="New York City"/>
    <x v="15"/>
    <n v="10035"/>
    <x v="3"/>
    <x v="1"/>
    <x v="10"/>
    <n v="39.96"/>
    <n v="2"/>
    <n v="0"/>
    <n v="18.781199999999998"/>
  </r>
  <r>
    <s v="Standard Class"/>
    <x v="0"/>
    <s v="United States"/>
    <s v="New York City"/>
    <x v="15"/>
    <n v="10035"/>
    <x v="3"/>
    <x v="1"/>
    <x v="14"/>
    <n v="102.3"/>
    <n v="10"/>
    <n v="0"/>
    <n v="26.597999999999999"/>
  </r>
  <r>
    <s v="Standard Class"/>
    <x v="0"/>
    <s v="United States"/>
    <s v="New York City"/>
    <x v="15"/>
    <n v="10035"/>
    <x v="3"/>
    <x v="1"/>
    <x v="4"/>
    <n v="21.36"/>
    <n v="2"/>
    <n v="0"/>
    <n v="5.7671999999999999"/>
  </r>
  <r>
    <s v="Standard Class"/>
    <x v="2"/>
    <s v="United States"/>
    <s v="New Brunswick"/>
    <x v="30"/>
    <n v="8901"/>
    <x v="3"/>
    <x v="1"/>
    <x v="10"/>
    <n v="7.61"/>
    <n v="1"/>
    <n v="0"/>
    <n v="3.5767000000000002"/>
  </r>
  <r>
    <s v="Standard Class"/>
    <x v="2"/>
    <s v="United States"/>
    <s v="New Brunswick"/>
    <x v="30"/>
    <n v="8901"/>
    <x v="3"/>
    <x v="1"/>
    <x v="13"/>
    <n v="7.16"/>
    <n v="2"/>
    <n v="0"/>
    <n v="3.58"/>
  </r>
  <r>
    <s v="Standard Class"/>
    <x v="0"/>
    <s v="United States"/>
    <s v="San Francisco"/>
    <x v="1"/>
    <n v="94122"/>
    <x v="1"/>
    <x v="1"/>
    <x v="14"/>
    <n v="7.36"/>
    <n v="2"/>
    <n v="0"/>
    <n v="0.1472"/>
  </r>
  <r>
    <s v="Standard Class"/>
    <x v="0"/>
    <s v="United States"/>
    <s v="San Francisco"/>
    <x v="1"/>
    <n v="94122"/>
    <x v="1"/>
    <x v="1"/>
    <x v="6"/>
    <n v="23.1"/>
    <n v="2"/>
    <n v="0"/>
    <n v="10.625999999999999"/>
  </r>
  <r>
    <s v="Second Class"/>
    <x v="1"/>
    <s v="United States"/>
    <s v="Jacksonville"/>
    <x v="2"/>
    <n v="32216"/>
    <x v="0"/>
    <x v="2"/>
    <x v="11"/>
    <n v="191.47200000000001"/>
    <n v="6"/>
    <n v="0.2"/>
    <n v="40.687800000000003"/>
  </r>
  <r>
    <s v="Second Class"/>
    <x v="1"/>
    <s v="United States"/>
    <s v="Jacksonville"/>
    <x v="2"/>
    <n v="32216"/>
    <x v="0"/>
    <x v="1"/>
    <x v="6"/>
    <n v="5.2480000000000002"/>
    <n v="2"/>
    <n v="0.2"/>
    <n v="0.59040000000000004"/>
  </r>
  <r>
    <s v="Second Class"/>
    <x v="1"/>
    <s v="United States"/>
    <s v="Jacksonville"/>
    <x v="2"/>
    <n v="32216"/>
    <x v="0"/>
    <x v="2"/>
    <x v="7"/>
    <n v="59.183999999999997"/>
    <n v="2"/>
    <n v="0.2"/>
    <n v="5.1786000000000003"/>
  </r>
  <r>
    <s v="Standard Class"/>
    <x v="1"/>
    <s v="United States"/>
    <s v="Springfield"/>
    <x v="17"/>
    <n v="22153"/>
    <x v="0"/>
    <x v="1"/>
    <x v="2"/>
    <n v="2.89"/>
    <n v="1"/>
    <n v="0"/>
    <n v="1.3583000000000001"/>
  </r>
  <r>
    <s v="Standard Class"/>
    <x v="1"/>
    <s v="United States"/>
    <s v="Springfield"/>
    <x v="17"/>
    <n v="22153"/>
    <x v="0"/>
    <x v="0"/>
    <x v="5"/>
    <n v="51.94"/>
    <n v="1"/>
    <n v="0"/>
    <n v="21.295400000000001"/>
  </r>
  <r>
    <s v="First Class"/>
    <x v="1"/>
    <s v="United States"/>
    <s v="Philadelphia"/>
    <x v="9"/>
    <n v="19140"/>
    <x v="3"/>
    <x v="1"/>
    <x v="2"/>
    <n v="15.936"/>
    <n v="4"/>
    <n v="0.2"/>
    <n v="5.1791999999999998"/>
  </r>
  <r>
    <s v="Standard Class"/>
    <x v="1"/>
    <s v="United States"/>
    <s v="Lancaster"/>
    <x v="9"/>
    <n v="17602"/>
    <x v="3"/>
    <x v="1"/>
    <x v="8"/>
    <n v="44.91"/>
    <n v="6"/>
    <n v="0.7"/>
    <n v="-35.927999999999997"/>
  </r>
  <r>
    <s v="First Class"/>
    <x v="2"/>
    <s v="United States"/>
    <s v="Philadelphia"/>
    <x v="9"/>
    <n v="19143"/>
    <x v="3"/>
    <x v="1"/>
    <x v="8"/>
    <n v="1141.47"/>
    <n v="5"/>
    <n v="0.7"/>
    <n v="-760.98"/>
  </r>
  <r>
    <s v="First Class"/>
    <x v="2"/>
    <s v="United States"/>
    <s v="Philadelphia"/>
    <x v="9"/>
    <n v="19143"/>
    <x v="3"/>
    <x v="2"/>
    <x v="7"/>
    <n v="280.78199999999998"/>
    <n v="3"/>
    <n v="0.4"/>
    <n v="-46.796999999999997"/>
  </r>
  <r>
    <s v="First Class"/>
    <x v="0"/>
    <s v="United States"/>
    <s v="Concord"/>
    <x v="38"/>
    <n v="3301"/>
    <x v="3"/>
    <x v="1"/>
    <x v="10"/>
    <n v="34.44"/>
    <n v="3"/>
    <n v="0"/>
    <n v="17.22"/>
  </r>
  <r>
    <s v="Standard Class"/>
    <x v="0"/>
    <s v="United States"/>
    <s v="New York City"/>
    <x v="15"/>
    <n v="10009"/>
    <x v="3"/>
    <x v="1"/>
    <x v="10"/>
    <n v="11.36"/>
    <n v="2"/>
    <n v="0"/>
    <n v="5.2256"/>
  </r>
  <r>
    <s v="Standard Class"/>
    <x v="0"/>
    <s v="United States"/>
    <s v="New York City"/>
    <x v="15"/>
    <n v="10009"/>
    <x v="3"/>
    <x v="1"/>
    <x v="8"/>
    <n v="106.34399999999999"/>
    <n v="7"/>
    <n v="0.2"/>
    <n v="37.220399999999998"/>
  </r>
  <r>
    <s v="Standard Class"/>
    <x v="0"/>
    <s v="United States"/>
    <s v="Charlotte"/>
    <x v="3"/>
    <n v="28205"/>
    <x v="0"/>
    <x v="1"/>
    <x v="10"/>
    <n v="192.16"/>
    <n v="5"/>
    <n v="0.2"/>
    <n v="67.256"/>
  </r>
  <r>
    <s v="Standard Class"/>
    <x v="2"/>
    <s v="United States"/>
    <s v="Concord"/>
    <x v="38"/>
    <n v="3301"/>
    <x v="3"/>
    <x v="0"/>
    <x v="5"/>
    <n v="322.58999999999997"/>
    <n v="3"/>
    <n v="0"/>
    <n v="64.518000000000001"/>
  </r>
  <r>
    <s v="Standard Class"/>
    <x v="2"/>
    <s v="United States"/>
    <s v="Concord"/>
    <x v="38"/>
    <n v="3301"/>
    <x v="3"/>
    <x v="2"/>
    <x v="11"/>
    <n v="29.99"/>
    <n v="1"/>
    <n v="0"/>
    <n v="13.195600000000001"/>
  </r>
  <r>
    <s v="Standard Class"/>
    <x v="2"/>
    <s v="United States"/>
    <s v="Concord"/>
    <x v="38"/>
    <n v="3301"/>
    <x v="3"/>
    <x v="2"/>
    <x v="11"/>
    <n v="371.97"/>
    <n v="3"/>
    <n v="0"/>
    <n v="66.954599999999999"/>
  </r>
  <r>
    <s v="Standard Class"/>
    <x v="2"/>
    <s v="United States"/>
    <s v="Philadelphia"/>
    <x v="9"/>
    <n v="19120"/>
    <x v="3"/>
    <x v="1"/>
    <x v="8"/>
    <n v="5.8920000000000003"/>
    <n v="4"/>
    <n v="0.7"/>
    <n v="-4.1243999999999996"/>
  </r>
  <r>
    <s v="Second Class"/>
    <x v="2"/>
    <s v="United States"/>
    <s v="New York City"/>
    <x v="15"/>
    <n v="10024"/>
    <x v="3"/>
    <x v="1"/>
    <x v="8"/>
    <n v="68.471999999999994"/>
    <n v="3"/>
    <n v="0.2"/>
    <n v="23.109300000000001"/>
  </r>
  <r>
    <s v="Second Class"/>
    <x v="2"/>
    <s v="United States"/>
    <s v="New York City"/>
    <x v="15"/>
    <n v="10024"/>
    <x v="3"/>
    <x v="0"/>
    <x v="1"/>
    <n v="1242.9000000000001"/>
    <n v="5"/>
    <n v="0.1"/>
    <n v="262.39"/>
  </r>
  <r>
    <s v="Standard Class"/>
    <x v="0"/>
    <s v="United States"/>
    <s v="Springfield"/>
    <x v="17"/>
    <n v="22153"/>
    <x v="0"/>
    <x v="1"/>
    <x v="4"/>
    <n v="30.84"/>
    <n v="2"/>
    <n v="0"/>
    <n v="8.3268000000000004"/>
  </r>
  <r>
    <s v="Same Day"/>
    <x v="0"/>
    <s v="United States"/>
    <s v="San Francisco"/>
    <x v="1"/>
    <n v="94109"/>
    <x v="1"/>
    <x v="1"/>
    <x v="6"/>
    <n v="13.48"/>
    <n v="4"/>
    <n v="0"/>
    <n v="5.9311999999999996"/>
  </r>
  <r>
    <s v="First Class"/>
    <x v="2"/>
    <s v="United States"/>
    <s v="Detroit"/>
    <x v="12"/>
    <n v="48227"/>
    <x v="2"/>
    <x v="0"/>
    <x v="5"/>
    <n v="31.4"/>
    <n v="5"/>
    <n v="0"/>
    <n v="10.048"/>
  </r>
  <r>
    <s v="Standard Class"/>
    <x v="0"/>
    <s v="United States"/>
    <s v="Rochester"/>
    <x v="15"/>
    <n v="14609"/>
    <x v="3"/>
    <x v="0"/>
    <x v="5"/>
    <n v="17.46"/>
    <n v="2"/>
    <n v="0"/>
    <n v="5.9363999999999999"/>
  </r>
  <r>
    <s v="Second Class"/>
    <x v="1"/>
    <s v="United States"/>
    <s v="Los Angeles"/>
    <x v="1"/>
    <n v="90045"/>
    <x v="1"/>
    <x v="1"/>
    <x v="8"/>
    <n v="13.944000000000001"/>
    <n v="3"/>
    <n v="0.2"/>
    <n v="4.5317999999999996"/>
  </r>
  <r>
    <s v="Standard Class"/>
    <x v="0"/>
    <s v="United States"/>
    <s v="San Diego"/>
    <x v="1"/>
    <n v="92105"/>
    <x v="1"/>
    <x v="1"/>
    <x v="4"/>
    <n v="83.76"/>
    <n v="12"/>
    <n v="0"/>
    <n v="1.6752"/>
  </r>
  <r>
    <s v="Standard Class"/>
    <x v="2"/>
    <s v="United States"/>
    <s v="Columbia"/>
    <x v="39"/>
    <n v="21044"/>
    <x v="3"/>
    <x v="1"/>
    <x v="8"/>
    <n v="37.659999999999997"/>
    <n v="7"/>
    <n v="0"/>
    <n v="18.453399999999998"/>
  </r>
  <r>
    <s v="Standard Class"/>
    <x v="1"/>
    <s v="United States"/>
    <s v="San Francisco"/>
    <x v="1"/>
    <n v="94122"/>
    <x v="1"/>
    <x v="1"/>
    <x v="10"/>
    <n v="34.68"/>
    <n v="6"/>
    <n v="0"/>
    <n v="16.993200000000002"/>
  </r>
  <r>
    <s v="Standard Class"/>
    <x v="0"/>
    <s v="United States"/>
    <s v="New Rochelle"/>
    <x v="15"/>
    <n v="10801"/>
    <x v="3"/>
    <x v="2"/>
    <x v="11"/>
    <n v="149.94999999999999"/>
    <n v="5"/>
    <n v="0"/>
    <n v="14.994999999999999"/>
  </r>
  <r>
    <s v="Standard Class"/>
    <x v="0"/>
    <s v="United States"/>
    <s v="New Rochelle"/>
    <x v="15"/>
    <n v="10801"/>
    <x v="3"/>
    <x v="1"/>
    <x v="8"/>
    <n v="51.311999999999998"/>
    <n v="3"/>
    <n v="0.2"/>
    <n v="18.6006"/>
  </r>
  <r>
    <s v="First Class"/>
    <x v="2"/>
    <s v="United States"/>
    <s v="Detroit"/>
    <x v="12"/>
    <n v="48227"/>
    <x v="2"/>
    <x v="1"/>
    <x v="10"/>
    <n v="4.54"/>
    <n v="1"/>
    <n v="0"/>
    <n v="2.0430000000000001"/>
  </r>
  <r>
    <s v="First Class"/>
    <x v="2"/>
    <s v="United States"/>
    <s v="Detroit"/>
    <x v="12"/>
    <n v="48227"/>
    <x v="2"/>
    <x v="1"/>
    <x v="6"/>
    <n v="15.92"/>
    <n v="4"/>
    <n v="0"/>
    <n v="5.4127999999999998"/>
  </r>
  <r>
    <s v="First Class"/>
    <x v="2"/>
    <s v="United States"/>
    <s v="Detroit"/>
    <x v="12"/>
    <n v="48227"/>
    <x v="2"/>
    <x v="2"/>
    <x v="7"/>
    <n v="543.91999999999996"/>
    <n v="8"/>
    <n v="0"/>
    <n v="135.97999999999999"/>
  </r>
  <r>
    <s v="First Class"/>
    <x v="1"/>
    <s v="United States"/>
    <s v="San Francisco"/>
    <x v="1"/>
    <n v="94122"/>
    <x v="1"/>
    <x v="1"/>
    <x v="4"/>
    <n v="155.82"/>
    <n v="7"/>
    <n v="0"/>
    <n v="42.071399999999997"/>
  </r>
  <r>
    <s v="First Class"/>
    <x v="1"/>
    <s v="United States"/>
    <s v="San Francisco"/>
    <x v="1"/>
    <n v="94122"/>
    <x v="1"/>
    <x v="1"/>
    <x v="8"/>
    <n v="70.007999999999996"/>
    <n v="3"/>
    <n v="0.2"/>
    <n v="24.502800000000001"/>
  </r>
  <r>
    <s v="Second Class"/>
    <x v="0"/>
    <s v="United States"/>
    <s v="Houston"/>
    <x v="5"/>
    <n v="77095"/>
    <x v="2"/>
    <x v="1"/>
    <x v="12"/>
    <n v="15.648"/>
    <n v="2"/>
    <n v="0.2"/>
    <n v="5.0856000000000003"/>
  </r>
  <r>
    <s v="Standard Class"/>
    <x v="0"/>
    <s v="United States"/>
    <s v="Detroit"/>
    <x v="12"/>
    <n v="48227"/>
    <x v="2"/>
    <x v="1"/>
    <x v="2"/>
    <n v="103.6"/>
    <n v="7"/>
    <n v="0"/>
    <n v="51.8"/>
  </r>
  <r>
    <s v="Second Class"/>
    <x v="1"/>
    <s v="United States"/>
    <s v="Auburn"/>
    <x v="15"/>
    <n v="13021"/>
    <x v="3"/>
    <x v="1"/>
    <x v="10"/>
    <n v="46.96"/>
    <n v="8"/>
    <n v="0"/>
    <n v="22.540800000000001"/>
  </r>
  <r>
    <s v="First Class"/>
    <x v="1"/>
    <s v="United States"/>
    <s v="Springfield"/>
    <x v="24"/>
    <n v="45503"/>
    <x v="3"/>
    <x v="1"/>
    <x v="8"/>
    <n v="8.9039999999999999"/>
    <n v="2"/>
    <n v="0.7"/>
    <n v="-6.5296000000000003"/>
  </r>
  <r>
    <s v="First Class"/>
    <x v="0"/>
    <s v="United States"/>
    <s v="Garland"/>
    <x v="5"/>
    <n v="75043"/>
    <x v="2"/>
    <x v="1"/>
    <x v="2"/>
    <n v="10.44"/>
    <n v="5"/>
    <n v="0.2"/>
    <n v="3.3929999999999998"/>
  </r>
  <r>
    <s v="First Class"/>
    <x v="0"/>
    <s v="United States"/>
    <s v="Garland"/>
    <x v="5"/>
    <n v="75043"/>
    <x v="2"/>
    <x v="1"/>
    <x v="8"/>
    <n v="18.335999999999999"/>
    <n v="4"/>
    <n v="0.8"/>
    <n v="-32.088000000000001"/>
  </r>
  <r>
    <s v="First Class"/>
    <x v="0"/>
    <s v="United States"/>
    <s v="Chicago"/>
    <x v="10"/>
    <n v="60653"/>
    <x v="2"/>
    <x v="2"/>
    <x v="7"/>
    <n v="323.976"/>
    <n v="3"/>
    <n v="0.2"/>
    <n v="20.2485"/>
  </r>
  <r>
    <s v="Standard Class"/>
    <x v="0"/>
    <s v="United States"/>
    <s v="Los Angeles"/>
    <x v="1"/>
    <n v="90032"/>
    <x v="1"/>
    <x v="1"/>
    <x v="10"/>
    <n v="20.04"/>
    <n v="3"/>
    <n v="0"/>
    <n v="9.6191999999999993"/>
  </r>
  <r>
    <s v="Standard Class"/>
    <x v="0"/>
    <s v="United States"/>
    <s v="Los Angeles"/>
    <x v="1"/>
    <n v="90032"/>
    <x v="1"/>
    <x v="1"/>
    <x v="4"/>
    <n v="64.959999999999994"/>
    <n v="2"/>
    <n v="0"/>
    <n v="2.5983999999999998"/>
  </r>
  <r>
    <s v="Standard Class"/>
    <x v="0"/>
    <s v="United States"/>
    <s v="Los Angeles"/>
    <x v="1"/>
    <n v="90032"/>
    <x v="1"/>
    <x v="1"/>
    <x v="10"/>
    <n v="12.96"/>
    <n v="2"/>
    <n v="0"/>
    <n v="6.2207999999999997"/>
  </r>
  <r>
    <s v="Standard Class"/>
    <x v="0"/>
    <s v="United States"/>
    <s v="New York City"/>
    <x v="15"/>
    <n v="10009"/>
    <x v="3"/>
    <x v="0"/>
    <x v="0"/>
    <n v="323.13600000000002"/>
    <n v="4"/>
    <n v="0.2"/>
    <n v="12.117599999999999"/>
  </r>
  <r>
    <s v="Standard Class"/>
    <x v="0"/>
    <s v="United States"/>
    <s v="New York City"/>
    <x v="15"/>
    <n v="10009"/>
    <x v="3"/>
    <x v="2"/>
    <x v="7"/>
    <n v="90.93"/>
    <n v="7"/>
    <n v="0"/>
    <n v="2.7279"/>
  </r>
  <r>
    <s v="Standard Class"/>
    <x v="0"/>
    <s v="United States"/>
    <s v="New York City"/>
    <x v="15"/>
    <n v="10009"/>
    <x v="3"/>
    <x v="1"/>
    <x v="8"/>
    <n v="52.776000000000003"/>
    <n v="3"/>
    <n v="0.2"/>
    <n v="19.791"/>
  </r>
  <r>
    <s v="Standard Class"/>
    <x v="2"/>
    <s v="United States"/>
    <s v="Jackson"/>
    <x v="12"/>
    <n v="49201"/>
    <x v="2"/>
    <x v="2"/>
    <x v="7"/>
    <n v="1199.8"/>
    <n v="4"/>
    <n v="0"/>
    <n v="323.94600000000003"/>
  </r>
  <r>
    <s v="Standard Class"/>
    <x v="2"/>
    <s v="United States"/>
    <s v="Jackson"/>
    <x v="12"/>
    <n v="49201"/>
    <x v="2"/>
    <x v="2"/>
    <x v="11"/>
    <n v="1928.78"/>
    <n v="7"/>
    <n v="0"/>
    <n v="829.37540000000001"/>
  </r>
  <r>
    <s v="Standard Class"/>
    <x v="2"/>
    <s v="United States"/>
    <s v="Jackson"/>
    <x v="12"/>
    <n v="49201"/>
    <x v="2"/>
    <x v="1"/>
    <x v="4"/>
    <n v="352.38"/>
    <n v="2"/>
    <n v="0"/>
    <n v="81.047399999999996"/>
  </r>
  <r>
    <s v="Standard Class"/>
    <x v="2"/>
    <s v="United States"/>
    <s v="Norwich"/>
    <x v="29"/>
    <n v="6360"/>
    <x v="3"/>
    <x v="0"/>
    <x v="5"/>
    <n v="22.2"/>
    <n v="6"/>
    <n v="0"/>
    <n v="9.1020000000000003"/>
  </r>
  <r>
    <s v="First Class"/>
    <x v="1"/>
    <s v="United States"/>
    <s v="Milwaukee"/>
    <x v="6"/>
    <n v="53209"/>
    <x v="2"/>
    <x v="0"/>
    <x v="5"/>
    <n v="46.94"/>
    <n v="1"/>
    <n v="0"/>
    <n v="19.2454"/>
  </r>
  <r>
    <s v="First Class"/>
    <x v="1"/>
    <s v="United States"/>
    <s v="Milwaukee"/>
    <x v="6"/>
    <n v="53209"/>
    <x v="2"/>
    <x v="2"/>
    <x v="11"/>
    <n v="143.72999999999999"/>
    <n v="9"/>
    <n v="0"/>
    <n v="56.054699999999997"/>
  </r>
  <r>
    <s v="Standard Class"/>
    <x v="1"/>
    <s v="United States"/>
    <s v="San Antonio"/>
    <x v="5"/>
    <n v="78207"/>
    <x v="2"/>
    <x v="0"/>
    <x v="3"/>
    <n v="99.918000000000006"/>
    <n v="2"/>
    <n v="0.3"/>
    <n v="-18.5562"/>
  </r>
  <r>
    <s v="Standard Class"/>
    <x v="1"/>
    <s v="United States"/>
    <s v="San Antonio"/>
    <x v="5"/>
    <n v="78207"/>
    <x v="2"/>
    <x v="0"/>
    <x v="1"/>
    <n v="797.94399999999996"/>
    <n v="4"/>
    <n v="0.3"/>
    <n v="-56.996000000000002"/>
  </r>
  <r>
    <s v="Standard Class"/>
    <x v="1"/>
    <s v="United States"/>
    <s v="San Antonio"/>
    <x v="5"/>
    <n v="78207"/>
    <x v="2"/>
    <x v="1"/>
    <x v="8"/>
    <n v="8.5679999999999996"/>
    <n v="3"/>
    <n v="0.8"/>
    <n v="-14.5656"/>
  </r>
  <r>
    <s v="Standard Class"/>
    <x v="1"/>
    <s v="United States"/>
    <s v="Dallas"/>
    <x v="5"/>
    <n v="75220"/>
    <x v="2"/>
    <x v="1"/>
    <x v="12"/>
    <n v="149.352"/>
    <n v="3"/>
    <n v="0.2"/>
    <n v="50.406300000000002"/>
  </r>
  <r>
    <s v="Standard Class"/>
    <x v="1"/>
    <s v="United States"/>
    <s v="Dallas"/>
    <x v="5"/>
    <n v="75220"/>
    <x v="2"/>
    <x v="1"/>
    <x v="4"/>
    <n v="12.992000000000001"/>
    <n v="1"/>
    <n v="0.2"/>
    <n v="-0.81200000000000006"/>
  </r>
  <r>
    <s v="Standard Class"/>
    <x v="0"/>
    <s v="United States"/>
    <s v="Alexandria"/>
    <x v="17"/>
    <n v="22304"/>
    <x v="0"/>
    <x v="1"/>
    <x v="4"/>
    <n v="24.56"/>
    <n v="2"/>
    <n v="0"/>
    <n v="6.8768000000000002"/>
  </r>
  <r>
    <s v="Standard Class"/>
    <x v="0"/>
    <s v="United States"/>
    <s v="New York City"/>
    <x v="15"/>
    <n v="10009"/>
    <x v="3"/>
    <x v="2"/>
    <x v="11"/>
    <n v="85.14"/>
    <n v="3"/>
    <n v="0"/>
    <n v="34.907400000000003"/>
  </r>
  <r>
    <s v="Standard Class"/>
    <x v="0"/>
    <s v="United States"/>
    <s v="New York City"/>
    <x v="15"/>
    <n v="10009"/>
    <x v="3"/>
    <x v="2"/>
    <x v="7"/>
    <n v="21.99"/>
    <n v="1"/>
    <n v="0"/>
    <n v="10.555199999999999"/>
  </r>
  <r>
    <s v="Standard Class"/>
    <x v="0"/>
    <s v="United States"/>
    <s v="New York City"/>
    <x v="15"/>
    <n v="10009"/>
    <x v="3"/>
    <x v="1"/>
    <x v="9"/>
    <n v="406.6"/>
    <n v="5"/>
    <n v="0"/>
    <n v="113.848"/>
  </r>
  <r>
    <s v="Standard Class"/>
    <x v="1"/>
    <s v="United States"/>
    <s v="New York City"/>
    <x v="15"/>
    <n v="10011"/>
    <x v="3"/>
    <x v="1"/>
    <x v="8"/>
    <n v="841.56799999999998"/>
    <n v="2"/>
    <n v="0.2"/>
    <n v="294.54880000000003"/>
  </r>
  <r>
    <s v="First Class"/>
    <x v="0"/>
    <s v="United States"/>
    <s v="Philadelphia"/>
    <x v="9"/>
    <n v="19143"/>
    <x v="3"/>
    <x v="1"/>
    <x v="10"/>
    <n v="15.552"/>
    <n v="3"/>
    <n v="0.2"/>
    <n v="5.4432"/>
  </r>
  <r>
    <s v="First Class"/>
    <x v="0"/>
    <s v="United States"/>
    <s v="Philadelphia"/>
    <x v="9"/>
    <n v="19143"/>
    <x v="3"/>
    <x v="2"/>
    <x v="11"/>
    <n v="252"/>
    <n v="5"/>
    <n v="0.2"/>
    <n v="53.55"/>
  </r>
  <r>
    <s v="Standard Class"/>
    <x v="2"/>
    <s v="United States"/>
    <s v="Springfield"/>
    <x v="17"/>
    <n v="22153"/>
    <x v="0"/>
    <x v="1"/>
    <x v="6"/>
    <n v="46.2"/>
    <n v="4"/>
    <n v="0"/>
    <n v="12.936"/>
  </r>
  <r>
    <s v="Standard Class"/>
    <x v="2"/>
    <s v="United States"/>
    <s v="Springfield"/>
    <x v="17"/>
    <n v="22153"/>
    <x v="0"/>
    <x v="1"/>
    <x v="9"/>
    <n v="28.84"/>
    <n v="2"/>
    <n v="0"/>
    <n v="9.5172000000000008"/>
  </r>
  <r>
    <s v="First Class"/>
    <x v="0"/>
    <s v="United States"/>
    <s v="Toledo"/>
    <x v="24"/>
    <n v="43615"/>
    <x v="3"/>
    <x v="1"/>
    <x v="6"/>
    <n v="14.592000000000001"/>
    <n v="3"/>
    <n v="0.2"/>
    <n v="2.5535999999999999"/>
  </r>
  <r>
    <s v="First Class"/>
    <x v="0"/>
    <s v="United States"/>
    <s v="Toledo"/>
    <x v="24"/>
    <n v="43615"/>
    <x v="3"/>
    <x v="1"/>
    <x v="6"/>
    <n v="89.855999999999995"/>
    <n v="3"/>
    <n v="0.2"/>
    <n v="21.340800000000002"/>
  </r>
  <r>
    <s v="First Class"/>
    <x v="0"/>
    <s v="United States"/>
    <s v="Toledo"/>
    <x v="24"/>
    <n v="43615"/>
    <x v="3"/>
    <x v="1"/>
    <x v="10"/>
    <n v="13.872"/>
    <n v="3"/>
    <n v="0.2"/>
    <n v="5.0286"/>
  </r>
  <r>
    <s v="Standard Class"/>
    <x v="0"/>
    <s v="United States"/>
    <s v="Philadelphia"/>
    <x v="9"/>
    <n v="19140"/>
    <x v="3"/>
    <x v="1"/>
    <x v="10"/>
    <n v="12.192"/>
    <n v="3"/>
    <n v="0.2"/>
    <n v="4.1147999999999998"/>
  </r>
  <r>
    <s v="Standard Class"/>
    <x v="2"/>
    <s v="United States"/>
    <s v="Philadelphia"/>
    <x v="9"/>
    <n v="19120"/>
    <x v="3"/>
    <x v="1"/>
    <x v="10"/>
    <n v="45.055999999999997"/>
    <n v="8"/>
    <n v="0.2"/>
    <n v="15.2064"/>
  </r>
  <r>
    <s v="Standard Class"/>
    <x v="2"/>
    <s v="United States"/>
    <s v="Philadelphia"/>
    <x v="9"/>
    <n v="19120"/>
    <x v="3"/>
    <x v="1"/>
    <x v="8"/>
    <n v="29.718"/>
    <n v="6"/>
    <n v="0.7"/>
    <n v="-21.793199999999999"/>
  </r>
  <r>
    <s v="Standard Class"/>
    <x v="2"/>
    <s v="United States"/>
    <s v="Philadelphia"/>
    <x v="9"/>
    <n v="19120"/>
    <x v="3"/>
    <x v="1"/>
    <x v="10"/>
    <n v="15.552"/>
    <n v="3"/>
    <n v="0.2"/>
    <n v="5.4432"/>
  </r>
  <r>
    <s v="Standard Class"/>
    <x v="2"/>
    <s v="United States"/>
    <s v="Philadelphia"/>
    <x v="9"/>
    <n v="19120"/>
    <x v="3"/>
    <x v="1"/>
    <x v="9"/>
    <n v="447.69600000000003"/>
    <n v="2"/>
    <n v="0.2"/>
    <n v="33.577199999999998"/>
  </r>
  <r>
    <s v="First Class"/>
    <x v="1"/>
    <s v="United States"/>
    <s v="Farmington"/>
    <x v="27"/>
    <n v="87401"/>
    <x v="1"/>
    <x v="2"/>
    <x v="11"/>
    <n v="159.99"/>
    <n v="1"/>
    <n v="0"/>
    <n v="54.396599999999999"/>
  </r>
  <r>
    <s v="Standard Class"/>
    <x v="1"/>
    <s v="United States"/>
    <s v="Riverside"/>
    <x v="1"/>
    <n v="92503"/>
    <x v="1"/>
    <x v="1"/>
    <x v="10"/>
    <n v="12.96"/>
    <n v="2"/>
    <n v="0"/>
    <n v="6.2207999999999997"/>
  </r>
  <r>
    <s v="Standard Class"/>
    <x v="1"/>
    <s v="United States"/>
    <s v="Riverside"/>
    <x v="1"/>
    <n v="92503"/>
    <x v="1"/>
    <x v="1"/>
    <x v="9"/>
    <n v="134.47999999999999"/>
    <n v="4"/>
    <n v="0"/>
    <n v="34.964799999999997"/>
  </r>
  <r>
    <s v="First Class"/>
    <x v="1"/>
    <s v="United States"/>
    <s v="San Francisco"/>
    <x v="1"/>
    <n v="94110"/>
    <x v="1"/>
    <x v="1"/>
    <x v="10"/>
    <n v="17.12"/>
    <n v="2"/>
    <n v="0"/>
    <n v="8.0464000000000002"/>
  </r>
  <r>
    <s v="Standard Class"/>
    <x v="1"/>
    <s v="United States"/>
    <s v="Torrance"/>
    <x v="1"/>
    <n v="90503"/>
    <x v="1"/>
    <x v="1"/>
    <x v="8"/>
    <n v="6.0960000000000001"/>
    <n v="2"/>
    <n v="0.2"/>
    <n v="2.2098"/>
  </r>
  <r>
    <s v="Standard Class"/>
    <x v="1"/>
    <s v="United States"/>
    <s v="Torrance"/>
    <x v="1"/>
    <n v="90503"/>
    <x v="1"/>
    <x v="0"/>
    <x v="3"/>
    <n v="1114.2719999999999"/>
    <n v="4"/>
    <n v="0.2"/>
    <n v="41.785200000000003"/>
  </r>
  <r>
    <s v="Standard Class"/>
    <x v="0"/>
    <s v="United States"/>
    <s v="Seattle"/>
    <x v="4"/>
    <n v="98105"/>
    <x v="1"/>
    <x v="1"/>
    <x v="10"/>
    <n v="32.4"/>
    <n v="5"/>
    <n v="0"/>
    <n v="15.552"/>
  </r>
  <r>
    <s v="Standard Class"/>
    <x v="0"/>
    <s v="United States"/>
    <s v="Seattle"/>
    <x v="4"/>
    <n v="98105"/>
    <x v="1"/>
    <x v="1"/>
    <x v="4"/>
    <n v="540.57000000000005"/>
    <n v="3"/>
    <n v="0"/>
    <n v="140.54820000000001"/>
  </r>
  <r>
    <s v="Standard Class"/>
    <x v="0"/>
    <s v="United States"/>
    <s v="Seattle"/>
    <x v="4"/>
    <n v="98105"/>
    <x v="1"/>
    <x v="1"/>
    <x v="8"/>
    <n v="167.76"/>
    <n v="5"/>
    <n v="0.2"/>
    <n v="62.91"/>
  </r>
  <r>
    <s v="First Class"/>
    <x v="0"/>
    <s v="United States"/>
    <s v="Mesa"/>
    <x v="16"/>
    <n v="85204"/>
    <x v="1"/>
    <x v="0"/>
    <x v="3"/>
    <n v="393.16500000000002"/>
    <n v="3"/>
    <n v="0.5"/>
    <n v="-204.44579999999999"/>
  </r>
  <r>
    <s v="Standard Class"/>
    <x v="2"/>
    <s v="United States"/>
    <s v="Philadelphia"/>
    <x v="9"/>
    <n v="19120"/>
    <x v="3"/>
    <x v="0"/>
    <x v="5"/>
    <n v="516.48800000000006"/>
    <n v="7"/>
    <n v="0.2"/>
    <n v="-12.9122"/>
  </r>
  <r>
    <s v="Standard Class"/>
    <x v="2"/>
    <s v="United States"/>
    <s v="Philadelphia"/>
    <x v="9"/>
    <n v="19120"/>
    <x v="3"/>
    <x v="0"/>
    <x v="5"/>
    <n v="1007.232"/>
    <n v="6"/>
    <n v="0.2"/>
    <n v="75.542400000000001"/>
  </r>
  <r>
    <s v="Standard Class"/>
    <x v="2"/>
    <s v="United States"/>
    <s v="Philadelphia"/>
    <x v="9"/>
    <n v="19120"/>
    <x v="3"/>
    <x v="0"/>
    <x v="3"/>
    <n v="2065.3200000000002"/>
    <n v="12"/>
    <n v="0.4"/>
    <n v="-619.596"/>
  </r>
  <r>
    <s v="Standard Class"/>
    <x v="2"/>
    <s v="United States"/>
    <s v="Philadelphia"/>
    <x v="9"/>
    <n v="19120"/>
    <x v="3"/>
    <x v="1"/>
    <x v="10"/>
    <n v="15.552"/>
    <n v="3"/>
    <n v="0.2"/>
    <n v="5.4432"/>
  </r>
  <r>
    <s v="Standard Class"/>
    <x v="2"/>
    <s v="United States"/>
    <s v="Philadelphia"/>
    <x v="9"/>
    <n v="19120"/>
    <x v="3"/>
    <x v="1"/>
    <x v="10"/>
    <n v="25.344000000000001"/>
    <n v="6"/>
    <n v="0.2"/>
    <n v="7.92"/>
  </r>
  <r>
    <s v="Standard Class"/>
    <x v="0"/>
    <s v="United States"/>
    <s v="Philadelphia"/>
    <x v="9"/>
    <n v="19143"/>
    <x v="3"/>
    <x v="0"/>
    <x v="5"/>
    <n v="25.472000000000001"/>
    <n v="4"/>
    <n v="0.2"/>
    <n v="7.6416000000000004"/>
  </r>
  <r>
    <s v="Standard Class"/>
    <x v="0"/>
    <s v="United States"/>
    <s v="Round Rock"/>
    <x v="5"/>
    <n v="78664"/>
    <x v="2"/>
    <x v="1"/>
    <x v="6"/>
    <n v="27.167999999999999"/>
    <n v="2"/>
    <n v="0.2"/>
    <n v="2.7168000000000001"/>
  </r>
  <r>
    <s v="Standard Class"/>
    <x v="0"/>
    <s v="United States"/>
    <s v="Round Rock"/>
    <x v="5"/>
    <n v="78664"/>
    <x v="2"/>
    <x v="0"/>
    <x v="0"/>
    <n v="78.852800000000002"/>
    <n v="2"/>
    <n v="0.32"/>
    <n v="-11.596"/>
  </r>
  <r>
    <s v="Standard Class"/>
    <x v="0"/>
    <s v="United States"/>
    <s v="Jackson"/>
    <x v="35"/>
    <n v="39212"/>
    <x v="0"/>
    <x v="1"/>
    <x v="4"/>
    <n v="173.8"/>
    <n v="5"/>
    <n v="0"/>
    <n v="43.45"/>
  </r>
  <r>
    <s v="Second Class"/>
    <x v="0"/>
    <s v="United States"/>
    <s v="Phoenix"/>
    <x v="16"/>
    <n v="85023"/>
    <x v="1"/>
    <x v="2"/>
    <x v="7"/>
    <n v="29.591999999999999"/>
    <n v="1"/>
    <n v="0.2"/>
    <n v="2.5893000000000002"/>
  </r>
  <r>
    <s v="Second Class"/>
    <x v="0"/>
    <s v="United States"/>
    <s v="Phoenix"/>
    <x v="16"/>
    <n v="85023"/>
    <x v="1"/>
    <x v="1"/>
    <x v="8"/>
    <n v="4.7519999999999998"/>
    <n v="2"/>
    <n v="0.7"/>
    <n v="-3.1680000000000001"/>
  </r>
  <r>
    <s v="Second Class"/>
    <x v="0"/>
    <s v="United States"/>
    <s v="Phoenix"/>
    <x v="16"/>
    <n v="85023"/>
    <x v="1"/>
    <x v="1"/>
    <x v="10"/>
    <n v="15.552"/>
    <n v="3"/>
    <n v="0.2"/>
    <n v="5.6375999999999999"/>
  </r>
  <r>
    <s v="Same Day"/>
    <x v="0"/>
    <s v="United States"/>
    <s v="Oceanside"/>
    <x v="1"/>
    <n v="92054"/>
    <x v="1"/>
    <x v="0"/>
    <x v="5"/>
    <n v="204.6"/>
    <n v="2"/>
    <n v="0"/>
    <n v="53.195999999999998"/>
  </r>
  <r>
    <s v="Standard Class"/>
    <x v="1"/>
    <s v="United States"/>
    <s v="San Francisco"/>
    <x v="1"/>
    <n v="94110"/>
    <x v="1"/>
    <x v="0"/>
    <x v="1"/>
    <n v="321.56799999999998"/>
    <n v="2"/>
    <n v="0.2"/>
    <n v="28.1372"/>
  </r>
  <r>
    <s v="Standard Class"/>
    <x v="2"/>
    <s v="United States"/>
    <s v="Fayetteville"/>
    <x v="36"/>
    <n v="72701"/>
    <x v="0"/>
    <x v="1"/>
    <x v="8"/>
    <n v="6.24"/>
    <n v="2"/>
    <n v="0"/>
    <n v="3.0575999999999999"/>
  </r>
  <r>
    <s v="First Class"/>
    <x v="1"/>
    <s v="United States"/>
    <s v="San Francisco"/>
    <x v="1"/>
    <n v="94110"/>
    <x v="1"/>
    <x v="1"/>
    <x v="12"/>
    <n v="21.88"/>
    <n v="2"/>
    <n v="0"/>
    <n v="10.94"/>
  </r>
  <r>
    <s v="Second Class"/>
    <x v="0"/>
    <s v="United States"/>
    <s v="Boca Raton"/>
    <x v="2"/>
    <n v="33433"/>
    <x v="0"/>
    <x v="1"/>
    <x v="2"/>
    <n v="4.6079999999999997"/>
    <n v="2"/>
    <n v="0.2"/>
    <n v="1.6704000000000001"/>
  </r>
  <r>
    <s v="First Class"/>
    <x v="2"/>
    <s v="United States"/>
    <s v="New York City"/>
    <x v="15"/>
    <n v="10011"/>
    <x v="3"/>
    <x v="1"/>
    <x v="2"/>
    <n v="9.82"/>
    <n v="2"/>
    <n v="0"/>
    <n v="4.8117999999999999"/>
  </r>
  <r>
    <s v="First Class"/>
    <x v="2"/>
    <s v="United States"/>
    <s v="New York City"/>
    <x v="15"/>
    <n v="10011"/>
    <x v="3"/>
    <x v="1"/>
    <x v="6"/>
    <n v="35.97"/>
    <n v="3"/>
    <n v="0"/>
    <n v="9.7119"/>
  </r>
  <r>
    <s v="First Class"/>
    <x v="2"/>
    <s v="United States"/>
    <s v="New York City"/>
    <x v="15"/>
    <n v="10011"/>
    <x v="3"/>
    <x v="1"/>
    <x v="10"/>
    <n v="12.96"/>
    <n v="2"/>
    <n v="0"/>
    <n v="6.2207999999999997"/>
  </r>
  <r>
    <s v="First Class"/>
    <x v="2"/>
    <s v="United States"/>
    <s v="New York City"/>
    <x v="15"/>
    <n v="10011"/>
    <x v="3"/>
    <x v="1"/>
    <x v="10"/>
    <n v="191.6"/>
    <n v="4"/>
    <n v="0"/>
    <n v="91.968000000000004"/>
  </r>
  <r>
    <s v="First Class"/>
    <x v="2"/>
    <s v="United States"/>
    <s v="New York City"/>
    <x v="15"/>
    <n v="10011"/>
    <x v="3"/>
    <x v="1"/>
    <x v="2"/>
    <n v="8.64"/>
    <n v="3"/>
    <n v="0"/>
    <n v="4.2336"/>
  </r>
  <r>
    <s v="First Class"/>
    <x v="2"/>
    <s v="United States"/>
    <s v="New York City"/>
    <x v="15"/>
    <n v="10011"/>
    <x v="3"/>
    <x v="1"/>
    <x v="4"/>
    <n v="501.81"/>
    <n v="3"/>
    <n v="0"/>
    <n v="0"/>
  </r>
  <r>
    <s v="Second Class"/>
    <x v="0"/>
    <s v="United States"/>
    <s v="Philadelphia"/>
    <x v="9"/>
    <n v="19134"/>
    <x v="3"/>
    <x v="0"/>
    <x v="5"/>
    <n v="127.104"/>
    <n v="6"/>
    <n v="0.2"/>
    <n v="28.598400000000002"/>
  </r>
  <r>
    <s v="Second Class"/>
    <x v="0"/>
    <s v="United States"/>
    <s v="Philadelphia"/>
    <x v="9"/>
    <n v="19134"/>
    <x v="3"/>
    <x v="2"/>
    <x v="7"/>
    <n v="124.2"/>
    <n v="3"/>
    <n v="0.4"/>
    <n v="-31.05"/>
  </r>
  <r>
    <s v="Second Class"/>
    <x v="0"/>
    <s v="United States"/>
    <s v="Philadelphia"/>
    <x v="9"/>
    <n v="19134"/>
    <x v="3"/>
    <x v="1"/>
    <x v="8"/>
    <n v="18.588000000000001"/>
    <n v="2"/>
    <n v="0.7"/>
    <n v="-13.6312"/>
  </r>
  <r>
    <s v="Second Class"/>
    <x v="0"/>
    <s v="United States"/>
    <s v="Philadelphia"/>
    <x v="9"/>
    <n v="19134"/>
    <x v="3"/>
    <x v="1"/>
    <x v="2"/>
    <n v="30.071999999999999"/>
    <n v="3"/>
    <n v="0.2"/>
    <n v="10.1493"/>
  </r>
  <r>
    <s v="Second Class"/>
    <x v="2"/>
    <s v="United States"/>
    <s v="New York City"/>
    <x v="15"/>
    <n v="10011"/>
    <x v="3"/>
    <x v="2"/>
    <x v="7"/>
    <n v="160.93"/>
    <n v="7"/>
    <n v="0"/>
    <n v="3.2185999999999999"/>
  </r>
  <r>
    <s v="Second Class"/>
    <x v="2"/>
    <s v="United States"/>
    <s v="New York City"/>
    <x v="15"/>
    <n v="10011"/>
    <x v="3"/>
    <x v="1"/>
    <x v="8"/>
    <n v="75.792000000000002"/>
    <n v="3"/>
    <n v="0.2"/>
    <n v="25.579799999999999"/>
  </r>
  <r>
    <s v="Standard Class"/>
    <x v="0"/>
    <s v="United States"/>
    <s v="Portland"/>
    <x v="21"/>
    <n v="97206"/>
    <x v="1"/>
    <x v="1"/>
    <x v="8"/>
    <n v="1.08"/>
    <n v="2"/>
    <n v="0.7"/>
    <n v="-0.79200000000000004"/>
  </r>
  <r>
    <s v="First Class"/>
    <x v="1"/>
    <s v="United States"/>
    <s v="Detroit"/>
    <x v="12"/>
    <n v="48205"/>
    <x v="2"/>
    <x v="2"/>
    <x v="15"/>
    <n v="3059.982"/>
    <n v="2"/>
    <n v="0.1"/>
    <n v="679.99599999999998"/>
  </r>
  <r>
    <s v="First Class"/>
    <x v="0"/>
    <s v="United States"/>
    <s v="Wilmington"/>
    <x v="3"/>
    <n v="28403"/>
    <x v="0"/>
    <x v="1"/>
    <x v="8"/>
    <n v="3.282"/>
    <n v="2"/>
    <n v="0.7"/>
    <n v="-2.6255999999999999"/>
  </r>
  <r>
    <s v="First Class"/>
    <x v="1"/>
    <s v="United States"/>
    <s v="Columbus"/>
    <x v="14"/>
    <n v="47201"/>
    <x v="2"/>
    <x v="1"/>
    <x v="10"/>
    <n v="34.020000000000003"/>
    <n v="3"/>
    <n v="0"/>
    <n v="16.669799999999999"/>
  </r>
  <r>
    <s v="Standard Class"/>
    <x v="0"/>
    <s v="United States"/>
    <s v="New York City"/>
    <x v="15"/>
    <n v="10035"/>
    <x v="3"/>
    <x v="0"/>
    <x v="1"/>
    <n v="599.29200000000003"/>
    <n v="6"/>
    <n v="0.1"/>
    <n v="93.223200000000006"/>
  </r>
  <r>
    <s v="Second Class"/>
    <x v="0"/>
    <s v="United States"/>
    <s v="Louisville"/>
    <x v="22"/>
    <n v="80027"/>
    <x v="1"/>
    <x v="1"/>
    <x v="6"/>
    <n v="3.3919999999999999"/>
    <n v="1"/>
    <n v="0.2"/>
    <n v="0.80559999999999998"/>
  </r>
  <r>
    <s v="Second Class"/>
    <x v="0"/>
    <s v="United States"/>
    <s v="Louisville"/>
    <x v="22"/>
    <n v="80027"/>
    <x v="1"/>
    <x v="2"/>
    <x v="7"/>
    <n v="559.98400000000004"/>
    <n v="2"/>
    <n v="0.2"/>
    <n v="55.998399999999997"/>
  </r>
  <r>
    <s v="Second Class"/>
    <x v="0"/>
    <s v="United States"/>
    <s v="Louisville"/>
    <x v="22"/>
    <n v="80027"/>
    <x v="1"/>
    <x v="0"/>
    <x v="1"/>
    <n v="603.91999999999996"/>
    <n v="5"/>
    <n v="0.2"/>
    <n v="75.489999999999995"/>
  </r>
  <r>
    <s v="Standard Class"/>
    <x v="2"/>
    <s v="United States"/>
    <s v="Pasadena"/>
    <x v="5"/>
    <n v="77506"/>
    <x v="2"/>
    <x v="1"/>
    <x v="2"/>
    <n v="7.968"/>
    <n v="2"/>
    <n v="0.2"/>
    <n v="2.5895999999999999"/>
  </r>
  <r>
    <s v="Standard Class"/>
    <x v="2"/>
    <s v="United States"/>
    <s v="Pasadena"/>
    <x v="5"/>
    <n v="77506"/>
    <x v="2"/>
    <x v="1"/>
    <x v="12"/>
    <n v="27.968"/>
    <n v="4"/>
    <n v="0.2"/>
    <n v="9.4391999999999996"/>
  </r>
  <r>
    <s v="Standard Class"/>
    <x v="2"/>
    <s v="United States"/>
    <s v="Pasadena"/>
    <x v="5"/>
    <n v="77506"/>
    <x v="2"/>
    <x v="2"/>
    <x v="15"/>
    <n v="336.51"/>
    <n v="3"/>
    <n v="0.4"/>
    <n v="44.868000000000002"/>
  </r>
  <r>
    <s v="Same Day"/>
    <x v="0"/>
    <s v="United States"/>
    <s v="Houston"/>
    <x v="5"/>
    <n v="77041"/>
    <x v="2"/>
    <x v="1"/>
    <x v="8"/>
    <n v="1.1120000000000001"/>
    <n v="2"/>
    <n v="0.8"/>
    <n v="-1.8904000000000001"/>
  </r>
  <r>
    <s v="Standard Class"/>
    <x v="1"/>
    <s v="United States"/>
    <s v="Auburn"/>
    <x v="15"/>
    <n v="13021"/>
    <x v="3"/>
    <x v="0"/>
    <x v="5"/>
    <n v="520.04999999999995"/>
    <n v="5"/>
    <n v="0"/>
    <n v="72.807000000000002"/>
  </r>
  <r>
    <s v="Standard Class"/>
    <x v="1"/>
    <s v="United States"/>
    <s v="Auburn"/>
    <x v="15"/>
    <n v="13021"/>
    <x v="3"/>
    <x v="1"/>
    <x v="6"/>
    <n v="17.97"/>
    <n v="3"/>
    <n v="0"/>
    <n v="5.2112999999999996"/>
  </r>
  <r>
    <s v="Second Class"/>
    <x v="2"/>
    <s v="United States"/>
    <s v="Jacksonville"/>
    <x v="2"/>
    <n v="32216"/>
    <x v="0"/>
    <x v="0"/>
    <x v="1"/>
    <n v="1166.92"/>
    <n v="5"/>
    <n v="0.2"/>
    <n v="131.27850000000001"/>
  </r>
  <r>
    <s v="First Class"/>
    <x v="0"/>
    <s v="United States"/>
    <s v="New York City"/>
    <x v="15"/>
    <n v="10024"/>
    <x v="3"/>
    <x v="1"/>
    <x v="8"/>
    <n v="14.624000000000001"/>
    <n v="2"/>
    <n v="0.2"/>
    <n v="5.484"/>
  </r>
  <r>
    <s v="First Class"/>
    <x v="0"/>
    <s v="United States"/>
    <s v="San Jose"/>
    <x v="1"/>
    <n v="95123"/>
    <x v="1"/>
    <x v="1"/>
    <x v="13"/>
    <n v="10.23"/>
    <n v="3"/>
    <n v="0"/>
    <n v="4.9104000000000001"/>
  </r>
  <r>
    <s v="First Class"/>
    <x v="0"/>
    <s v="United States"/>
    <s v="San Jose"/>
    <x v="1"/>
    <n v="95123"/>
    <x v="1"/>
    <x v="1"/>
    <x v="10"/>
    <n v="154.9"/>
    <n v="5"/>
    <n v="0"/>
    <n v="69.704999999999998"/>
  </r>
  <r>
    <s v="Standard Class"/>
    <x v="1"/>
    <s v="United States"/>
    <s v="Virginia Beach"/>
    <x v="17"/>
    <n v="23464"/>
    <x v="0"/>
    <x v="1"/>
    <x v="8"/>
    <n v="2715.93"/>
    <n v="7"/>
    <n v="0"/>
    <n v="1276.4871000000001"/>
  </r>
  <r>
    <s v="Standard Class"/>
    <x v="1"/>
    <s v="United States"/>
    <s v="Virginia Beach"/>
    <x v="17"/>
    <n v="23464"/>
    <x v="0"/>
    <x v="2"/>
    <x v="7"/>
    <n v="617.97"/>
    <n v="3"/>
    <n v="0"/>
    <n v="173.0316"/>
  </r>
  <r>
    <s v="Standard Class"/>
    <x v="0"/>
    <s v="United States"/>
    <s v="Henderson"/>
    <x v="0"/>
    <n v="42420"/>
    <x v="0"/>
    <x v="1"/>
    <x v="12"/>
    <n v="10.67"/>
    <n v="1"/>
    <n v="0"/>
    <n v="4.9081999999999999"/>
  </r>
  <r>
    <s v="Standard Class"/>
    <x v="0"/>
    <s v="United States"/>
    <s v="Henderson"/>
    <x v="0"/>
    <n v="42420"/>
    <x v="0"/>
    <x v="1"/>
    <x v="4"/>
    <n v="36.630000000000003"/>
    <n v="3"/>
    <n v="0"/>
    <n v="9.8901000000000003"/>
  </r>
  <r>
    <s v="Standard Class"/>
    <x v="0"/>
    <s v="United States"/>
    <s v="Henderson"/>
    <x v="0"/>
    <n v="42420"/>
    <x v="0"/>
    <x v="0"/>
    <x v="5"/>
    <n v="24.1"/>
    <n v="5"/>
    <n v="0"/>
    <n v="9.1579999999999995"/>
  </r>
  <r>
    <s v="Standard Class"/>
    <x v="0"/>
    <s v="United States"/>
    <s v="Henderson"/>
    <x v="0"/>
    <n v="42420"/>
    <x v="0"/>
    <x v="0"/>
    <x v="5"/>
    <n v="33.11"/>
    <n v="7"/>
    <n v="0"/>
    <n v="12.9129"/>
  </r>
  <r>
    <s v="Standard Class"/>
    <x v="2"/>
    <s v="United States"/>
    <s v="Vancouver"/>
    <x v="4"/>
    <n v="98661"/>
    <x v="1"/>
    <x v="1"/>
    <x v="6"/>
    <n v="44.02"/>
    <n v="2"/>
    <n v="0"/>
    <n v="11.4452"/>
  </r>
  <r>
    <s v="Same Day"/>
    <x v="0"/>
    <s v="United States"/>
    <s v="New York City"/>
    <x v="15"/>
    <n v="10024"/>
    <x v="3"/>
    <x v="2"/>
    <x v="11"/>
    <n v="2309.65"/>
    <n v="7"/>
    <n v="0"/>
    <n v="762.18449999999996"/>
  </r>
  <r>
    <s v="Same Day"/>
    <x v="0"/>
    <s v="United States"/>
    <s v="New York City"/>
    <x v="15"/>
    <n v="10024"/>
    <x v="3"/>
    <x v="0"/>
    <x v="3"/>
    <n v="1090.7819999999999"/>
    <n v="7"/>
    <n v="0.4"/>
    <n v="-290.87520000000001"/>
  </r>
  <r>
    <s v="Same Day"/>
    <x v="0"/>
    <s v="United States"/>
    <s v="New York City"/>
    <x v="15"/>
    <n v="10024"/>
    <x v="3"/>
    <x v="1"/>
    <x v="10"/>
    <n v="19.440000000000001"/>
    <n v="3"/>
    <n v="0"/>
    <n v="9.3312000000000008"/>
  </r>
  <r>
    <s v="Standard Class"/>
    <x v="0"/>
    <s v="United States"/>
    <s v="Murrieta"/>
    <x v="1"/>
    <n v="92563"/>
    <x v="1"/>
    <x v="1"/>
    <x v="4"/>
    <n v="484.65"/>
    <n v="3"/>
    <n v="0"/>
    <n v="92.083500000000001"/>
  </r>
  <r>
    <s v="Standard Class"/>
    <x v="0"/>
    <s v="United States"/>
    <s v="Jacksonville"/>
    <x v="3"/>
    <n v="28540"/>
    <x v="0"/>
    <x v="1"/>
    <x v="10"/>
    <n v="115.29600000000001"/>
    <n v="3"/>
    <n v="0.2"/>
    <n v="40.3536"/>
  </r>
  <r>
    <s v="First Class"/>
    <x v="0"/>
    <s v="United States"/>
    <s v="Scottsdale"/>
    <x v="16"/>
    <n v="85254"/>
    <x v="1"/>
    <x v="1"/>
    <x v="12"/>
    <n v="7.08"/>
    <n v="3"/>
    <n v="0.2"/>
    <n v="2.4780000000000002"/>
  </r>
  <r>
    <s v="First Class"/>
    <x v="0"/>
    <s v="United States"/>
    <s v="Scottsdale"/>
    <x v="16"/>
    <n v="85254"/>
    <x v="1"/>
    <x v="1"/>
    <x v="8"/>
    <n v="4.4009999999999998"/>
    <n v="3"/>
    <n v="0.7"/>
    <n v="-3.5207999999999999"/>
  </r>
  <r>
    <s v="Standard Class"/>
    <x v="0"/>
    <s v="United States"/>
    <s v="Burlington"/>
    <x v="23"/>
    <n v="52601"/>
    <x v="2"/>
    <x v="1"/>
    <x v="10"/>
    <n v="44.75"/>
    <n v="5"/>
    <n v="0"/>
    <n v="20.585000000000001"/>
  </r>
  <r>
    <s v="First Class"/>
    <x v="0"/>
    <s v="United States"/>
    <s v="Chicago"/>
    <x v="10"/>
    <n v="60653"/>
    <x v="2"/>
    <x v="2"/>
    <x v="7"/>
    <n v="95.983999999999995"/>
    <n v="2"/>
    <n v="0.2"/>
    <n v="5.9989999999999997"/>
  </r>
  <r>
    <s v="First Class"/>
    <x v="0"/>
    <s v="United States"/>
    <s v="San Diego"/>
    <x v="1"/>
    <n v="92037"/>
    <x v="1"/>
    <x v="0"/>
    <x v="5"/>
    <n v="151.72"/>
    <n v="4"/>
    <n v="0"/>
    <n v="27.3096"/>
  </r>
  <r>
    <s v="Second Class"/>
    <x v="0"/>
    <s v="United States"/>
    <s v="Olympia"/>
    <x v="4"/>
    <n v="98502"/>
    <x v="1"/>
    <x v="0"/>
    <x v="5"/>
    <n v="155.25"/>
    <n v="3"/>
    <n v="0"/>
    <n v="46.575000000000003"/>
  </r>
  <r>
    <s v="Second Class"/>
    <x v="0"/>
    <s v="United States"/>
    <s v="Olympia"/>
    <x v="4"/>
    <n v="98502"/>
    <x v="1"/>
    <x v="1"/>
    <x v="4"/>
    <n v="14.03"/>
    <n v="1"/>
    <n v="0"/>
    <n v="4.0686999999999998"/>
  </r>
  <r>
    <s v="Second Class"/>
    <x v="0"/>
    <s v="United States"/>
    <s v="Seattle"/>
    <x v="4"/>
    <n v="98103"/>
    <x v="1"/>
    <x v="0"/>
    <x v="3"/>
    <n v="1618.37"/>
    <n v="13"/>
    <n v="0"/>
    <n v="356.04140000000001"/>
  </r>
  <r>
    <s v="Second Class"/>
    <x v="0"/>
    <s v="United States"/>
    <s v="Seattle"/>
    <x v="4"/>
    <n v="98103"/>
    <x v="1"/>
    <x v="2"/>
    <x v="11"/>
    <n v="99.6"/>
    <n v="1"/>
    <n v="0"/>
    <n v="36.851999999999997"/>
  </r>
  <r>
    <s v="Second Class"/>
    <x v="2"/>
    <s v="United States"/>
    <s v="Los Angeles"/>
    <x v="1"/>
    <n v="90036"/>
    <x v="1"/>
    <x v="1"/>
    <x v="10"/>
    <n v="32.4"/>
    <n v="5"/>
    <n v="0"/>
    <n v="15.552"/>
  </r>
  <r>
    <s v="Standard Class"/>
    <x v="1"/>
    <s v="United States"/>
    <s v="New York City"/>
    <x v="15"/>
    <n v="10011"/>
    <x v="3"/>
    <x v="0"/>
    <x v="5"/>
    <n v="13.96"/>
    <n v="2"/>
    <n v="0"/>
    <n v="6.7008000000000001"/>
  </r>
  <r>
    <s v="Standard Class"/>
    <x v="1"/>
    <s v="United States"/>
    <s v="New York City"/>
    <x v="15"/>
    <n v="10011"/>
    <x v="3"/>
    <x v="0"/>
    <x v="5"/>
    <n v="155.82"/>
    <n v="3"/>
    <n v="0"/>
    <n v="63.886200000000002"/>
  </r>
  <r>
    <s v="Standard Class"/>
    <x v="1"/>
    <s v="United States"/>
    <s v="New York City"/>
    <x v="15"/>
    <n v="10011"/>
    <x v="3"/>
    <x v="2"/>
    <x v="7"/>
    <n v="124.95"/>
    <n v="5"/>
    <n v="0"/>
    <n v="2.4990000000000001"/>
  </r>
  <r>
    <s v="Standard Class"/>
    <x v="1"/>
    <s v="United States"/>
    <s v="New York City"/>
    <x v="15"/>
    <n v="10011"/>
    <x v="3"/>
    <x v="1"/>
    <x v="4"/>
    <n v="601.65"/>
    <n v="5"/>
    <n v="0"/>
    <n v="156.429"/>
  </r>
  <r>
    <s v="Standard Class"/>
    <x v="0"/>
    <s v="United States"/>
    <s v="Washington"/>
    <x v="40"/>
    <n v="20016"/>
    <x v="3"/>
    <x v="1"/>
    <x v="6"/>
    <n v="22.74"/>
    <n v="3"/>
    <n v="0"/>
    <n v="8.8686000000000007"/>
  </r>
  <r>
    <s v="Standard Class"/>
    <x v="0"/>
    <s v="United States"/>
    <s v="Washington"/>
    <x v="40"/>
    <n v="20016"/>
    <x v="3"/>
    <x v="0"/>
    <x v="1"/>
    <n v="1267.53"/>
    <n v="3"/>
    <n v="0"/>
    <n v="316.88249999999999"/>
  </r>
  <r>
    <s v="Standard Class"/>
    <x v="0"/>
    <s v="United States"/>
    <s v="Washington"/>
    <x v="40"/>
    <n v="20016"/>
    <x v="3"/>
    <x v="2"/>
    <x v="15"/>
    <n v="1379.92"/>
    <n v="8"/>
    <n v="0"/>
    <n v="648.56240000000003"/>
  </r>
  <r>
    <s v="Standard Class"/>
    <x v="0"/>
    <s v="United States"/>
    <s v="Philadelphia"/>
    <x v="9"/>
    <n v="19134"/>
    <x v="3"/>
    <x v="1"/>
    <x v="12"/>
    <n v="6.2080000000000002"/>
    <n v="2"/>
    <n v="0.2"/>
    <n v="2.1728000000000001"/>
  </r>
  <r>
    <s v="First Class"/>
    <x v="2"/>
    <s v="United States"/>
    <s v="Los Angeles"/>
    <x v="1"/>
    <n v="90045"/>
    <x v="1"/>
    <x v="1"/>
    <x v="8"/>
    <n v="11.808"/>
    <n v="2"/>
    <n v="0.2"/>
    <n v="4.2804000000000002"/>
  </r>
  <r>
    <s v="Second Class"/>
    <x v="2"/>
    <s v="United States"/>
    <s v="Springfield"/>
    <x v="24"/>
    <n v="45503"/>
    <x v="3"/>
    <x v="1"/>
    <x v="10"/>
    <n v="15.552"/>
    <n v="3"/>
    <n v="0.2"/>
    <n v="5.4432"/>
  </r>
  <r>
    <s v="Second Class"/>
    <x v="2"/>
    <s v="United States"/>
    <s v="Springfield"/>
    <x v="24"/>
    <n v="45503"/>
    <x v="3"/>
    <x v="1"/>
    <x v="10"/>
    <n v="63.311999999999998"/>
    <n v="3"/>
    <n v="0.2"/>
    <n v="20.5764"/>
  </r>
  <r>
    <s v="Second Class"/>
    <x v="2"/>
    <s v="United States"/>
    <s v="Springfield"/>
    <x v="24"/>
    <n v="45503"/>
    <x v="3"/>
    <x v="2"/>
    <x v="7"/>
    <n v="15.587999999999999"/>
    <n v="2"/>
    <n v="0.4"/>
    <n v="-9.8724000000000007"/>
  </r>
  <r>
    <s v="Standard Class"/>
    <x v="1"/>
    <s v="United States"/>
    <s v="Hackensack"/>
    <x v="30"/>
    <n v="7601"/>
    <x v="3"/>
    <x v="1"/>
    <x v="10"/>
    <n v="177.2"/>
    <n v="5"/>
    <n v="0"/>
    <n v="83.284000000000006"/>
  </r>
  <r>
    <s v="Standard Class"/>
    <x v="1"/>
    <s v="United States"/>
    <s v="Hackensack"/>
    <x v="30"/>
    <n v="7601"/>
    <x v="3"/>
    <x v="2"/>
    <x v="7"/>
    <n v="197.97"/>
    <n v="3"/>
    <n v="0"/>
    <n v="57.411299999999997"/>
  </r>
  <r>
    <s v="Standard Class"/>
    <x v="1"/>
    <s v="United States"/>
    <s v="Hackensack"/>
    <x v="30"/>
    <n v="7601"/>
    <x v="3"/>
    <x v="0"/>
    <x v="1"/>
    <n v="854.94"/>
    <n v="3"/>
    <n v="0"/>
    <n v="213.73500000000001"/>
  </r>
  <r>
    <s v="Standard Class"/>
    <x v="1"/>
    <s v="United States"/>
    <s v="Hackensack"/>
    <x v="30"/>
    <n v="7601"/>
    <x v="3"/>
    <x v="0"/>
    <x v="5"/>
    <n v="124.11"/>
    <n v="9"/>
    <n v="0"/>
    <n v="52.126199999999997"/>
  </r>
  <r>
    <s v="Standard Class"/>
    <x v="1"/>
    <s v="United States"/>
    <s v="Hackensack"/>
    <x v="30"/>
    <n v="7601"/>
    <x v="3"/>
    <x v="1"/>
    <x v="2"/>
    <n v="14.4"/>
    <n v="5"/>
    <n v="0"/>
    <n v="7.056"/>
  </r>
  <r>
    <s v="First Class"/>
    <x v="0"/>
    <s v="United States"/>
    <s v="Cincinnati"/>
    <x v="24"/>
    <n v="45231"/>
    <x v="3"/>
    <x v="1"/>
    <x v="10"/>
    <n v="15.696"/>
    <n v="3"/>
    <n v="0.2"/>
    <n v="5.1012000000000004"/>
  </r>
  <r>
    <s v="First Class"/>
    <x v="0"/>
    <s v="United States"/>
    <s v="Cincinnati"/>
    <x v="24"/>
    <n v="45231"/>
    <x v="3"/>
    <x v="1"/>
    <x v="8"/>
    <n v="2.6280000000000001"/>
    <n v="2"/>
    <n v="0.7"/>
    <n v="-1.9272"/>
  </r>
  <r>
    <s v="First Class"/>
    <x v="0"/>
    <s v="United States"/>
    <s v="Cincinnati"/>
    <x v="24"/>
    <n v="45231"/>
    <x v="3"/>
    <x v="1"/>
    <x v="8"/>
    <n v="14.427"/>
    <n v="3"/>
    <n v="0.7"/>
    <n v="-10.579800000000001"/>
  </r>
  <r>
    <s v="Standard Class"/>
    <x v="2"/>
    <s v="United States"/>
    <s v="Jefferson City"/>
    <x v="25"/>
    <n v="65109"/>
    <x v="2"/>
    <x v="0"/>
    <x v="5"/>
    <n v="86.62"/>
    <n v="2"/>
    <n v="0"/>
    <n v="8.6620000000000008"/>
  </r>
  <r>
    <s v="First Class"/>
    <x v="0"/>
    <s v="United States"/>
    <s v="Los Angeles"/>
    <x v="1"/>
    <n v="90004"/>
    <x v="1"/>
    <x v="1"/>
    <x v="8"/>
    <n v="36.624000000000002"/>
    <n v="3"/>
    <n v="0.2"/>
    <n v="13.734"/>
  </r>
  <r>
    <s v="First Class"/>
    <x v="0"/>
    <s v="United States"/>
    <s v="Burlington"/>
    <x v="3"/>
    <n v="27217"/>
    <x v="0"/>
    <x v="1"/>
    <x v="6"/>
    <n v="23.968"/>
    <n v="7"/>
    <n v="0.2"/>
    <n v="2.6964000000000001"/>
  </r>
  <r>
    <s v="First Class"/>
    <x v="0"/>
    <s v="United States"/>
    <s v="Burlington"/>
    <x v="3"/>
    <n v="27217"/>
    <x v="0"/>
    <x v="1"/>
    <x v="6"/>
    <n v="28.728000000000002"/>
    <n v="3"/>
    <n v="0.2"/>
    <n v="1.7955000000000001"/>
  </r>
  <r>
    <s v="Standard Class"/>
    <x v="2"/>
    <s v="United States"/>
    <s v="Saint Peters"/>
    <x v="25"/>
    <n v="63376"/>
    <x v="2"/>
    <x v="0"/>
    <x v="3"/>
    <n v="697.16"/>
    <n v="4"/>
    <n v="0"/>
    <n v="146.40360000000001"/>
  </r>
  <r>
    <s v="Second Class"/>
    <x v="0"/>
    <s v="United States"/>
    <s v="New York City"/>
    <x v="15"/>
    <n v="10035"/>
    <x v="3"/>
    <x v="2"/>
    <x v="11"/>
    <n v="31.86"/>
    <n v="2"/>
    <n v="0"/>
    <n v="11.151"/>
  </r>
  <r>
    <s v="Second Class"/>
    <x v="0"/>
    <s v="United States"/>
    <s v="New York City"/>
    <x v="15"/>
    <n v="10035"/>
    <x v="3"/>
    <x v="0"/>
    <x v="0"/>
    <n v="722.35199999999998"/>
    <n v="3"/>
    <n v="0.2"/>
    <n v="90.293999999999997"/>
  </r>
  <r>
    <s v="First Class"/>
    <x v="1"/>
    <s v="United States"/>
    <s v="Chicago"/>
    <x v="10"/>
    <n v="60610"/>
    <x v="2"/>
    <x v="1"/>
    <x v="6"/>
    <n v="8.84"/>
    <n v="5"/>
    <n v="0.2"/>
    <n v="2.9834999999999998"/>
  </r>
  <r>
    <s v="First Class"/>
    <x v="1"/>
    <s v="United States"/>
    <s v="Chicago"/>
    <x v="10"/>
    <n v="60610"/>
    <x v="2"/>
    <x v="1"/>
    <x v="9"/>
    <n v="58.463999999999999"/>
    <n v="9"/>
    <n v="0.8"/>
    <n v="-146.16"/>
  </r>
  <r>
    <s v="Standard Class"/>
    <x v="2"/>
    <s v="United States"/>
    <s v="Rockford"/>
    <x v="10"/>
    <n v="61107"/>
    <x v="2"/>
    <x v="0"/>
    <x v="1"/>
    <n v="254.60400000000001"/>
    <n v="14"/>
    <n v="0.3"/>
    <n v="-18.186"/>
  </r>
  <r>
    <s v="Standard Class"/>
    <x v="0"/>
    <s v="United States"/>
    <s v="Miami"/>
    <x v="2"/>
    <n v="33142"/>
    <x v="0"/>
    <x v="2"/>
    <x v="7"/>
    <n v="1363.96"/>
    <n v="5"/>
    <n v="0.2"/>
    <n v="85.247500000000002"/>
  </r>
  <r>
    <s v="Standard Class"/>
    <x v="0"/>
    <s v="United States"/>
    <s v="Miami"/>
    <x v="2"/>
    <n v="33142"/>
    <x v="0"/>
    <x v="0"/>
    <x v="5"/>
    <n v="102.36"/>
    <n v="3"/>
    <n v="0.2"/>
    <n v="-3.8384999999999998"/>
  </r>
  <r>
    <s v="Second Class"/>
    <x v="0"/>
    <s v="United States"/>
    <s v="San Francisco"/>
    <x v="1"/>
    <n v="94109"/>
    <x v="1"/>
    <x v="2"/>
    <x v="7"/>
    <n v="1113.5039999999999"/>
    <n v="12"/>
    <n v="0.2"/>
    <n v="125.2692"/>
  </r>
  <r>
    <s v="Second Class"/>
    <x v="0"/>
    <s v="United States"/>
    <s v="San Francisco"/>
    <x v="1"/>
    <n v="94109"/>
    <x v="1"/>
    <x v="2"/>
    <x v="11"/>
    <n v="99.99"/>
    <n v="1"/>
    <n v="0"/>
    <n v="37.996200000000002"/>
  </r>
  <r>
    <s v="First Class"/>
    <x v="1"/>
    <s v="United States"/>
    <s v="Philadelphia"/>
    <x v="9"/>
    <n v="19134"/>
    <x v="3"/>
    <x v="0"/>
    <x v="5"/>
    <n v="168.464"/>
    <n v="2"/>
    <n v="0.2"/>
    <n v="-29.481200000000001"/>
  </r>
  <r>
    <s v="First Class"/>
    <x v="1"/>
    <s v="United States"/>
    <s v="Philadelphia"/>
    <x v="9"/>
    <n v="19134"/>
    <x v="3"/>
    <x v="1"/>
    <x v="10"/>
    <n v="6.72"/>
    <n v="2"/>
    <n v="0.2"/>
    <n v="2.4359999999999999"/>
  </r>
  <r>
    <s v="First Class"/>
    <x v="1"/>
    <s v="United States"/>
    <s v="Philadelphia"/>
    <x v="9"/>
    <n v="19134"/>
    <x v="3"/>
    <x v="0"/>
    <x v="5"/>
    <n v="282.88799999999998"/>
    <n v="9"/>
    <n v="0.2"/>
    <n v="56.577599999999997"/>
  </r>
  <r>
    <s v="Standard Class"/>
    <x v="2"/>
    <s v="United States"/>
    <s v="New York City"/>
    <x v="15"/>
    <n v="10009"/>
    <x v="3"/>
    <x v="1"/>
    <x v="6"/>
    <n v="11.16"/>
    <n v="2"/>
    <n v="0"/>
    <n v="4.3524000000000003"/>
  </r>
  <r>
    <s v="Standard Class"/>
    <x v="2"/>
    <s v="United States"/>
    <s v="New York City"/>
    <x v="15"/>
    <n v="10009"/>
    <x v="3"/>
    <x v="0"/>
    <x v="5"/>
    <n v="108.4"/>
    <n v="2"/>
    <n v="0"/>
    <n v="22.763999999999999"/>
  </r>
  <r>
    <s v="Standard Class"/>
    <x v="2"/>
    <s v="United States"/>
    <s v="New York City"/>
    <x v="15"/>
    <n v="10009"/>
    <x v="3"/>
    <x v="1"/>
    <x v="8"/>
    <n v="82.343999999999994"/>
    <n v="3"/>
    <n v="0.2"/>
    <n v="27.7911"/>
  </r>
  <r>
    <s v="Standard Class"/>
    <x v="2"/>
    <s v="United States"/>
    <s v="New York City"/>
    <x v="15"/>
    <n v="10009"/>
    <x v="3"/>
    <x v="1"/>
    <x v="8"/>
    <n v="9.0879999999999992"/>
    <n v="4"/>
    <n v="0.2"/>
    <n v="3.2944"/>
  </r>
  <r>
    <s v="Standard Class"/>
    <x v="1"/>
    <s v="United States"/>
    <s v="San Diego"/>
    <x v="1"/>
    <n v="92037"/>
    <x v="1"/>
    <x v="1"/>
    <x v="8"/>
    <n v="19.936"/>
    <n v="4"/>
    <n v="0.2"/>
    <n v="7.2267999999999999"/>
  </r>
  <r>
    <s v="Standard Class"/>
    <x v="1"/>
    <s v="United States"/>
    <s v="San Diego"/>
    <x v="1"/>
    <n v="92037"/>
    <x v="1"/>
    <x v="1"/>
    <x v="8"/>
    <n v="65.567999999999998"/>
    <n v="2"/>
    <n v="0.2"/>
    <n v="22.948799999999999"/>
  </r>
  <r>
    <s v="Standard Class"/>
    <x v="2"/>
    <s v="United States"/>
    <s v="Philadelphia"/>
    <x v="9"/>
    <n v="19143"/>
    <x v="3"/>
    <x v="1"/>
    <x v="13"/>
    <n v="4.4160000000000004"/>
    <n v="3"/>
    <n v="0.2"/>
    <n v="1.6008"/>
  </r>
  <r>
    <s v="Standard Class"/>
    <x v="0"/>
    <s v="United States"/>
    <s v="Houston"/>
    <x v="5"/>
    <n v="77095"/>
    <x v="2"/>
    <x v="0"/>
    <x v="1"/>
    <n v="107.77200000000001"/>
    <n v="2"/>
    <n v="0.3"/>
    <n v="-29.252400000000002"/>
  </r>
  <r>
    <s v="Standard Class"/>
    <x v="1"/>
    <s v="United States"/>
    <s v="Toledo"/>
    <x v="24"/>
    <n v="43615"/>
    <x v="3"/>
    <x v="1"/>
    <x v="9"/>
    <n v="45.216000000000001"/>
    <n v="3"/>
    <n v="0.2"/>
    <n v="4.5216000000000003"/>
  </r>
  <r>
    <s v="Standard Class"/>
    <x v="1"/>
    <s v="United States"/>
    <s v="Toledo"/>
    <x v="24"/>
    <n v="43615"/>
    <x v="3"/>
    <x v="1"/>
    <x v="13"/>
    <n v="10.416"/>
    <n v="7"/>
    <n v="0.2"/>
    <n v="-2.2134"/>
  </r>
  <r>
    <s v="Standard Class"/>
    <x v="1"/>
    <s v="United States"/>
    <s v="Toledo"/>
    <x v="24"/>
    <n v="43615"/>
    <x v="3"/>
    <x v="1"/>
    <x v="6"/>
    <n v="7.8719999999999999"/>
    <n v="3"/>
    <n v="0.2"/>
    <n v="1.2791999999999999"/>
  </r>
  <r>
    <s v="Standard Class"/>
    <x v="1"/>
    <s v="United States"/>
    <s v="Toledo"/>
    <x v="24"/>
    <n v="43615"/>
    <x v="3"/>
    <x v="2"/>
    <x v="7"/>
    <n v="118.782"/>
    <n v="3"/>
    <n v="0.4"/>
    <n v="-27.715800000000002"/>
  </r>
  <r>
    <s v="Standard Class"/>
    <x v="1"/>
    <s v="United States"/>
    <s v="Toledo"/>
    <x v="24"/>
    <n v="43615"/>
    <x v="3"/>
    <x v="1"/>
    <x v="13"/>
    <n v="1.448"/>
    <n v="1"/>
    <n v="0.2"/>
    <n v="0.23530000000000001"/>
  </r>
  <r>
    <s v="Standard Class"/>
    <x v="1"/>
    <s v="United States"/>
    <s v="Toledo"/>
    <x v="24"/>
    <n v="43615"/>
    <x v="3"/>
    <x v="1"/>
    <x v="8"/>
    <n v="55.47"/>
    <n v="5"/>
    <n v="0.7"/>
    <n v="-46.225000000000001"/>
  </r>
  <r>
    <s v="First Class"/>
    <x v="0"/>
    <s v="United States"/>
    <s v="San Francisco"/>
    <x v="1"/>
    <n v="94122"/>
    <x v="1"/>
    <x v="0"/>
    <x v="1"/>
    <n v="194.84800000000001"/>
    <n v="4"/>
    <n v="0.2"/>
    <n v="12.178000000000001"/>
  </r>
  <r>
    <s v="Second Class"/>
    <x v="0"/>
    <s v="United States"/>
    <s v="Brownsville"/>
    <x v="5"/>
    <n v="78521"/>
    <x v="2"/>
    <x v="1"/>
    <x v="14"/>
    <n v="1.744"/>
    <n v="1"/>
    <n v="0.2"/>
    <n v="-0.3488"/>
  </r>
  <r>
    <s v="Standard Class"/>
    <x v="2"/>
    <s v="United States"/>
    <s v="Philadelphia"/>
    <x v="9"/>
    <n v="19143"/>
    <x v="3"/>
    <x v="1"/>
    <x v="8"/>
    <n v="25.175999999999998"/>
    <n v="4"/>
    <n v="0.7"/>
    <n v="-18.462399999999999"/>
  </r>
  <r>
    <s v="Standard Class"/>
    <x v="2"/>
    <s v="United States"/>
    <s v="Los Angeles"/>
    <x v="1"/>
    <n v="90008"/>
    <x v="1"/>
    <x v="1"/>
    <x v="6"/>
    <n v="19.46"/>
    <n v="7"/>
    <n v="0"/>
    <n v="5.0595999999999997"/>
  </r>
  <r>
    <s v="Standard Class"/>
    <x v="2"/>
    <s v="United States"/>
    <s v="Denver"/>
    <x v="22"/>
    <n v="80219"/>
    <x v="1"/>
    <x v="1"/>
    <x v="10"/>
    <n v="29.472000000000001"/>
    <n v="3"/>
    <n v="0.2"/>
    <n v="9.9467999999999996"/>
  </r>
  <r>
    <s v="Standard Class"/>
    <x v="0"/>
    <s v="United States"/>
    <s v="New York City"/>
    <x v="15"/>
    <n v="10035"/>
    <x v="3"/>
    <x v="1"/>
    <x v="8"/>
    <n v="8.64"/>
    <n v="2"/>
    <n v="0.2"/>
    <n v="3.024"/>
  </r>
  <r>
    <s v="Standard Class"/>
    <x v="0"/>
    <s v="United States"/>
    <s v="Mesa"/>
    <x v="16"/>
    <n v="85204"/>
    <x v="1"/>
    <x v="1"/>
    <x v="8"/>
    <n v="6.27"/>
    <n v="5"/>
    <n v="0.7"/>
    <n v="-4.5979999999999999"/>
  </r>
  <r>
    <s v="Standard Class"/>
    <x v="0"/>
    <s v="United States"/>
    <s v="Mesa"/>
    <x v="16"/>
    <n v="85204"/>
    <x v="1"/>
    <x v="1"/>
    <x v="8"/>
    <n v="4.3680000000000003"/>
    <n v="7"/>
    <n v="0.7"/>
    <n v="-3.3488000000000002"/>
  </r>
  <r>
    <s v="Standard Class"/>
    <x v="0"/>
    <s v="United States"/>
    <s v="Mesa"/>
    <x v="16"/>
    <n v="85204"/>
    <x v="1"/>
    <x v="2"/>
    <x v="11"/>
    <n v="31.984000000000002"/>
    <n v="2"/>
    <n v="0.2"/>
    <n v="1.9990000000000001"/>
  </r>
  <r>
    <s v="First Class"/>
    <x v="2"/>
    <s v="United States"/>
    <s v="Columbus"/>
    <x v="14"/>
    <n v="47201"/>
    <x v="2"/>
    <x v="1"/>
    <x v="6"/>
    <n v="40.880000000000003"/>
    <n v="7"/>
    <n v="0"/>
    <n v="10.6288"/>
  </r>
  <r>
    <s v="Second Class"/>
    <x v="0"/>
    <s v="United States"/>
    <s v="Seattle"/>
    <x v="4"/>
    <n v="98105"/>
    <x v="1"/>
    <x v="1"/>
    <x v="9"/>
    <n v="119.96"/>
    <n v="2"/>
    <n v="0"/>
    <n v="33.588799999999999"/>
  </r>
  <r>
    <s v="Second Class"/>
    <x v="0"/>
    <s v="United States"/>
    <s v="Seattle"/>
    <x v="4"/>
    <n v="98105"/>
    <x v="1"/>
    <x v="1"/>
    <x v="4"/>
    <n v="31.44"/>
    <n v="3"/>
    <n v="0"/>
    <n v="8.4887999999999995"/>
  </r>
  <r>
    <s v="Second Class"/>
    <x v="0"/>
    <s v="United States"/>
    <s v="Seattle"/>
    <x v="4"/>
    <n v="98105"/>
    <x v="1"/>
    <x v="1"/>
    <x v="8"/>
    <n v="6.88"/>
    <n v="1"/>
    <n v="0.2"/>
    <n v="2.3220000000000001"/>
  </r>
  <r>
    <s v="Standard Class"/>
    <x v="1"/>
    <s v="United States"/>
    <s v="Detroit"/>
    <x v="12"/>
    <n v="48227"/>
    <x v="2"/>
    <x v="1"/>
    <x v="10"/>
    <n v="19.920000000000002"/>
    <n v="4"/>
    <n v="0"/>
    <n v="9.3623999999999992"/>
  </r>
  <r>
    <s v="Standard Class"/>
    <x v="1"/>
    <s v="United States"/>
    <s v="Detroit"/>
    <x v="12"/>
    <n v="48227"/>
    <x v="2"/>
    <x v="0"/>
    <x v="1"/>
    <n v="1106.9100000000001"/>
    <n v="9"/>
    <n v="0"/>
    <n v="121.76009999999999"/>
  </r>
  <r>
    <s v="Standard Class"/>
    <x v="0"/>
    <s v="United States"/>
    <s v="Yonkers"/>
    <x v="15"/>
    <n v="10701"/>
    <x v="3"/>
    <x v="0"/>
    <x v="3"/>
    <n v="836.59199999999998"/>
    <n v="8"/>
    <n v="0.4"/>
    <n v="-264.92079999999999"/>
  </r>
  <r>
    <s v="Standard Class"/>
    <x v="0"/>
    <s v="United States"/>
    <s v="Yonkers"/>
    <x v="15"/>
    <n v="10701"/>
    <x v="3"/>
    <x v="1"/>
    <x v="10"/>
    <n v="26.38"/>
    <n v="1"/>
    <n v="0"/>
    <n v="12.1348"/>
  </r>
  <r>
    <s v="Standard Class"/>
    <x v="0"/>
    <s v="United States"/>
    <s v="Yonkers"/>
    <x v="15"/>
    <n v="10701"/>
    <x v="3"/>
    <x v="1"/>
    <x v="4"/>
    <n v="362.92"/>
    <n v="2"/>
    <n v="0"/>
    <n v="105.24679999999999"/>
  </r>
  <r>
    <s v="Standard Class"/>
    <x v="0"/>
    <s v="United States"/>
    <s v="Yonkers"/>
    <x v="15"/>
    <n v="10701"/>
    <x v="3"/>
    <x v="2"/>
    <x v="15"/>
    <n v="4899.93"/>
    <n v="7"/>
    <n v="0"/>
    <n v="2400.9657000000002"/>
  </r>
  <r>
    <s v="Same Day"/>
    <x v="0"/>
    <s v="United States"/>
    <s v="Des Moines"/>
    <x v="23"/>
    <n v="50315"/>
    <x v="2"/>
    <x v="1"/>
    <x v="10"/>
    <n v="6.48"/>
    <n v="1"/>
    <n v="0"/>
    <n v="3.1103999999999998"/>
  </r>
  <r>
    <s v="Second Class"/>
    <x v="1"/>
    <s v="United States"/>
    <s v="Oakland"/>
    <x v="1"/>
    <n v="94601"/>
    <x v="1"/>
    <x v="2"/>
    <x v="7"/>
    <n v="71.975999999999999"/>
    <n v="3"/>
    <n v="0.2"/>
    <n v="7.1976000000000004"/>
  </r>
  <r>
    <s v="Second Class"/>
    <x v="1"/>
    <s v="United States"/>
    <s v="Oakland"/>
    <x v="1"/>
    <n v="94601"/>
    <x v="1"/>
    <x v="1"/>
    <x v="2"/>
    <n v="3.15"/>
    <n v="1"/>
    <n v="0"/>
    <n v="1.512"/>
  </r>
  <r>
    <s v="Standard Class"/>
    <x v="1"/>
    <s v="United States"/>
    <s v="Monroe"/>
    <x v="3"/>
    <n v="28110"/>
    <x v="0"/>
    <x v="0"/>
    <x v="5"/>
    <n v="31.984000000000002"/>
    <n v="2"/>
    <n v="0.2"/>
    <n v="1.9990000000000001"/>
  </r>
  <r>
    <s v="Standard Class"/>
    <x v="1"/>
    <s v="United States"/>
    <s v="Monroe"/>
    <x v="3"/>
    <n v="28110"/>
    <x v="0"/>
    <x v="2"/>
    <x v="7"/>
    <n v="71.983999999999995"/>
    <n v="2"/>
    <n v="0.2"/>
    <n v="25.194400000000002"/>
  </r>
  <r>
    <s v="Standard Class"/>
    <x v="0"/>
    <s v="United States"/>
    <s v="San Diego"/>
    <x v="1"/>
    <n v="92105"/>
    <x v="1"/>
    <x v="1"/>
    <x v="6"/>
    <n v="120.15"/>
    <n v="9"/>
    <n v="0"/>
    <n v="33.642000000000003"/>
  </r>
  <r>
    <s v="Standard Class"/>
    <x v="0"/>
    <s v="United States"/>
    <s v="San Diego"/>
    <x v="1"/>
    <n v="92105"/>
    <x v="1"/>
    <x v="2"/>
    <x v="7"/>
    <n v="219.184"/>
    <n v="2"/>
    <n v="0.2"/>
    <n v="19.178599999999999"/>
  </r>
  <r>
    <s v="Standard Class"/>
    <x v="2"/>
    <s v="United States"/>
    <s v="Clinton"/>
    <x v="39"/>
    <n v="20735"/>
    <x v="3"/>
    <x v="1"/>
    <x v="10"/>
    <n v="28.9"/>
    <n v="5"/>
    <n v="0"/>
    <n v="14.161"/>
  </r>
  <r>
    <s v="Standard Class"/>
    <x v="2"/>
    <s v="United States"/>
    <s v="Clinton"/>
    <x v="39"/>
    <n v="20735"/>
    <x v="3"/>
    <x v="1"/>
    <x v="9"/>
    <n v="355.96"/>
    <n v="2"/>
    <n v="0"/>
    <n v="103.22839999999999"/>
  </r>
  <r>
    <s v="Standard Class"/>
    <x v="2"/>
    <s v="United States"/>
    <s v="Charlotte"/>
    <x v="3"/>
    <n v="28205"/>
    <x v="0"/>
    <x v="1"/>
    <x v="4"/>
    <n v="348.20800000000003"/>
    <n v="7"/>
    <n v="0.2"/>
    <n v="30.4682"/>
  </r>
  <r>
    <s v="Standard Class"/>
    <x v="2"/>
    <s v="United States"/>
    <s v="Charlotte"/>
    <x v="3"/>
    <n v="28205"/>
    <x v="0"/>
    <x v="1"/>
    <x v="8"/>
    <n v="35.783999999999999"/>
    <n v="7"/>
    <n v="0.7"/>
    <n v="-28.627199999999998"/>
  </r>
  <r>
    <s v="First Class"/>
    <x v="1"/>
    <s v="United States"/>
    <s v="Los Angeles"/>
    <x v="1"/>
    <n v="90049"/>
    <x v="1"/>
    <x v="0"/>
    <x v="3"/>
    <n v="447.84"/>
    <n v="5"/>
    <n v="0.2"/>
    <n v="11.196"/>
  </r>
  <r>
    <s v="First Class"/>
    <x v="2"/>
    <s v="United States"/>
    <s v="San Francisco"/>
    <x v="1"/>
    <n v="94122"/>
    <x v="1"/>
    <x v="1"/>
    <x v="6"/>
    <n v="7.04"/>
    <n v="4"/>
    <n v="0"/>
    <n v="2.0415999999999999"/>
  </r>
  <r>
    <s v="First Class"/>
    <x v="2"/>
    <s v="United States"/>
    <s v="San Francisco"/>
    <x v="1"/>
    <n v="94122"/>
    <x v="1"/>
    <x v="0"/>
    <x v="5"/>
    <n v="8.73"/>
    <n v="3"/>
    <n v="0"/>
    <n v="4.1031000000000004"/>
  </r>
  <r>
    <s v="First Class"/>
    <x v="2"/>
    <s v="United States"/>
    <s v="San Francisco"/>
    <x v="1"/>
    <n v="94122"/>
    <x v="1"/>
    <x v="2"/>
    <x v="11"/>
    <n v="29.29"/>
    <n v="1"/>
    <n v="0"/>
    <n v="9.6656999999999993"/>
  </r>
  <r>
    <s v="First Class"/>
    <x v="2"/>
    <s v="United States"/>
    <s v="San Francisco"/>
    <x v="1"/>
    <n v="94122"/>
    <x v="1"/>
    <x v="1"/>
    <x v="6"/>
    <n v="8.64"/>
    <n v="3"/>
    <n v="0"/>
    <n v="2.5055999999999998"/>
  </r>
  <r>
    <s v="Standard Class"/>
    <x v="0"/>
    <s v="United States"/>
    <s v="Houston"/>
    <x v="5"/>
    <n v="77041"/>
    <x v="2"/>
    <x v="1"/>
    <x v="8"/>
    <n v="2.694"/>
    <n v="3"/>
    <n v="0.8"/>
    <n v="-4.7145000000000001"/>
  </r>
  <r>
    <s v="Standard Class"/>
    <x v="0"/>
    <s v="United States"/>
    <s v="Houston"/>
    <x v="5"/>
    <n v="77041"/>
    <x v="2"/>
    <x v="1"/>
    <x v="8"/>
    <n v="2.9340000000000002"/>
    <n v="3"/>
    <n v="0.8"/>
    <n v="-4.9878"/>
  </r>
  <r>
    <s v="Standard Class"/>
    <x v="0"/>
    <s v="United States"/>
    <s v="Riverside"/>
    <x v="1"/>
    <n v="92503"/>
    <x v="1"/>
    <x v="1"/>
    <x v="10"/>
    <n v="22.92"/>
    <n v="3"/>
    <n v="0"/>
    <n v="11.2308"/>
  </r>
  <r>
    <s v="Standard Class"/>
    <x v="0"/>
    <s v="United States"/>
    <s v="Houston"/>
    <x v="5"/>
    <n v="77041"/>
    <x v="2"/>
    <x v="1"/>
    <x v="4"/>
    <n v="100.70399999999999"/>
    <n v="6"/>
    <n v="0.2"/>
    <n v="-16.3644"/>
  </r>
  <r>
    <s v="Standard Class"/>
    <x v="0"/>
    <s v="United States"/>
    <s v="Houston"/>
    <x v="5"/>
    <n v="77041"/>
    <x v="2"/>
    <x v="0"/>
    <x v="5"/>
    <n v="2.3279999999999998"/>
    <n v="2"/>
    <n v="0.6"/>
    <n v="-0.75660000000000005"/>
  </r>
  <r>
    <s v="Standard Class"/>
    <x v="0"/>
    <s v="United States"/>
    <s v="Houston"/>
    <x v="5"/>
    <n v="77041"/>
    <x v="2"/>
    <x v="1"/>
    <x v="8"/>
    <n v="10.78"/>
    <n v="5"/>
    <n v="0.8"/>
    <n v="-17.248000000000001"/>
  </r>
  <r>
    <s v="Standard Class"/>
    <x v="0"/>
    <s v="United States"/>
    <s v="Houston"/>
    <x v="5"/>
    <n v="77041"/>
    <x v="2"/>
    <x v="1"/>
    <x v="13"/>
    <n v="58.368000000000002"/>
    <n v="12"/>
    <n v="0.2"/>
    <n v="21.888000000000002"/>
  </r>
  <r>
    <s v="Standard Class"/>
    <x v="0"/>
    <s v="United States"/>
    <s v="Houston"/>
    <x v="5"/>
    <n v="77041"/>
    <x v="2"/>
    <x v="1"/>
    <x v="12"/>
    <n v="40.968000000000004"/>
    <n v="3"/>
    <n v="0.2"/>
    <n v="13.826700000000001"/>
  </r>
  <r>
    <s v="Standard Class"/>
    <x v="0"/>
    <s v="United States"/>
    <s v="Houston"/>
    <x v="5"/>
    <n v="77041"/>
    <x v="2"/>
    <x v="2"/>
    <x v="7"/>
    <n v="71.959999999999994"/>
    <n v="5"/>
    <n v="0.2"/>
    <n v="25.186"/>
  </r>
  <r>
    <s v="Standard Class"/>
    <x v="0"/>
    <s v="United States"/>
    <s v="Houston"/>
    <x v="5"/>
    <n v="77041"/>
    <x v="2"/>
    <x v="1"/>
    <x v="10"/>
    <n v="10.368"/>
    <n v="2"/>
    <n v="0.2"/>
    <n v="3.6288"/>
  </r>
  <r>
    <s v="Standard Class"/>
    <x v="0"/>
    <s v="United States"/>
    <s v="Houston"/>
    <x v="5"/>
    <n v="77041"/>
    <x v="2"/>
    <x v="1"/>
    <x v="8"/>
    <n v="1.1919999999999999"/>
    <n v="2"/>
    <n v="0.8"/>
    <n v="-2.0264000000000002"/>
  </r>
  <r>
    <s v="Second Class"/>
    <x v="0"/>
    <s v="United States"/>
    <s v="Encinitas"/>
    <x v="1"/>
    <n v="92024"/>
    <x v="1"/>
    <x v="1"/>
    <x v="8"/>
    <n v="46.671999999999997"/>
    <n v="2"/>
    <n v="0.2"/>
    <n v="16.3352"/>
  </r>
  <r>
    <s v="Second Class"/>
    <x v="0"/>
    <s v="United States"/>
    <s v="Encinitas"/>
    <x v="1"/>
    <n v="92024"/>
    <x v="1"/>
    <x v="0"/>
    <x v="0"/>
    <n v="119.833"/>
    <n v="1"/>
    <n v="0.15"/>
    <n v="-12.6882"/>
  </r>
  <r>
    <s v="Second Class"/>
    <x v="0"/>
    <s v="United States"/>
    <s v="Encinitas"/>
    <x v="1"/>
    <n v="92024"/>
    <x v="1"/>
    <x v="2"/>
    <x v="11"/>
    <n v="119.98"/>
    <n v="2"/>
    <n v="0"/>
    <n v="57.590400000000002"/>
  </r>
  <r>
    <s v="Second Class"/>
    <x v="1"/>
    <s v="United States"/>
    <s v="San Francisco"/>
    <x v="1"/>
    <n v="94110"/>
    <x v="1"/>
    <x v="1"/>
    <x v="2"/>
    <n v="6.3"/>
    <n v="2"/>
    <n v="0"/>
    <n v="3.024"/>
  </r>
  <r>
    <s v="Standard Class"/>
    <x v="0"/>
    <s v="United States"/>
    <s v="Roswell"/>
    <x v="32"/>
    <n v="30076"/>
    <x v="0"/>
    <x v="1"/>
    <x v="10"/>
    <n v="279.89999999999998"/>
    <n v="5"/>
    <n v="0"/>
    <n v="137.15100000000001"/>
  </r>
  <r>
    <s v="Standard Class"/>
    <x v="0"/>
    <s v="United States"/>
    <s v="Roswell"/>
    <x v="32"/>
    <n v="30076"/>
    <x v="0"/>
    <x v="2"/>
    <x v="11"/>
    <n v="619.95000000000005"/>
    <n v="5"/>
    <n v="0"/>
    <n v="111.59099999999999"/>
  </r>
  <r>
    <s v="Standard Class"/>
    <x v="0"/>
    <s v="United States"/>
    <s v="Roswell"/>
    <x v="32"/>
    <n v="30076"/>
    <x v="0"/>
    <x v="1"/>
    <x v="10"/>
    <n v="4.3600000000000003"/>
    <n v="2"/>
    <n v="0"/>
    <n v="2.0491999999999999"/>
  </r>
  <r>
    <s v="Standard Class"/>
    <x v="0"/>
    <s v="United States"/>
    <s v="Roswell"/>
    <x v="32"/>
    <n v="30076"/>
    <x v="0"/>
    <x v="1"/>
    <x v="12"/>
    <n v="15.28"/>
    <n v="2"/>
    <n v="0"/>
    <n v="7.4871999999999996"/>
  </r>
  <r>
    <s v="Standard Class"/>
    <x v="0"/>
    <s v="United States"/>
    <s v="Jonesboro"/>
    <x v="36"/>
    <n v="72401"/>
    <x v="0"/>
    <x v="2"/>
    <x v="7"/>
    <n v="699.93"/>
    <n v="7"/>
    <n v="0"/>
    <n v="181.98179999999999"/>
  </r>
  <r>
    <s v="Standard Class"/>
    <x v="0"/>
    <s v="United States"/>
    <s v="Jonesboro"/>
    <x v="36"/>
    <n v="72401"/>
    <x v="0"/>
    <x v="1"/>
    <x v="6"/>
    <n v="22.96"/>
    <n v="7"/>
    <n v="0"/>
    <n v="6.6584000000000003"/>
  </r>
  <r>
    <s v="Standard Class"/>
    <x v="0"/>
    <s v="United States"/>
    <s v="Jonesboro"/>
    <x v="36"/>
    <n v="72401"/>
    <x v="0"/>
    <x v="0"/>
    <x v="5"/>
    <n v="38.6"/>
    <n v="4"/>
    <n v="0"/>
    <n v="11.58"/>
  </r>
  <r>
    <s v="Standard Class"/>
    <x v="0"/>
    <s v="United States"/>
    <s v="Jonesboro"/>
    <x v="36"/>
    <n v="72401"/>
    <x v="0"/>
    <x v="1"/>
    <x v="6"/>
    <n v="6.63"/>
    <n v="3"/>
    <n v="0"/>
    <n v="1.7901"/>
  </r>
  <r>
    <s v="Standard Class"/>
    <x v="0"/>
    <s v="United States"/>
    <s v="Jonesboro"/>
    <x v="36"/>
    <n v="72401"/>
    <x v="0"/>
    <x v="1"/>
    <x v="12"/>
    <n v="23.34"/>
    <n v="3"/>
    <n v="0"/>
    <n v="10.969799999999999"/>
  </r>
  <r>
    <s v="Standard Class"/>
    <x v="0"/>
    <s v="United States"/>
    <s v="Jonesboro"/>
    <x v="36"/>
    <n v="72401"/>
    <x v="0"/>
    <x v="0"/>
    <x v="1"/>
    <n v="1067.94"/>
    <n v="3"/>
    <n v="0"/>
    <n v="224.26740000000001"/>
  </r>
  <r>
    <s v="Standard Class"/>
    <x v="2"/>
    <s v="United States"/>
    <s v="Richmond"/>
    <x v="14"/>
    <n v="47374"/>
    <x v="2"/>
    <x v="1"/>
    <x v="6"/>
    <n v="10.16"/>
    <n v="1"/>
    <n v="0"/>
    <n v="2.6415999999999999"/>
  </r>
  <r>
    <s v="Standard Class"/>
    <x v="2"/>
    <s v="United States"/>
    <s v="Richmond"/>
    <x v="14"/>
    <n v="47374"/>
    <x v="2"/>
    <x v="1"/>
    <x v="12"/>
    <n v="101.88"/>
    <n v="6"/>
    <n v="0"/>
    <n v="50.94"/>
  </r>
  <r>
    <s v="Standard Class"/>
    <x v="0"/>
    <s v="United States"/>
    <s v="Springfield"/>
    <x v="17"/>
    <n v="22153"/>
    <x v="0"/>
    <x v="0"/>
    <x v="3"/>
    <n v="343.92"/>
    <n v="4"/>
    <n v="0"/>
    <n v="75.662400000000005"/>
  </r>
  <r>
    <s v="Standard Class"/>
    <x v="0"/>
    <s v="United States"/>
    <s v="Springfield"/>
    <x v="17"/>
    <n v="22153"/>
    <x v="0"/>
    <x v="1"/>
    <x v="10"/>
    <n v="40.99"/>
    <n v="1"/>
    <n v="0"/>
    <n v="20.085100000000001"/>
  </r>
  <r>
    <s v="Standard Class"/>
    <x v="0"/>
    <s v="United States"/>
    <s v="Springfield"/>
    <x v="17"/>
    <n v="22153"/>
    <x v="0"/>
    <x v="1"/>
    <x v="12"/>
    <n v="63.9"/>
    <n v="5"/>
    <n v="0"/>
    <n v="28.754999999999999"/>
  </r>
  <r>
    <s v="First Class"/>
    <x v="1"/>
    <s v="United States"/>
    <s v="Antioch"/>
    <x v="1"/>
    <n v="94509"/>
    <x v="1"/>
    <x v="1"/>
    <x v="10"/>
    <n v="19.440000000000001"/>
    <n v="3"/>
    <n v="0"/>
    <n v="9.3312000000000008"/>
  </r>
  <r>
    <s v="Standard Class"/>
    <x v="2"/>
    <s v="United States"/>
    <s v="Philadelphia"/>
    <x v="9"/>
    <n v="19134"/>
    <x v="3"/>
    <x v="1"/>
    <x v="4"/>
    <n v="124.608"/>
    <n v="4"/>
    <n v="0.2"/>
    <n v="-23.364000000000001"/>
  </r>
  <r>
    <s v="Standard Class"/>
    <x v="2"/>
    <s v="United States"/>
    <s v="Philadelphia"/>
    <x v="9"/>
    <n v="19134"/>
    <x v="3"/>
    <x v="1"/>
    <x v="2"/>
    <n v="7.56"/>
    <n v="3"/>
    <n v="0.2"/>
    <n v="2.6459999999999999"/>
  </r>
  <r>
    <s v="Same Day"/>
    <x v="0"/>
    <s v="United States"/>
    <s v="Homestead"/>
    <x v="2"/>
    <n v="33030"/>
    <x v="0"/>
    <x v="1"/>
    <x v="4"/>
    <n v="85.224000000000004"/>
    <n v="3"/>
    <n v="0.2"/>
    <n v="7.4570999999999996"/>
  </r>
  <r>
    <s v="Second Class"/>
    <x v="1"/>
    <s v="United States"/>
    <s v="La Porte"/>
    <x v="14"/>
    <n v="46350"/>
    <x v="2"/>
    <x v="1"/>
    <x v="12"/>
    <n v="287.52"/>
    <n v="8"/>
    <n v="0"/>
    <n v="129.38399999999999"/>
  </r>
  <r>
    <s v="Second Class"/>
    <x v="1"/>
    <s v="United States"/>
    <s v="La Porte"/>
    <x v="14"/>
    <n v="46350"/>
    <x v="2"/>
    <x v="1"/>
    <x v="9"/>
    <n v="37.68"/>
    <n v="2"/>
    <n v="0"/>
    <n v="10.5504"/>
  </r>
  <r>
    <s v="Second Class"/>
    <x v="1"/>
    <s v="United States"/>
    <s v="La Porte"/>
    <x v="14"/>
    <n v="46350"/>
    <x v="2"/>
    <x v="1"/>
    <x v="10"/>
    <n v="19.98"/>
    <n v="2"/>
    <n v="0"/>
    <n v="8.9909999999999997"/>
  </r>
  <r>
    <s v="Second Class"/>
    <x v="1"/>
    <s v="United States"/>
    <s v="La Porte"/>
    <x v="14"/>
    <n v="46350"/>
    <x v="2"/>
    <x v="1"/>
    <x v="6"/>
    <n v="20.58"/>
    <n v="7"/>
    <n v="0"/>
    <n v="5.5566000000000004"/>
  </r>
  <r>
    <s v="Second Class"/>
    <x v="1"/>
    <s v="United States"/>
    <s v="La Porte"/>
    <x v="14"/>
    <n v="46350"/>
    <x v="2"/>
    <x v="1"/>
    <x v="8"/>
    <n v="17.38"/>
    <n v="2"/>
    <n v="0"/>
    <n v="8.69"/>
  </r>
  <r>
    <s v="Standard Class"/>
    <x v="0"/>
    <s v="United States"/>
    <s v="Los Angeles"/>
    <x v="1"/>
    <n v="90045"/>
    <x v="1"/>
    <x v="0"/>
    <x v="5"/>
    <n v="204.6"/>
    <n v="2"/>
    <n v="0"/>
    <n v="53.195999999999998"/>
  </r>
  <r>
    <s v="Standard Class"/>
    <x v="0"/>
    <s v="United States"/>
    <s v="Los Angeles"/>
    <x v="1"/>
    <n v="90045"/>
    <x v="1"/>
    <x v="1"/>
    <x v="13"/>
    <n v="8.7200000000000006"/>
    <n v="4"/>
    <n v="0"/>
    <n v="2.8776000000000002"/>
  </r>
  <r>
    <s v="Standard Class"/>
    <x v="0"/>
    <s v="United States"/>
    <s v="Los Angeles"/>
    <x v="1"/>
    <n v="90045"/>
    <x v="1"/>
    <x v="1"/>
    <x v="10"/>
    <n v="6.48"/>
    <n v="1"/>
    <n v="0"/>
    <n v="3.1103999999999998"/>
  </r>
  <r>
    <s v="Standard Class"/>
    <x v="0"/>
    <s v="United States"/>
    <s v="Los Angeles"/>
    <x v="1"/>
    <n v="90045"/>
    <x v="1"/>
    <x v="2"/>
    <x v="15"/>
    <n v="686.32"/>
    <n v="2"/>
    <n v="0.2"/>
    <n v="223.054"/>
  </r>
  <r>
    <s v="Standard Class"/>
    <x v="0"/>
    <s v="United States"/>
    <s v="Los Angeles"/>
    <x v="1"/>
    <n v="90045"/>
    <x v="1"/>
    <x v="1"/>
    <x v="4"/>
    <n v="62.18"/>
    <n v="1"/>
    <n v="0"/>
    <n v="16.788599999999999"/>
  </r>
  <r>
    <s v="Same Day"/>
    <x v="0"/>
    <s v="United States"/>
    <s v="Lansing"/>
    <x v="12"/>
    <n v="48911"/>
    <x v="2"/>
    <x v="1"/>
    <x v="9"/>
    <n v="644.07600000000002"/>
    <n v="2"/>
    <n v="0.1"/>
    <n v="107.346"/>
  </r>
  <r>
    <s v="Same Day"/>
    <x v="0"/>
    <s v="United States"/>
    <s v="Lansing"/>
    <x v="12"/>
    <n v="48911"/>
    <x v="2"/>
    <x v="1"/>
    <x v="13"/>
    <n v="5.84"/>
    <n v="2"/>
    <n v="0"/>
    <n v="2.6280000000000001"/>
  </r>
  <r>
    <s v="Same Day"/>
    <x v="0"/>
    <s v="United States"/>
    <s v="Lansing"/>
    <x v="12"/>
    <n v="48911"/>
    <x v="2"/>
    <x v="1"/>
    <x v="8"/>
    <n v="12.76"/>
    <n v="2"/>
    <n v="0"/>
    <n v="5.8696000000000002"/>
  </r>
  <r>
    <s v="Same Day"/>
    <x v="0"/>
    <s v="United States"/>
    <s v="Lansing"/>
    <x v="12"/>
    <n v="48911"/>
    <x v="2"/>
    <x v="2"/>
    <x v="7"/>
    <n v="10.95"/>
    <n v="1"/>
    <n v="0"/>
    <n v="0.438"/>
  </r>
  <r>
    <s v="Same Day"/>
    <x v="0"/>
    <s v="United States"/>
    <s v="Lansing"/>
    <x v="12"/>
    <n v="48911"/>
    <x v="2"/>
    <x v="2"/>
    <x v="16"/>
    <n v="599.98"/>
    <n v="2"/>
    <n v="0"/>
    <n v="209.99299999999999"/>
  </r>
  <r>
    <s v="Standard Class"/>
    <x v="1"/>
    <s v="United States"/>
    <s v="Cuyahoga Falls"/>
    <x v="24"/>
    <n v="44221"/>
    <x v="3"/>
    <x v="0"/>
    <x v="5"/>
    <n v="8.3520000000000003"/>
    <n v="6"/>
    <n v="0.2"/>
    <n v="1.2527999999999999"/>
  </r>
  <r>
    <s v="Standard Class"/>
    <x v="1"/>
    <s v="United States"/>
    <s v="Reno"/>
    <x v="33"/>
    <n v="89502"/>
    <x v="1"/>
    <x v="1"/>
    <x v="6"/>
    <n v="3.64"/>
    <n v="2"/>
    <n v="0"/>
    <n v="1.6379999999999999"/>
  </r>
  <r>
    <s v="Standard Class"/>
    <x v="1"/>
    <s v="United States"/>
    <s v="Reno"/>
    <x v="33"/>
    <n v="89502"/>
    <x v="1"/>
    <x v="1"/>
    <x v="8"/>
    <n v="159.768"/>
    <n v="7"/>
    <n v="0.2"/>
    <n v="53.921700000000001"/>
  </r>
  <r>
    <s v="First Class"/>
    <x v="2"/>
    <s v="United States"/>
    <s v="Harrisonburg"/>
    <x v="17"/>
    <n v="22801"/>
    <x v="0"/>
    <x v="1"/>
    <x v="4"/>
    <n v="122.48"/>
    <n v="2"/>
    <n v="0"/>
    <n v="0"/>
  </r>
  <r>
    <s v="First Class"/>
    <x v="2"/>
    <s v="United States"/>
    <s v="Harrisonburg"/>
    <x v="17"/>
    <n v="22801"/>
    <x v="0"/>
    <x v="0"/>
    <x v="3"/>
    <n v="2244.48"/>
    <n v="7"/>
    <n v="0"/>
    <n v="493.78559999999999"/>
  </r>
  <r>
    <s v="First Class"/>
    <x v="2"/>
    <s v="United States"/>
    <s v="Harrisonburg"/>
    <x v="17"/>
    <n v="22801"/>
    <x v="0"/>
    <x v="1"/>
    <x v="8"/>
    <n v="62.31"/>
    <n v="3"/>
    <n v="0"/>
    <n v="29.285699999999999"/>
  </r>
  <r>
    <s v="First Class"/>
    <x v="2"/>
    <s v="United States"/>
    <s v="Harrisonburg"/>
    <x v="17"/>
    <n v="22801"/>
    <x v="0"/>
    <x v="0"/>
    <x v="3"/>
    <n v="455.1"/>
    <n v="2"/>
    <n v="0"/>
    <n v="100.122"/>
  </r>
  <r>
    <s v="Second Class"/>
    <x v="1"/>
    <s v="United States"/>
    <s v="Los Angeles"/>
    <x v="1"/>
    <n v="90004"/>
    <x v="1"/>
    <x v="0"/>
    <x v="1"/>
    <n v="195.184"/>
    <n v="1"/>
    <n v="0.2"/>
    <n v="19.5184"/>
  </r>
  <r>
    <s v="Standard Class"/>
    <x v="0"/>
    <s v="United States"/>
    <s v="Minneapolis"/>
    <x v="11"/>
    <n v="55407"/>
    <x v="2"/>
    <x v="1"/>
    <x v="9"/>
    <n v="362.94"/>
    <n v="3"/>
    <n v="0"/>
    <n v="90.734999999999999"/>
  </r>
  <r>
    <s v="Standard Class"/>
    <x v="0"/>
    <s v="United States"/>
    <s v="Minneapolis"/>
    <x v="11"/>
    <n v="55407"/>
    <x v="2"/>
    <x v="1"/>
    <x v="8"/>
    <n v="11.54"/>
    <n v="2"/>
    <n v="0"/>
    <n v="5.77"/>
  </r>
  <r>
    <s v="Second Class"/>
    <x v="0"/>
    <s v="United States"/>
    <s v="Escondido"/>
    <x v="1"/>
    <n v="92025"/>
    <x v="1"/>
    <x v="1"/>
    <x v="6"/>
    <n v="53.94"/>
    <n v="3"/>
    <n v="0"/>
    <n v="15.6426"/>
  </r>
  <r>
    <s v="Standard Class"/>
    <x v="2"/>
    <s v="United States"/>
    <s v="New York City"/>
    <x v="15"/>
    <n v="10035"/>
    <x v="3"/>
    <x v="2"/>
    <x v="7"/>
    <n v="9.99"/>
    <n v="1"/>
    <n v="0"/>
    <n v="4.5953999999999997"/>
  </r>
  <r>
    <s v="Standard Class"/>
    <x v="2"/>
    <s v="United States"/>
    <s v="New York City"/>
    <x v="15"/>
    <n v="10035"/>
    <x v="3"/>
    <x v="1"/>
    <x v="8"/>
    <n v="125.76"/>
    <n v="3"/>
    <n v="0.2"/>
    <n v="40.872"/>
  </r>
  <r>
    <s v="Standard Class"/>
    <x v="2"/>
    <s v="United States"/>
    <s v="New York City"/>
    <x v="15"/>
    <n v="10035"/>
    <x v="3"/>
    <x v="1"/>
    <x v="8"/>
    <n v="25.32"/>
    <n v="5"/>
    <n v="0.2"/>
    <n v="9.1784999999999997"/>
  </r>
  <r>
    <s v="Standard Class"/>
    <x v="0"/>
    <s v="United States"/>
    <s v="Jackson"/>
    <x v="12"/>
    <n v="49201"/>
    <x v="2"/>
    <x v="1"/>
    <x v="8"/>
    <n v="46.8"/>
    <n v="4"/>
    <n v="0"/>
    <n v="21.06"/>
  </r>
  <r>
    <s v="Same Day"/>
    <x v="0"/>
    <s v="United States"/>
    <s v="Seattle"/>
    <x v="4"/>
    <n v="98115"/>
    <x v="1"/>
    <x v="2"/>
    <x v="11"/>
    <n v="447.93"/>
    <n v="9"/>
    <n v="0"/>
    <n v="49.272300000000001"/>
  </r>
  <r>
    <s v="Second Class"/>
    <x v="0"/>
    <s v="United States"/>
    <s v="New York City"/>
    <x v="15"/>
    <n v="10035"/>
    <x v="3"/>
    <x v="0"/>
    <x v="5"/>
    <n v="109.48"/>
    <n v="2"/>
    <n v="0"/>
    <n v="33.938800000000001"/>
  </r>
  <r>
    <s v="Second Class"/>
    <x v="0"/>
    <s v="United States"/>
    <s v="New York City"/>
    <x v="15"/>
    <n v="10035"/>
    <x v="3"/>
    <x v="1"/>
    <x v="4"/>
    <n v="272.94"/>
    <n v="3"/>
    <n v="0"/>
    <n v="0"/>
  </r>
  <r>
    <s v="Second Class"/>
    <x v="0"/>
    <s v="United States"/>
    <s v="New York City"/>
    <x v="15"/>
    <n v="10035"/>
    <x v="3"/>
    <x v="1"/>
    <x v="10"/>
    <n v="19.440000000000001"/>
    <n v="3"/>
    <n v="0"/>
    <n v="9.3312000000000008"/>
  </r>
  <r>
    <s v="Second Class"/>
    <x v="0"/>
    <s v="United States"/>
    <s v="New York City"/>
    <x v="15"/>
    <n v="10035"/>
    <x v="3"/>
    <x v="1"/>
    <x v="4"/>
    <n v="31.92"/>
    <n v="4"/>
    <n v="0"/>
    <n v="8.2992000000000008"/>
  </r>
  <r>
    <s v="Standard Class"/>
    <x v="0"/>
    <s v="United States"/>
    <s v="Royal Oak"/>
    <x v="12"/>
    <n v="48073"/>
    <x v="2"/>
    <x v="1"/>
    <x v="10"/>
    <n v="22.38"/>
    <n v="2"/>
    <n v="0"/>
    <n v="10.7424"/>
  </r>
  <r>
    <s v="Standard Class"/>
    <x v="0"/>
    <s v="United States"/>
    <s v="Los Angeles"/>
    <x v="1"/>
    <n v="90008"/>
    <x v="1"/>
    <x v="1"/>
    <x v="8"/>
    <n v="16.52"/>
    <n v="5"/>
    <n v="0.2"/>
    <n v="5.5754999999999999"/>
  </r>
  <r>
    <s v="Standard Class"/>
    <x v="0"/>
    <s v="United States"/>
    <s v="Bloomington"/>
    <x v="10"/>
    <n v="61701"/>
    <x v="2"/>
    <x v="1"/>
    <x v="8"/>
    <n v="5.1760000000000002"/>
    <n v="4"/>
    <n v="0.8"/>
    <n v="-7.7640000000000002"/>
  </r>
  <r>
    <s v="First Class"/>
    <x v="1"/>
    <s v="United States"/>
    <s v="New York City"/>
    <x v="15"/>
    <n v="10035"/>
    <x v="3"/>
    <x v="1"/>
    <x v="8"/>
    <n v="50.112000000000002"/>
    <n v="6"/>
    <n v="0.2"/>
    <n v="16.2864"/>
  </r>
  <r>
    <s v="Standard Class"/>
    <x v="2"/>
    <s v="United States"/>
    <s v="Concord"/>
    <x v="38"/>
    <n v="3301"/>
    <x v="3"/>
    <x v="1"/>
    <x v="14"/>
    <n v="27.93"/>
    <n v="3"/>
    <n v="0"/>
    <n v="8.0997000000000003"/>
  </r>
  <r>
    <s v="Second Class"/>
    <x v="2"/>
    <s v="United States"/>
    <s v="Los Angeles"/>
    <x v="1"/>
    <n v="90004"/>
    <x v="1"/>
    <x v="1"/>
    <x v="2"/>
    <n v="11.56"/>
    <n v="4"/>
    <n v="0"/>
    <n v="5.4332000000000003"/>
  </r>
  <r>
    <s v="Standard Class"/>
    <x v="0"/>
    <s v="United States"/>
    <s v="Rockville"/>
    <x v="39"/>
    <n v="20852"/>
    <x v="3"/>
    <x v="0"/>
    <x v="1"/>
    <n v="172.5"/>
    <n v="2"/>
    <n v="0"/>
    <n v="51.75"/>
  </r>
  <r>
    <s v="Standard Class"/>
    <x v="0"/>
    <s v="United States"/>
    <s v="Rockville"/>
    <x v="39"/>
    <n v="20852"/>
    <x v="3"/>
    <x v="2"/>
    <x v="7"/>
    <n v="179.97"/>
    <n v="3"/>
    <n v="0"/>
    <n v="44.9925"/>
  </r>
  <r>
    <s v="Second Class"/>
    <x v="2"/>
    <s v="United States"/>
    <s v="Houston"/>
    <x v="5"/>
    <n v="77070"/>
    <x v="2"/>
    <x v="2"/>
    <x v="11"/>
    <n v="258.69600000000003"/>
    <n v="3"/>
    <n v="0.2"/>
    <n v="64.674000000000007"/>
  </r>
  <r>
    <s v="Standard Class"/>
    <x v="0"/>
    <s v="United States"/>
    <s v="Lakewood"/>
    <x v="30"/>
    <n v="8701"/>
    <x v="3"/>
    <x v="2"/>
    <x v="7"/>
    <n v="1322.93"/>
    <n v="7"/>
    <n v="0"/>
    <n v="357.19110000000001"/>
  </r>
  <r>
    <s v="Standard Class"/>
    <x v="0"/>
    <s v="United States"/>
    <s v="Lakewood"/>
    <x v="30"/>
    <n v="8701"/>
    <x v="3"/>
    <x v="1"/>
    <x v="6"/>
    <n v="3.76"/>
    <n v="2"/>
    <n v="0"/>
    <n v="1.0904"/>
  </r>
  <r>
    <s v="First Class"/>
    <x v="0"/>
    <s v="United States"/>
    <s v="Jacksonville"/>
    <x v="3"/>
    <n v="28540"/>
    <x v="0"/>
    <x v="1"/>
    <x v="12"/>
    <n v="21.744"/>
    <n v="1"/>
    <n v="0.2"/>
    <n v="7.3385999999999996"/>
  </r>
  <r>
    <s v="First Class"/>
    <x v="0"/>
    <s v="United States"/>
    <s v="Jacksonville"/>
    <x v="3"/>
    <n v="28540"/>
    <x v="0"/>
    <x v="2"/>
    <x v="7"/>
    <n v="7.92"/>
    <n v="5"/>
    <n v="0.2"/>
    <n v="0.69299999999999995"/>
  </r>
  <r>
    <s v="Standard Class"/>
    <x v="1"/>
    <s v="United States"/>
    <s v="Seattle"/>
    <x v="4"/>
    <n v="98103"/>
    <x v="1"/>
    <x v="1"/>
    <x v="8"/>
    <n v="12.096"/>
    <n v="7"/>
    <n v="0.2"/>
    <n v="4.2336"/>
  </r>
  <r>
    <s v="Standard Class"/>
    <x v="1"/>
    <s v="United States"/>
    <s v="Seattle"/>
    <x v="4"/>
    <n v="98103"/>
    <x v="1"/>
    <x v="1"/>
    <x v="4"/>
    <n v="485.88"/>
    <n v="6"/>
    <n v="0"/>
    <n v="9.7175999999999991"/>
  </r>
  <r>
    <s v="Standard Class"/>
    <x v="1"/>
    <s v="United States"/>
    <s v="Seattle"/>
    <x v="4"/>
    <n v="98103"/>
    <x v="1"/>
    <x v="1"/>
    <x v="10"/>
    <n v="25.92"/>
    <n v="4"/>
    <n v="0"/>
    <n v="12.441599999999999"/>
  </r>
  <r>
    <s v="Standard Class"/>
    <x v="1"/>
    <s v="United States"/>
    <s v="Seattle"/>
    <x v="4"/>
    <n v="98103"/>
    <x v="1"/>
    <x v="1"/>
    <x v="4"/>
    <n v="197.58"/>
    <n v="2"/>
    <n v="0"/>
    <n v="53.346600000000002"/>
  </r>
  <r>
    <s v="Second Class"/>
    <x v="2"/>
    <s v="United States"/>
    <s v="Los Angeles"/>
    <x v="1"/>
    <n v="90036"/>
    <x v="1"/>
    <x v="1"/>
    <x v="9"/>
    <n v="81.92"/>
    <n v="4"/>
    <n v="0"/>
    <n v="22.118400000000001"/>
  </r>
  <r>
    <s v="Second Class"/>
    <x v="2"/>
    <s v="United States"/>
    <s v="Los Angeles"/>
    <x v="1"/>
    <n v="90036"/>
    <x v="1"/>
    <x v="2"/>
    <x v="7"/>
    <n v="889.53599999999994"/>
    <n v="8"/>
    <n v="0.2"/>
    <n v="66.715199999999996"/>
  </r>
  <r>
    <s v="Second Class"/>
    <x v="2"/>
    <s v="United States"/>
    <s v="Los Angeles"/>
    <x v="1"/>
    <n v="90036"/>
    <x v="1"/>
    <x v="0"/>
    <x v="1"/>
    <n v="892.22400000000005"/>
    <n v="3"/>
    <n v="0.2"/>
    <n v="89.222399999999993"/>
  </r>
  <r>
    <s v="Second Class"/>
    <x v="2"/>
    <s v="United States"/>
    <s v="Los Angeles"/>
    <x v="1"/>
    <n v="90036"/>
    <x v="1"/>
    <x v="1"/>
    <x v="10"/>
    <n v="223.92"/>
    <n v="4"/>
    <n v="0"/>
    <n v="109.7208"/>
  </r>
  <r>
    <s v="Second Class"/>
    <x v="2"/>
    <s v="United States"/>
    <s v="Los Angeles"/>
    <x v="1"/>
    <n v="90036"/>
    <x v="1"/>
    <x v="1"/>
    <x v="10"/>
    <n v="23.12"/>
    <n v="4"/>
    <n v="0"/>
    <n v="11.328799999999999"/>
  </r>
  <r>
    <s v="Same Day"/>
    <x v="1"/>
    <s v="United States"/>
    <s v="Coral Springs"/>
    <x v="2"/>
    <n v="33065"/>
    <x v="0"/>
    <x v="1"/>
    <x v="10"/>
    <n v="15.552"/>
    <n v="3"/>
    <n v="0.2"/>
    <n v="5.4432"/>
  </r>
  <r>
    <s v="Same Day"/>
    <x v="1"/>
    <s v="United States"/>
    <s v="Coral Springs"/>
    <x v="2"/>
    <n v="33065"/>
    <x v="0"/>
    <x v="0"/>
    <x v="5"/>
    <n v="15.712"/>
    <n v="4"/>
    <n v="0.2"/>
    <n v="2.5531999999999999"/>
  </r>
  <r>
    <s v="Same Day"/>
    <x v="1"/>
    <s v="United States"/>
    <s v="Coral Springs"/>
    <x v="2"/>
    <n v="33065"/>
    <x v="0"/>
    <x v="1"/>
    <x v="4"/>
    <n v="24.672000000000001"/>
    <n v="2"/>
    <n v="0.2"/>
    <n v="2.1587999999999998"/>
  </r>
  <r>
    <s v="Same Day"/>
    <x v="1"/>
    <s v="United States"/>
    <s v="Coral Springs"/>
    <x v="2"/>
    <n v="33065"/>
    <x v="0"/>
    <x v="0"/>
    <x v="5"/>
    <n v="55.968000000000004"/>
    <n v="1"/>
    <n v="0.2"/>
    <n v="-2.0988000000000002"/>
  </r>
  <r>
    <s v="Standard Class"/>
    <x v="0"/>
    <s v="United States"/>
    <s v="Houston"/>
    <x v="5"/>
    <n v="77041"/>
    <x v="2"/>
    <x v="2"/>
    <x v="11"/>
    <n v="431.928"/>
    <n v="9"/>
    <n v="0.2"/>
    <n v="64.789199999999994"/>
  </r>
  <r>
    <s v="Standard Class"/>
    <x v="0"/>
    <s v="United States"/>
    <s v="Houston"/>
    <x v="5"/>
    <n v="77041"/>
    <x v="2"/>
    <x v="0"/>
    <x v="1"/>
    <n v="95.983999999999995"/>
    <n v="4"/>
    <n v="0.3"/>
    <n v="-4.1135999999999999"/>
  </r>
  <r>
    <s v="Standard Class"/>
    <x v="0"/>
    <s v="United States"/>
    <s v="Houston"/>
    <x v="5"/>
    <n v="77041"/>
    <x v="2"/>
    <x v="1"/>
    <x v="8"/>
    <n v="1088.7919999999999"/>
    <n v="4"/>
    <n v="0.8"/>
    <n v="-1850.9464"/>
  </r>
  <r>
    <s v="Standard Class"/>
    <x v="1"/>
    <s v="United States"/>
    <s v="Denver"/>
    <x v="22"/>
    <n v="80219"/>
    <x v="1"/>
    <x v="0"/>
    <x v="1"/>
    <n v="544.00800000000004"/>
    <n v="3"/>
    <n v="0.2"/>
    <n v="40.800600000000003"/>
  </r>
  <r>
    <s v="Standard Class"/>
    <x v="1"/>
    <s v="United States"/>
    <s v="Denver"/>
    <x v="22"/>
    <n v="80219"/>
    <x v="1"/>
    <x v="1"/>
    <x v="8"/>
    <n v="1.8720000000000001"/>
    <n v="3"/>
    <n v="0.7"/>
    <n v="-1.4352"/>
  </r>
  <r>
    <s v="Standard Class"/>
    <x v="1"/>
    <s v="United States"/>
    <s v="Denver"/>
    <x v="22"/>
    <n v="80219"/>
    <x v="1"/>
    <x v="0"/>
    <x v="1"/>
    <n v="854.35199999999998"/>
    <n v="3"/>
    <n v="0.2"/>
    <n v="10.679399999999999"/>
  </r>
  <r>
    <s v="Standard Class"/>
    <x v="1"/>
    <s v="United States"/>
    <s v="Denver"/>
    <x v="22"/>
    <n v="80219"/>
    <x v="1"/>
    <x v="1"/>
    <x v="4"/>
    <n v="593.56799999999998"/>
    <n v="2"/>
    <n v="0.2"/>
    <n v="0"/>
  </r>
  <r>
    <s v="Standard Class"/>
    <x v="1"/>
    <s v="United States"/>
    <s v="Denver"/>
    <x v="22"/>
    <n v="80219"/>
    <x v="1"/>
    <x v="1"/>
    <x v="4"/>
    <n v="338.04"/>
    <n v="3"/>
    <n v="0.2"/>
    <n v="-33.804000000000002"/>
  </r>
  <r>
    <s v="First Class"/>
    <x v="0"/>
    <s v="United States"/>
    <s v="Charlotte"/>
    <x v="3"/>
    <n v="28205"/>
    <x v="0"/>
    <x v="2"/>
    <x v="7"/>
    <n v="271.95999999999998"/>
    <n v="5"/>
    <n v="0.2"/>
    <n v="16.997499999999999"/>
  </r>
  <r>
    <s v="Second Class"/>
    <x v="1"/>
    <s v="United States"/>
    <s v="New York City"/>
    <x v="15"/>
    <n v="10009"/>
    <x v="3"/>
    <x v="1"/>
    <x v="4"/>
    <n v="11.21"/>
    <n v="1"/>
    <n v="0"/>
    <n v="3.363"/>
  </r>
  <r>
    <s v="Second Class"/>
    <x v="1"/>
    <s v="United States"/>
    <s v="New York City"/>
    <x v="15"/>
    <n v="10009"/>
    <x v="3"/>
    <x v="1"/>
    <x v="8"/>
    <n v="9.1440000000000001"/>
    <n v="3"/>
    <n v="0.2"/>
    <n v="3.2004000000000001"/>
  </r>
  <r>
    <s v="Second Class"/>
    <x v="1"/>
    <s v="United States"/>
    <s v="New York City"/>
    <x v="15"/>
    <n v="10009"/>
    <x v="3"/>
    <x v="1"/>
    <x v="13"/>
    <n v="14.07"/>
    <n v="7"/>
    <n v="0"/>
    <n v="6.8943000000000003"/>
  </r>
  <r>
    <s v="Second Class"/>
    <x v="1"/>
    <s v="United States"/>
    <s v="New York City"/>
    <x v="15"/>
    <n v="10009"/>
    <x v="3"/>
    <x v="1"/>
    <x v="6"/>
    <n v="41.86"/>
    <n v="7"/>
    <n v="0"/>
    <n v="10.465"/>
  </r>
  <r>
    <s v="Second Class"/>
    <x v="1"/>
    <s v="United States"/>
    <s v="New York City"/>
    <x v="15"/>
    <n v="10009"/>
    <x v="3"/>
    <x v="1"/>
    <x v="8"/>
    <n v="8.5440000000000005"/>
    <n v="2"/>
    <n v="0.2"/>
    <n v="2.8835999999999999"/>
  </r>
  <r>
    <s v="Second Class"/>
    <x v="1"/>
    <s v="United States"/>
    <s v="New York City"/>
    <x v="15"/>
    <n v="10009"/>
    <x v="3"/>
    <x v="0"/>
    <x v="0"/>
    <n v="579.13599999999997"/>
    <n v="4"/>
    <n v="0.2"/>
    <n v="21.717600000000001"/>
  </r>
  <r>
    <s v="Standard Class"/>
    <x v="1"/>
    <s v="United States"/>
    <s v="Philadelphia"/>
    <x v="9"/>
    <n v="19134"/>
    <x v="3"/>
    <x v="0"/>
    <x v="1"/>
    <n v="141.37200000000001"/>
    <n v="2"/>
    <n v="0.3"/>
    <n v="-48.470399999999998"/>
  </r>
  <r>
    <s v="Standard Class"/>
    <x v="1"/>
    <s v="United States"/>
    <s v="Philadelphia"/>
    <x v="9"/>
    <n v="19134"/>
    <x v="3"/>
    <x v="1"/>
    <x v="8"/>
    <n v="3.036"/>
    <n v="2"/>
    <n v="0.7"/>
    <n v="-2.3275999999999999"/>
  </r>
  <r>
    <s v="Standard Class"/>
    <x v="1"/>
    <s v="United States"/>
    <s v="Philadelphia"/>
    <x v="9"/>
    <n v="19134"/>
    <x v="3"/>
    <x v="1"/>
    <x v="8"/>
    <n v="4.5030000000000001"/>
    <n v="1"/>
    <n v="0.7"/>
    <n v="-3.6023999999999998"/>
  </r>
  <r>
    <s v="Standard Class"/>
    <x v="1"/>
    <s v="United States"/>
    <s v="Philadelphia"/>
    <x v="9"/>
    <n v="19134"/>
    <x v="3"/>
    <x v="1"/>
    <x v="6"/>
    <n v="4.6719999999999997"/>
    <n v="1"/>
    <n v="0.2"/>
    <n v="1.5768"/>
  </r>
  <r>
    <s v="Standard Class"/>
    <x v="1"/>
    <s v="United States"/>
    <s v="Philadelphia"/>
    <x v="9"/>
    <n v="19134"/>
    <x v="3"/>
    <x v="2"/>
    <x v="11"/>
    <n v="95.88"/>
    <n v="3"/>
    <n v="0.2"/>
    <n v="28.763999999999999"/>
  </r>
  <r>
    <s v="Standard Class"/>
    <x v="1"/>
    <s v="United States"/>
    <s v="Philadelphia"/>
    <x v="9"/>
    <n v="19134"/>
    <x v="3"/>
    <x v="0"/>
    <x v="5"/>
    <n v="17.024000000000001"/>
    <n v="2"/>
    <n v="0.2"/>
    <n v="1.7023999999999999"/>
  </r>
  <r>
    <s v="Standard Class"/>
    <x v="1"/>
    <s v="United States"/>
    <s v="Philadelphia"/>
    <x v="9"/>
    <n v="19134"/>
    <x v="3"/>
    <x v="2"/>
    <x v="11"/>
    <n v="258.69600000000003"/>
    <n v="3"/>
    <n v="0.2"/>
    <n v="64.674000000000007"/>
  </r>
  <r>
    <s v="Standard Class"/>
    <x v="1"/>
    <s v="United States"/>
    <s v="Philadelphia"/>
    <x v="9"/>
    <n v="19134"/>
    <x v="3"/>
    <x v="2"/>
    <x v="7"/>
    <n v="1931.9580000000001"/>
    <n v="7"/>
    <n v="0.4"/>
    <n v="-386.39159999999998"/>
  </r>
  <r>
    <s v="Standard Class"/>
    <x v="2"/>
    <s v="United States"/>
    <s v="Los Angeles"/>
    <x v="1"/>
    <n v="90036"/>
    <x v="1"/>
    <x v="1"/>
    <x v="4"/>
    <n v="249.75"/>
    <n v="9"/>
    <n v="0"/>
    <n v="44.954999999999998"/>
  </r>
  <r>
    <s v="Standard Class"/>
    <x v="2"/>
    <s v="United States"/>
    <s v="Los Angeles"/>
    <x v="1"/>
    <n v="90036"/>
    <x v="1"/>
    <x v="2"/>
    <x v="7"/>
    <n v="255.93600000000001"/>
    <n v="8"/>
    <n v="0.2"/>
    <n v="28.7928"/>
  </r>
  <r>
    <s v="First Class"/>
    <x v="0"/>
    <s v="United States"/>
    <s v="New York City"/>
    <x v="15"/>
    <n v="10024"/>
    <x v="3"/>
    <x v="0"/>
    <x v="5"/>
    <n v="113.79"/>
    <n v="3"/>
    <n v="0"/>
    <n v="20.482199999999999"/>
  </r>
  <r>
    <s v="First Class"/>
    <x v="0"/>
    <s v="United States"/>
    <s v="New York City"/>
    <x v="15"/>
    <n v="10024"/>
    <x v="3"/>
    <x v="2"/>
    <x v="11"/>
    <n v="78.150000000000006"/>
    <n v="1"/>
    <n v="0"/>
    <n v="34.386000000000003"/>
  </r>
  <r>
    <s v="First Class"/>
    <x v="0"/>
    <s v="United States"/>
    <s v="New York City"/>
    <x v="15"/>
    <n v="10024"/>
    <x v="3"/>
    <x v="1"/>
    <x v="8"/>
    <n v="1.728"/>
    <n v="1"/>
    <n v="0.2"/>
    <n v="0.6048"/>
  </r>
  <r>
    <s v="First Class"/>
    <x v="0"/>
    <s v="United States"/>
    <s v="New York City"/>
    <x v="15"/>
    <n v="10024"/>
    <x v="3"/>
    <x v="1"/>
    <x v="10"/>
    <n v="40.56"/>
    <n v="4"/>
    <n v="0"/>
    <n v="19.874400000000001"/>
  </r>
  <r>
    <s v="First Class"/>
    <x v="0"/>
    <s v="United States"/>
    <s v="New York City"/>
    <x v="15"/>
    <n v="10024"/>
    <x v="3"/>
    <x v="1"/>
    <x v="4"/>
    <n v="182.94"/>
    <n v="3"/>
    <n v="0"/>
    <n v="3.6587999999999998"/>
  </r>
  <r>
    <s v="First Class"/>
    <x v="0"/>
    <s v="United States"/>
    <s v="New York City"/>
    <x v="15"/>
    <n v="10024"/>
    <x v="3"/>
    <x v="1"/>
    <x v="4"/>
    <n v="193.86"/>
    <n v="2"/>
    <n v="0"/>
    <n v="11.631600000000001"/>
  </r>
  <r>
    <s v="Standard Class"/>
    <x v="0"/>
    <s v="United States"/>
    <s v="Los Angeles"/>
    <x v="1"/>
    <n v="90045"/>
    <x v="1"/>
    <x v="1"/>
    <x v="12"/>
    <n v="15.28"/>
    <n v="2"/>
    <n v="0"/>
    <n v="7.4871999999999996"/>
  </r>
  <r>
    <s v="Standard Class"/>
    <x v="0"/>
    <s v="United States"/>
    <s v="Los Angeles"/>
    <x v="1"/>
    <n v="90045"/>
    <x v="1"/>
    <x v="0"/>
    <x v="5"/>
    <n v="8.73"/>
    <n v="1"/>
    <n v="0"/>
    <n v="2.9681999999999999"/>
  </r>
  <r>
    <s v="Standard Class"/>
    <x v="0"/>
    <s v="United States"/>
    <s v="Los Angeles"/>
    <x v="1"/>
    <n v="90045"/>
    <x v="1"/>
    <x v="1"/>
    <x v="6"/>
    <n v="5.68"/>
    <n v="2"/>
    <n v="0"/>
    <n v="1.7607999999999999"/>
  </r>
  <r>
    <s v="Second Class"/>
    <x v="0"/>
    <s v="United States"/>
    <s v="Buffalo"/>
    <x v="15"/>
    <n v="14215"/>
    <x v="3"/>
    <x v="1"/>
    <x v="6"/>
    <n v="2.78"/>
    <n v="2"/>
    <n v="0"/>
    <n v="0.7228"/>
  </r>
  <r>
    <s v="Second Class"/>
    <x v="0"/>
    <s v="United States"/>
    <s v="Buffalo"/>
    <x v="15"/>
    <n v="14215"/>
    <x v="3"/>
    <x v="1"/>
    <x v="12"/>
    <n v="79.959999999999994"/>
    <n v="2"/>
    <n v="0"/>
    <n v="35.981999999999999"/>
  </r>
  <r>
    <s v="First Class"/>
    <x v="1"/>
    <s v="United States"/>
    <s v="Cincinnati"/>
    <x v="24"/>
    <n v="45231"/>
    <x v="3"/>
    <x v="2"/>
    <x v="16"/>
    <n v="839.98800000000006"/>
    <n v="2"/>
    <n v="0.4"/>
    <n v="69.998999999999995"/>
  </r>
  <r>
    <s v="Same Day"/>
    <x v="0"/>
    <s v="United States"/>
    <s v="Boynton Beach"/>
    <x v="2"/>
    <n v="33437"/>
    <x v="0"/>
    <x v="0"/>
    <x v="5"/>
    <n v="47.951999999999998"/>
    <n v="3"/>
    <n v="0.2"/>
    <n v="13.786199999999999"/>
  </r>
  <r>
    <s v="Same Day"/>
    <x v="0"/>
    <s v="United States"/>
    <s v="Boynton Beach"/>
    <x v="2"/>
    <n v="33437"/>
    <x v="0"/>
    <x v="1"/>
    <x v="8"/>
    <n v="37.424999999999997"/>
    <n v="5"/>
    <n v="0.7"/>
    <n v="-29.94"/>
  </r>
  <r>
    <s v="Same Day"/>
    <x v="0"/>
    <s v="United States"/>
    <s v="Boynton Beach"/>
    <x v="2"/>
    <n v="33437"/>
    <x v="0"/>
    <x v="0"/>
    <x v="5"/>
    <n v="63.968000000000004"/>
    <n v="2"/>
    <n v="0.2"/>
    <n v="0"/>
  </r>
  <r>
    <s v="Same Day"/>
    <x v="0"/>
    <s v="United States"/>
    <s v="Boynton Beach"/>
    <x v="2"/>
    <n v="33437"/>
    <x v="0"/>
    <x v="0"/>
    <x v="5"/>
    <n v="165.048"/>
    <n v="3"/>
    <n v="0.2"/>
    <n v="41.262"/>
  </r>
  <r>
    <s v="Standard Class"/>
    <x v="0"/>
    <s v="United States"/>
    <s v="Seattle"/>
    <x v="4"/>
    <n v="98105"/>
    <x v="1"/>
    <x v="0"/>
    <x v="5"/>
    <n v="12.35"/>
    <n v="1"/>
    <n v="0"/>
    <n v="5.4340000000000002"/>
  </r>
  <r>
    <s v="Standard Class"/>
    <x v="0"/>
    <s v="United States"/>
    <s v="Seattle"/>
    <x v="4"/>
    <n v="98105"/>
    <x v="1"/>
    <x v="1"/>
    <x v="6"/>
    <n v="40.97"/>
    <n v="1"/>
    <n v="0"/>
    <n v="10.652200000000001"/>
  </r>
  <r>
    <s v="Standard Class"/>
    <x v="0"/>
    <s v="United States"/>
    <s v="Seattle"/>
    <x v="4"/>
    <n v="98105"/>
    <x v="1"/>
    <x v="1"/>
    <x v="13"/>
    <n v="22.96"/>
    <n v="2"/>
    <n v="0"/>
    <n v="10.7912"/>
  </r>
  <r>
    <s v="Standard Class"/>
    <x v="2"/>
    <s v="United States"/>
    <s v="New York City"/>
    <x v="15"/>
    <n v="10024"/>
    <x v="3"/>
    <x v="2"/>
    <x v="7"/>
    <n v="22"/>
    <n v="4"/>
    <n v="0"/>
    <n v="5.5"/>
  </r>
  <r>
    <s v="Standard Class"/>
    <x v="0"/>
    <s v="United States"/>
    <s v="New York City"/>
    <x v="15"/>
    <n v="10009"/>
    <x v="3"/>
    <x v="1"/>
    <x v="8"/>
    <n v="398.35199999999998"/>
    <n v="3"/>
    <n v="0.2"/>
    <n v="124.485"/>
  </r>
  <r>
    <s v="Standard Class"/>
    <x v="0"/>
    <s v="United States"/>
    <s v="New York City"/>
    <x v="15"/>
    <n v="10009"/>
    <x v="3"/>
    <x v="1"/>
    <x v="13"/>
    <n v="8.7200000000000006"/>
    <n v="4"/>
    <n v="0"/>
    <n v="3.5752000000000002"/>
  </r>
  <r>
    <s v="Standard Class"/>
    <x v="0"/>
    <s v="United States"/>
    <s v="Gulfport"/>
    <x v="35"/>
    <n v="39503"/>
    <x v="0"/>
    <x v="1"/>
    <x v="12"/>
    <n v="48.69"/>
    <n v="9"/>
    <n v="0"/>
    <n v="23.8581"/>
  </r>
  <r>
    <s v="Second Class"/>
    <x v="0"/>
    <s v="United States"/>
    <s v="Fresno"/>
    <x v="1"/>
    <n v="93727"/>
    <x v="1"/>
    <x v="0"/>
    <x v="3"/>
    <n v="764.68799999999999"/>
    <n v="6"/>
    <n v="0.2"/>
    <n v="95.585999999999999"/>
  </r>
  <r>
    <s v="Second Class"/>
    <x v="0"/>
    <s v="United States"/>
    <s v="Fresno"/>
    <x v="1"/>
    <n v="93727"/>
    <x v="1"/>
    <x v="0"/>
    <x v="3"/>
    <n v="3610.848"/>
    <n v="12"/>
    <n v="0.2"/>
    <n v="135.4068"/>
  </r>
  <r>
    <s v="Second Class"/>
    <x v="0"/>
    <s v="United States"/>
    <s v="Fresno"/>
    <x v="1"/>
    <n v="93727"/>
    <x v="1"/>
    <x v="0"/>
    <x v="0"/>
    <n v="254.97450000000001"/>
    <n v="3"/>
    <n v="0.15"/>
    <n v="11.998799999999999"/>
  </r>
  <r>
    <s v="Standard Class"/>
    <x v="0"/>
    <s v="United States"/>
    <s v="New York City"/>
    <x v="15"/>
    <n v="10009"/>
    <x v="3"/>
    <x v="1"/>
    <x v="6"/>
    <n v="38.82"/>
    <n v="6"/>
    <n v="0"/>
    <n v="17.469000000000001"/>
  </r>
  <r>
    <s v="Standard Class"/>
    <x v="0"/>
    <s v="United States"/>
    <s v="New York City"/>
    <x v="15"/>
    <n v="10009"/>
    <x v="3"/>
    <x v="0"/>
    <x v="1"/>
    <n v="1141.9380000000001"/>
    <n v="9"/>
    <n v="0.1"/>
    <n v="139.5702"/>
  </r>
  <r>
    <s v="Standard Class"/>
    <x v="0"/>
    <s v="United States"/>
    <s v="New York City"/>
    <x v="15"/>
    <n v="10009"/>
    <x v="3"/>
    <x v="1"/>
    <x v="9"/>
    <n v="1704.56"/>
    <n v="13"/>
    <n v="0"/>
    <n v="511.36799999999999"/>
  </r>
  <r>
    <s v="Standard Class"/>
    <x v="0"/>
    <s v="United States"/>
    <s v="New York City"/>
    <x v="15"/>
    <n v="10009"/>
    <x v="3"/>
    <x v="1"/>
    <x v="6"/>
    <n v="3.2"/>
    <n v="2"/>
    <n v="0"/>
    <n v="1.3759999999999999"/>
  </r>
  <r>
    <s v="Standard Class"/>
    <x v="0"/>
    <s v="United States"/>
    <s v="Milwaukee"/>
    <x v="6"/>
    <n v="53209"/>
    <x v="2"/>
    <x v="2"/>
    <x v="7"/>
    <n v="1099.96"/>
    <n v="4"/>
    <n v="0"/>
    <n v="285.9896"/>
  </r>
  <r>
    <s v="Standard Class"/>
    <x v="2"/>
    <s v="United States"/>
    <s v="Chester"/>
    <x v="9"/>
    <n v="19013"/>
    <x v="3"/>
    <x v="1"/>
    <x v="6"/>
    <n v="5.2480000000000002"/>
    <n v="2"/>
    <n v="0.2"/>
    <n v="0.59040000000000004"/>
  </r>
  <r>
    <s v="Standard Class"/>
    <x v="2"/>
    <s v="United States"/>
    <s v="Chester"/>
    <x v="9"/>
    <n v="19013"/>
    <x v="3"/>
    <x v="2"/>
    <x v="7"/>
    <n v="35.909999999999997"/>
    <n v="3"/>
    <n v="0.4"/>
    <n v="-8.3789999999999996"/>
  </r>
  <r>
    <s v="Standard Class"/>
    <x v="2"/>
    <s v="United States"/>
    <s v="Chester"/>
    <x v="9"/>
    <n v="19013"/>
    <x v="3"/>
    <x v="0"/>
    <x v="5"/>
    <n v="6.6959999999999997"/>
    <n v="1"/>
    <n v="0.2"/>
    <n v="0.50219999999999998"/>
  </r>
  <r>
    <s v="Standard Class"/>
    <x v="2"/>
    <s v="United States"/>
    <s v="Chester"/>
    <x v="9"/>
    <n v="19013"/>
    <x v="3"/>
    <x v="0"/>
    <x v="5"/>
    <n v="43.872"/>
    <n v="2"/>
    <n v="0.2"/>
    <n v="11.516400000000001"/>
  </r>
  <r>
    <s v="Second Class"/>
    <x v="2"/>
    <s v="United States"/>
    <s v="Charlotte"/>
    <x v="3"/>
    <n v="28205"/>
    <x v="0"/>
    <x v="1"/>
    <x v="8"/>
    <n v="27.882000000000001"/>
    <n v="3"/>
    <n v="0.7"/>
    <n v="-20.4468"/>
  </r>
  <r>
    <s v="Second Class"/>
    <x v="2"/>
    <s v="United States"/>
    <s v="Charlotte"/>
    <x v="3"/>
    <n v="28205"/>
    <x v="0"/>
    <x v="1"/>
    <x v="4"/>
    <n v="540.048"/>
    <n v="3"/>
    <n v="0.2"/>
    <n v="-47.254199999999997"/>
  </r>
  <r>
    <s v="Second Class"/>
    <x v="2"/>
    <s v="United States"/>
    <s v="Charlotte"/>
    <x v="3"/>
    <n v="28205"/>
    <x v="0"/>
    <x v="2"/>
    <x v="11"/>
    <n v="255.68"/>
    <n v="8"/>
    <n v="0.2"/>
    <n v="76.703999999999994"/>
  </r>
  <r>
    <s v="Standard Class"/>
    <x v="0"/>
    <s v="United States"/>
    <s v="Jacksonville"/>
    <x v="2"/>
    <n v="32216"/>
    <x v="0"/>
    <x v="2"/>
    <x v="7"/>
    <n v="863.88"/>
    <n v="3"/>
    <n v="0.2"/>
    <n v="107.985"/>
  </r>
  <r>
    <s v="Standard Class"/>
    <x v="1"/>
    <s v="United States"/>
    <s v="Greenville"/>
    <x v="3"/>
    <n v="27834"/>
    <x v="0"/>
    <x v="1"/>
    <x v="8"/>
    <n v="17.616"/>
    <n v="4"/>
    <n v="0.7"/>
    <n v="-14.0928"/>
  </r>
  <r>
    <s v="Second Class"/>
    <x v="0"/>
    <s v="United States"/>
    <s v="Long Beach"/>
    <x v="15"/>
    <n v="11561"/>
    <x v="3"/>
    <x v="1"/>
    <x v="8"/>
    <n v="17.472000000000001"/>
    <n v="3"/>
    <n v="0.2"/>
    <n v="6.3335999999999997"/>
  </r>
  <r>
    <s v="First Class"/>
    <x v="0"/>
    <s v="United States"/>
    <s v="La Porte"/>
    <x v="14"/>
    <n v="46350"/>
    <x v="2"/>
    <x v="2"/>
    <x v="7"/>
    <n v="69.900000000000006"/>
    <n v="2"/>
    <n v="0"/>
    <n v="18.873000000000001"/>
  </r>
  <r>
    <s v="First Class"/>
    <x v="0"/>
    <s v="United States"/>
    <s v="La Porte"/>
    <x v="14"/>
    <n v="46350"/>
    <x v="2"/>
    <x v="0"/>
    <x v="5"/>
    <n v="41.85"/>
    <n v="5"/>
    <n v="0"/>
    <n v="10.881"/>
  </r>
  <r>
    <s v="Standard Class"/>
    <x v="0"/>
    <s v="United States"/>
    <s v="San Francisco"/>
    <x v="1"/>
    <n v="94122"/>
    <x v="1"/>
    <x v="1"/>
    <x v="6"/>
    <n v="6.57"/>
    <n v="3"/>
    <n v="0"/>
    <n v="1.7739"/>
  </r>
  <r>
    <s v="Standard Class"/>
    <x v="1"/>
    <s v="United States"/>
    <s v="Los Angeles"/>
    <x v="1"/>
    <n v="90045"/>
    <x v="1"/>
    <x v="1"/>
    <x v="4"/>
    <n v="142.86000000000001"/>
    <n v="1"/>
    <n v="0"/>
    <n v="41.429400000000001"/>
  </r>
  <r>
    <s v="Standard Class"/>
    <x v="1"/>
    <s v="United States"/>
    <s v="Los Angeles"/>
    <x v="1"/>
    <n v="90045"/>
    <x v="1"/>
    <x v="0"/>
    <x v="1"/>
    <n v="292.27199999999999"/>
    <n v="6"/>
    <n v="0.2"/>
    <n v="18.266999999999999"/>
  </r>
  <r>
    <s v="Standard Class"/>
    <x v="1"/>
    <s v="United States"/>
    <s v="Louisville"/>
    <x v="22"/>
    <n v="80027"/>
    <x v="1"/>
    <x v="0"/>
    <x v="5"/>
    <n v="29.327999999999999"/>
    <n v="3"/>
    <n v="0.2"/>
    <n v="3.6659999999999999"/>
  </r>
  <r>
    <s v="Standard Class"/>
    <x v="0"/>
    <s v="United States"/>
    <s v="Florence"/>
    <x v="19"/>
    <n v="35630"/>
    <x v="0"/>
    <x v="1"/>
    <x v="10"/>
    <n v="12.48"/>
    <n v="2"/>
    <n v="0"/>
    <n v="5.6159999999999997"/>
  </r>
  <r>
    <s v="Standard Class"/>
    <x v="1"/>
    <s v="United States"/>
    <s v="Chicago"/>
    <x v="10"/>
    <n v="60623"/>
    <x v="2"/>
    <x v="1"/>
    <x v="4"/>
    <n v="102.336"/>
    <n v="4"/>
    <n v="0.2"/>
    <n v="-12.792"/>
  </r>
  <r>
    <s v="Standard Class"/>
    <x v="1"/>
    <s v="United States"/>
    <s v="Chicago"/>
    <x v="10"/>
    <n v="60623"/>
    <x v="2"/>
    <x v="1"/>
    <x v="9"/>
    <n v="48.792000000000002"/>
    <n v="3"/>
    <n v="0.8"/>
    <n v="-126.8592"/>
  </r>
  <r>
    <s v="Standard Class"/>
    <x v="1"/>
    <s v="United States"/>
    <s v="Chicago"/>
    <x v="10"/>
    <n v="60623"/>
    <x v="2"/>
    <x v="1"/>
    <x v="8"/>
    <n v="44.847999999999999"/>
    <n v="8"/>
    <n v="0.8"/>
    <n v="-67.272000000000006"/>
  </r>
  <r>
    <s v="Same Day"/>
    <x v="0"/>
    <s v="United States"/>
    <s v="Fort Worth"/>
    <x v="5"/>
    <n v="76106"/>
    <x v="2"/>
    <x v="1"/>
    <x v="10"/>
    <n v="10.368"/>
    <n v="2"/>
    <n v="0.2"/>
    <n v="3.6288"/>
  </r>
  <r>
    <s v="Same Day"/>
    <x v="0"/>
    <s v="United States"/>
    <s v="Fort Worth"/>
    <x v="5"/>
    <n v="76106"/>
    <x v="2"/>
    <x v="0"/>
    <x v="1"/>
    <n v="388.43"/>
    <n v="5"/>
    <n v="0.3"/>
    <n v="-88.784000000000006"/>
  </r>
  <r>
    <s v="Same Day"/>
    <x v="0"/>
    <s v="United States"/>
    <s v="Fort Worth"/>
    <x v="5"/>
    <n v="76106"/>
    <x v="2"/>
    <x v="1"/>
    <x v="10"/>
    <n v="14.352"/>
    <n v="3"/>
    <n v="0.2"/>
    <n v="5.2026000000000003"/>
  </r>
  <r>
    <s v="Same Day"/>
    <x v="0"/>
    <s v="United States"/>
    <s v="Fort Worth"/>
    <x v="5"/>
    <n v="76106"/>
    <x v="2"/>
    <x v="2"/>
    <x v="11"/>
    <n v="63.991999999999997"/>
    <n v="1"/>
    <n v="0.2"/>
    <n v="-7.1990999999999996"/>
  </r>
  <r>
    <s v="Standard Class"/>
    <x v="0"/>
    <s v="United States"/>
    <s v="Houston"/>
    <x v="5"/>
    <n v="77070"/>
    <x v="2"/>
    <x v="1"/>
    <x v="6"/>
    <n v="86.352000000000004"/>
    <n v="3"/>
    <n v="0.2"/>
    <n v="5.3970000000000002"/>
  </r>
  <r>
    <s v="First Class"/>
    <x v="1"/>
    <s v="United States"/>
    <s v="Macon"/>
    <x v="32"/>
    <n v="31204"/>
    <x v="0"/>
    <x v="2"/>
    <x v="11"/>
    <n v="32.97"/>
    <n v="3"/>
    <n v="0"/>
    <n v="12.8583"/>
  </r>
  <r>
    <s v="First Class"/>
    <x v="1"/>
    <s v="United States"/>
    <s v="Macon"/>
    <x v="32"/>
    <n v="31204"/>
    <x v="0"/>
    <x v="2"/>
    <x v="11"/>
    <n v="83.88"/>
    <n v="4"/>
    <n v="0"/>
    <n v="30.1968"/>
  </r>
  <r>
    <s v="First Class"/>
    <x v="0"/>
    <s v="United States"/>
    <s v="Cedar Rapids"/>
    <x v="23"/>
    <n v="52402"/>
    <x v="2"/>
    <x v="2"/>
    <x v="7"/>
    <n v="278.39999999999998"/>
    <n v="3"/>
    <n v="0"/>
    <n v="80.736000000000004"/>
  </r>
  <r>
    <s v="First Class"/>
    <x v="0"/>
    <s v="United States"/>
    <s v="Jacksonville"/>
    <x v="2"/>
    <n v="32216"/>
    <x v="0"/>
    <x v="1"/>
    <x v="2"/>
    <n v="15.12"/>
    <n v="3"/>
    <n v="0.2"/>
    <n v="4.9139999999999997"/>
  </r>
  <r>
    <s v="First Class"/>
    <x v="0"/>
    <s v="United States"/>
    <s v="Jacksonville"/>
    <x v="2"/>
    <n v="32216"/>
    <x v="0"/>
    <x v="1"/>
    <x v="8"/>
    <n v="17.43"/>
    <n v="1"/>
    <n v="0.7"/>
    <n v="-13.363"/>
  </r>
  <r>
    <s v="First Class"/>
    <x v="0"/>
    <s v="United States"/>
    <s v="Jacksonville"/>
    <x v="2"/>
    <n v="32216"/>
    <x v="0"/>
    <x v="1"/>
    <x v="10"/>
    <n v="251.64"/>
    <n v="3"/>
    <n v="0.2"/>
    <n v="88.073999999999998"/>
  </r>
  <r>
    <s v="Standard Class"/>
    <x v="0"/>
    <s v="United States"/>
    <s v="Austin"/>
    <x v="5"/>
    <n v="78745"/>
    <x v="2"/>
    <x v="1"/>
    <x v="8"/>
    <n v="2.7719999999999998"/>
    <n v="7"/>
    <n v="0.8"/>
    <n v="-4.851"/>
  </r>
  <r>
    <s v="Standard Class"/>
    <x v="0"/>
    <s v="United States"/>
    <s v="Providence"/>
    <x v="34"/>
    <n v="2908"/>
    <x v="3"/>
    <x v="1"/>
    <x v="4"/>
    <n v="14.9"/>
    <n v="5"/>
    <n v="0"/>
    <n v="1.0429999999999999"/>
  </r>
  <r>
    <s v="Standard Class"/>
    <x v="2"/>
    <s v="United States"/>
    <s v="New York City"/>
    <x v="15"/>
    <n v="10035"/>
    <x v="3"/>
    <x v="1"/>
    <x v="6"/>
    <n v="15.48"/>
    <n v="3"/>
    <n v="0"/>
    <n v="4.4892000000000003"/>
  </r>
  <r>
    <s v="Standard Class"/>
    <x v="1"/>
    <s v="United States"/>
    <s v="New York City"/>
    <x v="15"/>
    <n v="10009"/>
    <x v="3"/>
    <x v="0"/>
    <x v="5"/>
    <n v="39.880000000000003"/>
    <n v="2"/>
    <n v="0"/>
    <n v="11.166399999999999"/>
  </r>
  <r>
    <s v="Standard Class"/>
    <x v="1"/>
    <s v="United States"/>
    <s v="New York City"/>
    <x v="15"/>
    <n v="10009"/>
    <x v="3"/>
    <x v="1"/>
    <x v="8"/>
    <n v="12.192"/>
    <n v="4"/>
    <n v="0.2"/>
    <n v="4.1147999999999998"/>
  </r>
  <r>
    <s v="Standard Class"/>
    <x v="1"/>
    <s v="United States"/>
    <s v="New York City"/>
    <x v="15"/>
    <n v="10009"/>
    <x v="3"/>
    <x v="1"/>
    <x v="6"/>
    <n v="20.82"/>
    <n v="3"/>
    <n v="0"/>
    <n v="7.4951999999999996"/>
  </r>
  <r>
    <s v="First Class"/>
    <x v="2"/>
    <s v="United States"/>
    <s v="San Francisco"/>
    <x v="1"/>
    <n v="94122"/>
    <x v="1"/>
    <x v="1"/>
    <x v="8"/>
    <n v="13.215999999999999"/>
    <n v="4"/>
    <n v="0.2"/>
    <n v="4.4603999999999999"/>
  </r>
  <r>
    <s v="First Class"/>
    <x v="2"/>
    <s v="United States"/>
    <s v="San Francisco"/>
    <x v="1"/>
    <n v="94122"/>
    <x v="1"/>
    <x v="1"/>
    <x v="10"/>
    <n v="32.4"/>
    <n v="5"/>
    <n v="0"/>
    <n v="15.552"/>
  </r>
  <r>
    <s v="Standard Class"/>
    <x v="0"/>
    <s v="United States"/>
    <s v="San Diego"/>
    <x v="1"/>
    <n v="92105"/>
    <x v="1"/>
    <x v="1"/>
    <x v="14"/>
    <n v="32.94"/>
    <n v="3"/>
    <n v="0"/>
    <n v="9.2232000000000003"/>
  </r>
  <r>
    <s v="Standard Class"/>
    <x v="0"/>
    <s v="United States"/>
    <s v="San Diego"/>
    <x v="1"/>
    <n v="92105"/>
    <x v="1"/>
    <x v="1"/>
    <x v="10"/>
    <n v="114.2"/>
    <n v="5"/>
    <n v="0"/>
    <n v="52.531999999999996"/>
  </r>
  <r>
    <s v="Standard Class"/>
    <x v="0"/>
    <s v="United States"/>
    <s v="San Diego"/>
    <x v="1"/>
    <n v="92105"/>
    <x v="1"/>
    <x v="1"/>
    <x v="2"/>
    <n v="3.08"/>
    <n v="1"/>
    <n v="0"/>
    <n v="1.4783999999999999"/>
  </r>
  <r>
    <s v="Standard Class"/>
    <x v="0"/>
    <s v="United States"/>
    <s v="Pueblo"/>
    <x v="22"/>
    <n v="81001"/>
    <x v="1"/>
    <x v="1"/>
    <x v="9"/>
    <n v="845.72799999999995"/>
    <n v="13"/>
    <n v="0.2"/>
    <n v="84.572800000000001"/>
  </r>
  <r>
    <s v="Standard Class"/>
    <x v="1"/>
    <s v="United States"/>
    <s v="Fairfield"/>
    <x v="1"/>
    <n v="94533"/>
    <x v="1"/>
    <x v="1"/>
    <x v="8"/>
    <n v="13.904"/>
    <n v="2"/>
    <n v="0.2"/>
    <n v="4.5187999999999997"/>
  </r>
  <r>
    <s v="Standard Class"/>
    <x v="1"/>
    <s v="United States"/>
    <s v="Fairfield"/>
    <x v="1"/>
    <n v="94533"/>
    <x v="1"/>
    <x v="1"/>
    <x v="8"/>
    <n v="20.72"/>
    <n v="2"/>
    <n v="0.2"/>
    <n v="6.4749999999999996"/>
  </r>
  <r>
    <s v="Second Class"/>
    <x v="1"/>
    <s v="United States"/>
    <s v="Saint Paul"/>
    <x v="11"/>
    <n v="55106"/>
    <x v="2"/>
    <x v="2"/>
    <x v="7"/>
    <n v="114.95"/>
    <n v="5"/>
    <n v="0"/>
    <n v="2.2989999999999999"/>
  </r>
  <r>
    <s v="First Class"/>
    <x v="0"/>
    <s v="United States"/>
    <s v="San Francisco"/>
    <x v="1"/>
    <n v="94109"/>
    <x v="1"/>
    <x v="1"/>
    <x v="4"/>
    <n v="26.96"/>
    <n v="2"/>
    <n v="0"/>
    <n v="7.0095999999999998"/>
  </r>
  <r>
    <s v="Second Class"/>
    <x v="0"/>
    <s v="United States"/>
    <s v="Springfield"/>
    <x v="17"/>
    <n v="22153"/>
    <x v="0"/>
    <x v="0"/>
    <x v="5"/>
    <n v="572.76"/>
    <n v="6"/>
    <n v="0"/>
    <n v="166.10040000000001"/>
  </r>
  <r>
    <s v="Second Class"/>
    <x v="0"/>
    <s v="United States"/>
    <s v="Springfield"/>
    <x v="17"/>
    <n v="22153"/>
    <x v="0"/>
    <x v="0"/>
    <x v="5"/>
    <n v="286.38"/>
    <n v="3"/>
    <n v="0"/>
    <n v="83.050200000000004"/>
  </r>
  <r>
    <s v="Second Class"/>
    <x v="2"/>
    <s v="United States"/>
    <s v="Arlington"/>
    <x v="17"/>
    <n v="22204"/>
    <x v="0"/>
    <x v="0"/>
    <x v="0"/>
    <n v="61.96"/>
    <n v="2"/>
    <n v="0"/>
    <n v="4.3372000000000002"/>
  </r>
  <r>
    <s v="Standard Class"/>
    <x v="0"/>
    <s v="United States"/>
    <s v="Columbus"/>
    <x v="32"/>
    <n v="31907"/>
    <x v="0"/>
    <x v="0"/>
    <x v="5"/>
    <n v="23.99"/>
    <n v="1"/>
    <n v="0"/>
    <n v="5.5176999999999996"/>
  </r>
  <r>
    <s v="Standard Class"/>
    <x v="0"/>
    <s v="United States"/>
    <s v="Columbus"/>
    <x v="32"/>
    <n v="31907"/>
    <x v="0"/>
    <x v="2"/>
    <x v="7"/>
    <n v="287.97000000000003"/>
    <n v="3"/>
    <n v="0"/>
    <n v="77.751900000000006"/>
  </r>
  <r>
    <s v="Second Class"/>
    <x v="0"/>
    <s v="United States"/>
    <s v="Houston"/>
    <x v="5"/>
    <n v="77036"/>
    <x v="2"/>
    <x v="2"/>
    <x v="7"/>
    <n v="419.94400000000002"/>
    <n v="7"/>
    <n v="0.2"/>
    <n v="52.493000000000002"/>
  </r>
  <r>
    <s v="First Class"/>
    <x v="0"/>
    <s v="United States"/>
    <s v="Pasadena"/>
    <x v="1"/>
    <n v="91104"/>
    <x v="1"/>
    <x v="1"/>
    <x v="10"/>
    <n v="46.76"/>
    <n v="7"/>
    <n v="0"/>
    <n v="22.444800000000001"/>
  </r>
  <r>
    <s v="First Class"/>
    <x v="0"/>
    <s v="United States"/>
    <s v="Pasadena"/>
    <x v="1"/>
    <n v="91104"/>
    <x v="1"/>
    <x v="1"/>
    <x v="8"/>
    <n v="17.712"/>
    <n v="3"/>
    <n v="0.2"/>
    <n v="6.4206000000000003"/>
  </r>
  <r>
    <s v="First Class"/>
    <x v="0"/>
    <s v="United States"/>
    <s v="Pasadena"/>
    <x v="1"/>
    <n v="91104"/>
    <x v="1"/>
    <x v="1"/>
    <x v="9"/>
    <n v="21.78"/>
    <n v="2"/>
    <n v="0"/>
    <n v="5.6627999999999998"/>
  </r>
  <r>
    <s v="First Class"/>
    <x v="0"/>
    <s v="United States"/>
    <s v="Pasadena"/>
    <x v="1"/>
    <n v="91104"/>
    <x v="1"/>
    <x v="1"/>
    <x v="4"/>
    <n v="161.94"/>
    <n v="3"/>
    <n v="0"/>
    <n v="9.7164000000000001"/>
  </r>
  <r>
    <s v="First Class"/>
    <x v="0"/>
    <s v="United States"/>
    <s v="Pasadena"/>
    <x v="1"/>
    <n v="91104"/>
    <x v="1"/>
    <x v="0"/>
    <x v="1"/>
    <n v="161.56800000000001"/>
    <n v="2"/>
    <n v="0.2"/>
    <n v="-8.0784000000000002"/>
  </r>
  <r>
    <s v="Standard Class"/>
    <x v="0"/>
    <s v="United States"/>
    <s v="Lawrence"/>
    <x v="31"/>
    <n v="1841"/>
    <x v="3"/>
    <x v="1"/>
    <x v="2"/>
    <n v="3.69"/>
    <n v="1"/>
    <n v="0"/>
    <n v="1.7343"/>
  </r>
  <r>
    <s v="Standard Class"/>
    <x v="0"/>
    <s v="United States"/>
    <s v="Lawrence"/>
    <x v="31"/>
    <n v="1841"/>
    <x v="3"/>
    <x v="1"/>
    <x v="2"/>
    <n v="122.12"/>
    <n v="4"/>
    <n v="0"/>
    <n v="56.175199999999997"/>
  </r>
  <r>
    <s v="Standard Class"/>
    <x v="0"/>
    <s v="United States"/>
    <s v="Columbus"/>
    <x v="24"/>
    <n v="43229"/>
    <x v="3"/>
    <x v="0"/>
    <x v="1"/>
    <n v="155.37200000000001"/>
    <n v="2"/>
    <n v="0.3"/>
    <n v="-13.317600000000001"/>
  </r>
  <r>
    <s v="Standard Class"/>
    <x v="1"/>
    <s v="United States"/>
    <s v="Los Angeles"/>
    <x v="1"/>
    <n v="90032"/>
    <x v="1"/>
    <x v="1"/>
    <x v="10"/>
    <n v="38.880000000000003"/>
    <n v="6"/>
    <n v="0"/>
    <n v="18.662400000000002"/>
  </r>
  <r>
    <s v="Standard Class"/>
    <x v="1"/>
    <s v="United States"/>
    <s v="Los Angeles"/>
    <x v="1"/>
    <n v="90032"/>
    <x v="1"/>
    <x v="0"/>
    <x v="5"/>
    <n v="183.84"/>
    <n v="8"/>
    <n v="0"/>
    <n v="62.505600000000001"/>
  </r>
  <r>
    <s v="Standard Class"/>
    <x v="1"/>
    <s v="United States"/>
    <s v="Los Angeles"/>
    <x v="1"/>
    <n v="90032"/>
    <x v="1"/>
    <x v="1"/>
    <x v="14"/>
    <n v="579.29999999999995"/>
    <n v="5"/>
    <n v="0"/>
    <n v="28.965"/>
  </r>
  <r>
    <s v="Standard Class"/>
    <x v="0"/>
    <s v="United States"/>
    <s v="Philadelphia"/>
    <x v="9"/>
    <n v="19120"/>
    <x v="3"/>
    <x v="2"/>
    <x v="11"/>
    <n v="14.2"/>
    <n v="1"/>
    <n v="0.2"/>
    <n v="3.3725000000000001"/>
  </r>
  <r>
    <s v="Standard Class"/>
    <x v="1"/>
    <s v="United States"/>
    <s v="Deltona"/>
    <x v="2"/>
    <n v="32725"/>
    <x v="0"/>
    <x v="2"/>
    <x v="7"/>
    <n v="575.91999999999996"/>
    <n v="2"/>
    <n v="0.2"/>
    <n v="71.989999999999995"/>
  </r>
  <r>
    <s v="Standard Class"/>
    <x v="1"/>
    <s v="United States"/>
    <s v="Deltona"/>
    <x v="2"/>
    <n v="32725"/>
    <x v="0"/>
    <x v="1"/>
    <x v="8"/>
    <n v="5.1840000000000002"/>
    <n v="6"/>
    <n v="0.7"/>
    <n v="-3.6288"/>
  </r>
  <r>
    <s v="Standard Class"/>
    <x v="0"/>
    <s v="United States"/>
    <s v="Cincinnati"/>
    <x v="24"/>
    <n v="45231"/>
    <x v="3"/>
    <x v="1"/>
    <x v="8"/>
    <n v="5.2290000000000001"/>
    <n v="3"/>
    <n v="0.7"/>
    <n v="-4.1832000000000003"/>
  </r>
  <r>
    <s v="Standard Class"/>
    <x v="0"/>
    <s v="United States"/>
    <s v="Cincinnati"/>
    <x v="24"/>
    <n v="45231"/>
    <x v="3"/>
    <x v="1"/>
    <x v="4"/>
    <n v="285.55200000000002"/>
    <n v="2"/>
    <n v="0.2"/>
    <n v="35.694000000000003"/>
  </r>
  <r>
    <s v="Standard Class"/>
    <x v="0"/>
    <s v="United States"/>
    <s v="Murray"/>
    <x v="0"/>
    <n v="42071"/>
    <x v="0"/>
    <x v="1"/>
    <x v="9"/>
    <n v="72.8"/>
    <n v="5"/>
    <n v="0"/>
    <n v="19.655999999999999"/>
  </r>
  <r>
    <s v="First Class"/>
    <x v="0"/>
    <s v="United States"/>
    <s v="Wilmington"/>
    <x v="3"/>
    <n v="28403"/>
    <x v="0"/>
    <x v="1"/>
    <x v="10"/>
    <n v="10.816000000000001"/>
    <n v="4"/>
    <n v="0.2"/>
    <n v="3.5152000000000001"/>
  </r>
  <r>
    <s v="Standard Class"/>
    <x v="1"/>
    <s v="United States"/>
    <s v="Lawrence"/>
    <x v="31"/>
    <n v="1841"/>
    <x v="3"/>
    <x v="1"/>
    <x v="4"/>
    <n v="46.26"/>
    <n v="3"/>
    <n v="0"/>
    <n v="12.4902"/>
  </r>
  <r>
    <s v="First Class"/>
    <x v="0"/>
    <s v="United States"/>
    <s v="Chicago"/>
    <x v="10"/>
    <n v="60653"/>
    <x v="2"/>
    <x v="1"/>
    <x v="8"/>
    <n v="17.46"/>
    <n v="6"/>
    <n v="0.8"/>
    <n v="-30.555"/>
  </r>
  <r>
    <s v="Standard Class"/>
    <x v="2"/>
    <s v="United States"/>
    <s v="Philadelphia"/>
    <x v="9"/>
    <n v="19120"/>
    <x v="3"/>
    <x v="0"/>
    <x v="5"/>
    <n v="51.072000000000003"/>
    <n v="6"/>
    <n v="0.2"/>
    <n v="5.1071999999999997"/>
  </r>
  <r>
    <s v="First Class"/>
    <x v="1"/>
    <s v="United States"/>
    <s v="Norwich"/>
    <x v="29"/>
    <n v="6360"/>
    <x v="3"/>
    <x v="1"/>
    <x v="10"/>
    <n v="11.34"/>
    <n v="1"/>
    <n v="0"/>
    <n v="5.5566000000000004"/>
  </r>
  <r>
    <s v="Second Class"/>
    <x v="2"/>
    <s v="United States"/>
    <s v="San Francisco"/>
    <x v="1"/>
    <n v="94110"/>
    <x v="1"/>
    <x v="1"/>
    <x v="6"/>
    <n v="87.92"/>
    <n v="4"/>
    <n v="0"/>
    <n v="26.376000000000001"/>
  </r>
  <r>
    <s v="Standard Class"/>
    <x v="0"/>
    <s v="United States"/>
    <s v="San Francisco"/>
    <x v="1"/>
    <n v="94109"/>
    <x v="1"/>
    <x v="0"/>
    <x v="5"/>
    <n v="37.049999999999997"/>
    <n v="3"/>
    <n v="0"/>
    <n v="16.302"/>
  </r>
  <r>
    <s v="Standard Class"/>
    <x v="2"/>
    <s v="United States"/>
    <s v="Lorain"/>
    <x v="24"/>
    <n v="44052"/>
    <x v="3"/>
    <x v="2"/>
    <x v="7"/>
    <n v="2.97"/>
    <n v="1"/>
    <n v="0.4"/>
    <n v="-0.64349999999999996"/>
  </r>
  <r>
    <s v="Standard Class"/>
    <x v="2"/>
    <s v="United States"/>
    <s v="Lorain"/>
    <x v="24"/>
    <n v="44052"/>
    <x v="3"/>
    <x v="1"/>
    <x v="4"/>
    <n v="27.44"/>
    <n v="2"/>
    <n v="0.2"/>
    <n v="2.4009999999999998"/>
  </r>
  <r>
    <s v="Standard Class"/>
    <x v="0"/>
    <s v="United States"/>
    <s v="Dallas"/>
    <x v="5"/>
    <n v="75220"/>
    <x v="2"/>
    <x v="1"/>
    <x v="8"/>
    <n v="1.08"/>
    <n v="3"/>
    <n v="0.8"/>
    <n v="-1.728"/>
  </r>
  <r>
    <s v="Standard Class"/>
    <x v="0"/>
    <s v="United States"/>
    <s v="Dallas"/>
    <x v="5"/>
    <n v="75220"/>
    <x v="2"/>
    <x v="1"/>
    <x v="9"/>
    <n v="7.96"/>
    <n v="2"/>
    <n v="0.8"/>
    <n v="-13.93"/>
  </r>
  <r>
    <s v="Standard Class"/>
    <x v="2"/>
    <s v="United States"/>
    <s v="Los Angeles"/>
    <x v="1"/>
    <n v="90049"/>
    <x v="1"/>
    <x v="1"/>
    <x v="8"/>
    <n v="140.73599999999999"/>
    <n v="8"/>
    <n v="0.2"/>
    <n v="52.776000000000003"/>
  </r>
  <r>
    <s v="Standard Class"/>
    <x v="0"/>
    <s v="United States"/>
    <s v="Middletown"/>
    <x v="29"/>
    <n v="6457"/>
    <x v="3"/>
    <x v="1"/>
    <x v="4"/>
    <n v="552.55999999999995"/>
    <n v="4"/>
    <n v="0"/>
    <n v="0"/>
  </r>
  <r>
    <s v="Standard Class"/>
    <x v="0"/>
    <s v="United States"/>
    <s v="Los Angeles"/>
    <x v="1"/>
    <n v="90008"/>
    <x v="1"/>
    <x v="0"/>
    <x v="5"/>
    <n v="25.11"/>
    <n v="3"/>
    <n v="0"/>
    <n v="6.5286"/>
  </r>
  <r>
    <s v="Second Class"/>
    <x v="0"/>
    <s v="United States"/>
    <s v="New York City"/>
    <x v="15"/>
    <n v="10011"/>
    <x v="3"/>
    <x v="0"/>
    <x v="5"/>
    <n v="29.78"/>
    <n v="2"/>
    <n v="0"/>
    <n v="8.0405999999999995"/>
  </r>
  <r>
    <s v="Second Class"/>
    <x v="0"/>
    <s v="United States"/>
    <s v="New York City"/>
    <x v="15"/>
    <n v="10011"/>
    <x v="3"/>
    <x v="2"/>
    <x v="7"/>
    <n v="677.58"/>
    <n v="3"/>
    <n v="0"/>
    <n v="176.17080000000001"/>
  </r>
  <r>
    <s v="Second Class"/>
    <x v="0"/>
    <s v="United States"/>
    <s v="New York City"/>
    <x v="15"/>
    <n v="10011"/>
    <x v="3"/>
    <x v="1"/>
    <x v="10"/>
    <n v="75.040000000000006"/>
    <n v="8"/>
    <n v="0"/>
    <n v="36.019199999999998"/>
  </r>
  <r>
    <s v="First Class"/>
    <x v="1"/>
    <s v="United States"/>
    <s v="Jacksonville"/>
    <x v="3"/>
    <n v="28540"/>
    <x v="0"/>
    <x v="2"/>
    <x v="15"/>
    <n v="695.7"/>
    <n v="2"/>
    <n v="0.5"/>
    <n v="-27.827999999999999"/>
  </r>
  <r>
    <s v="First Class"/>
    <x v="1"/>
    <s v="United States"/>
    <s v="Jacksonville"/>
    <x v="3"/>
    <n v="28540"/>
    <x v="0"/>
    <x v="1"/>
    <x v="8"/>
    <n v="15.66"/>
    <n v="5"/>
    <n v="0.7"/>
    <n v="-12.528"/>
  </r>
  <r>
    <s v="First Class"/>
    <x v="1"/>
    <s v="United States"/>
    <s v="Jacksonville"/>
    <x v="3"/>
    <n v="28540"/>
    <x v="0"/>
    <x v="1"/>
    <x v="8"/>
    <n v="28.853999999999999"/>
    <n v="6"/>
    <n v="0.7"/>
    <n v="-21.159600000000001"/>
  </r>
  <r>
    <s v="Standard Class"/>
    <x v="0"/>
    <s v="United States"/>
    <s v="Freeport"/>
    <x v="15"/>
    <n v="11520"/>
    <x v="3"/>
    <x v="1"/>
    <x v="6"/>
    <n v="47.82"/>
    <n v="3"/>
    <n v="0"/>
    <n v="14.346"/>
  </r>
  <r>
    <s v="Standard Class"/>
    <x v="0"/>
    <s v="United States"/>
    <s v="Freeport"/>
    <x v="15"/>
    <n v="11520"/>
    <x v="3"/>
    <x v="1"/>
    <x v="2"/>
    <n v="13.05"/>
    <n v="5"/>
    <n v="0"/>
    <n v="6.0030000000000001"/>
  </r>
  <r>
    <s v="Standard Class"/>
    <x v="0"/>
    <s v="United States"/>
    <s v="Lakeville"/>
    <x v="11"/>
    <n v="55044"/>
    <x v="2"/>
    <x v="1"/>
    <x v="9"/>
    <n v="93.78"/>
    <n v="2"/>
    <n v="0"/>
    <n v="36.574199999999998"/>
  </r>
  <r>
    <s v="Standard Class"/>
    <x v="0"/>
    <s v="United States"/>
    <s v="Lakeville"/>
    <x v="11"/>
    <n v="55044"/>
    <x v="2"/>
    <x v="1"/>
    <x v="10"/>
    <n v="47.18"/>
    <n v="7"/>
    <n v="0"/>
    <n v="23.59"/>
  </r>
  <r>
    <s v="Standard Class"/>
    <x v="0"/>
    <s v="United States"/>
    <s v="Lakeville"/>
    <x v="11"/>
    <n v="55044"/>
    <x v="2"/>
    <x v="1"/>
    <x v="6"/>
    <n v="19.68"/>
    <n v="6"/>
    <n v="0"/>
    <n v="5.7072000000000003"/>
  </r>
  <r>
    <s v="Standard Class"/>
    <x v="0"/>
    <s v="United States"/>
    <s v="Lakeville"/>
    <x v="11"/>
    <n v="55044"/>
    <x v="2"/>
    <x v="1"/>
    <x v="8"/>
    <n v="53.4"/>
    <n v="10"/>
    <n v="0"/>
    <n v="25.097999999999999"/>
  </r>
  <r>
    <s v="Standard Class"/>
    <x v="0"/>
    <s v="United States"/>
    <s v="Lakeville"/>
    <x v="11"/>
    <n v="55044"/>
    <x v="2"/>
    <x v="1"/>
    <x v="8"/>
    <n v="35.880000000000003"/>
    <n v="6"/>
    <n v="0"/>
    <n v="17.2224"/>
  </r>
  <r>
    <s v="Second Class"/>
    <x v="0"/>
    <s v="United States"/>
    <s v="Evanston"/>
    <x v="10"/>
    <n v="60201"/>
    <x v="2"/>
    <x v="0"/>
    <x v="1"/>
    <n v="258.279"/>
    <n v="3"/>
    <n v="0.3"/>
    <n v="-70.104299999999995"/>
  </r>
  <r>
    <s v="First Class"/>
    <x v="1"/>
    <s v="United States"/>
    <s v="Arlington"/>
    <x v="17"/>
    <n v="22204"/>
    <x v="0"/>
    <x v="1"/>
    <x v="4"/>
    <n v="31.4"/>
    <n v="2"/>
    <n v="0"/>
    <n v="7.85"/>
  </r>
  <r>
    <s v="Standard Class"/>
    <x v="1"/>
    <s v="United States"/>
    <s v="San Francisco"/>
    <x v="1"/>
    <n v="94109"/>
    <x v="1"/>
    <x v="2"/>
    <x v="7"/>
    <n v="183.96"/>
    <n v="5"/>
    <n v="0.2"/>
    <n v="20.695499999999999"/>
  </r>
  <r>
    <s v="Standard Class"/>
    <x v="1"/>
    <s v="United States"/>
    <s v="San Francisco"/>
    <x v="1"/>
    <n v="94109"/>
    <x v="1"/>
    <x v="1"/>
    <x v="10"/>
    <n v="17.61"/>
    <n v="3"/>
    <n v="0"/>
    <n v="8.4527999999999999"/>
  </r>
  <r>
    <s v="Standard Class"/>
    <x v="1"/>
    <s v="United States"/>
    <s v="San Francisco"/>
    <x v="1"/>
    <n v="94109"/>
    <x v="1"/>
    <x v="0"/>
    <x v="3"/>
    <n v="300.904"/>
    <n v="1"/>
    <n v="0.2"/>
    <n v="11.283899999999999"/>
  </r>
  <r>
    <s v="Same Day"/>
    <x v="0"/>
    <s v="United States"/>
    <s v="Houston"/>
    <x v="5"/>
    <n v="77036"/>
    <x v="2"/>
    <x v="1"/>
    <x v="4"/>
    <n v="220.77600000000001"/>
    <n v="3"/>
    <n v="0.2"/>
    <n v="-44.155200000000001"/>
  </r>
  <r>
    <s v="Same Day"/>
    <x v="0"/>
    <s v="United States"/>
    <s v="Houston"/>
    <x v="5"/>
    <n v="77036"/>
    <x v="2"/>
    <x v="1"/>
    <x v="4"/>
    <n v="281.42399999999998"/>
    <n v="11"/>
    <n v="0.2"/>
    <n v="-35.177999999999997"/>
  </r>
  <r>
    <s v="First Class"/>
    <x v="0"/>
    <s v="United States"/>
    <s v="Louisville"/>
    <x v="0"/>
    <n v="40214"/>
    <x v="0"/>
    <x v="1"/>
    <x v="10"/>
    <n v="79.14"/>
    <n v="3"/>
    <n v="0"/>
    <n v="36.404400000000003"/>
  </r>
  <r>
    <s v="First Class"/>
    <x v="0"/>
    <s v="United States"/>
    <s v="Fort Worth"/>
    <x v="5"/>
    <n v="76106"/>
    <x v="2"/>
    <x v="0"/>
    <x v="5"/>
    <n v="1.988"/>
    <n v="1"/>
    <n v="0.6"/>
    <n v="-1.4413"/>
  </r>
  <r>
    <s v="Second Class"/>
    <x v="0"/>
    <s v="United States"/>
    <s v="Los Angeles"/>
    <x v="1"/>
    <n v="90049"/>
    <x v="1"/>
    <x v="0"/>
    <x v="1"/>
    <n v="145.56800000000001"/>
    <n v="2"/>
    <n v="0.2"/>
    <n v="0"/>
  </r>
  <r>
    <s v="Standard Class"/>
    <x v="1"/>
    <s v="United States"/>
    <s v="Philadelphia"/>
    <x v="9"/>
    <n v="19120"/>
    <x v="3"/>
    <x v="1"/>
    <x v="6"/>
    <n v="123.256"/>
    <n v="7"/>
    <n v="0.2"/>
    <n v="9.2441999999999993"/>
  </r>
  <r>
    <s v="Standard Class"/>
    <x v="1"/>
    <s v="United States"/>
    <s v="Philadelphia"/>
    <x v="9"/>
    <n v="19120"/>
    <x v="3"/>
    <x v="1"/>
    <x v="10"/>
    <n v="23.68"/>
    <n v="4"/>
    <n v="0.2"/>
    <n v="7.4"/>
  </r>
  <r>
    <s v="Standard Class"/>
    <x v="1"/>
    <s v="United States"/>
    <s v="Philadelphia"/>
    <x v="9"/>
    <n v="19120"/>
    <x v="3"/>
    <x v="2"/>
    <x v="7"/>
    <n v="309.57600000000002"/>
    <n v="4"/>
    <n v="0.4"/>
    <n v="-56.755600000000001"/>
  </r>
  <r>
    <s v="First Class"/>
    <x v="1"/>
    <s v="United States"/>
    <s v="Tucson"/>
    <x v="16"/>
    <n v="85705"/>
    <x v="1"/>
    <x v="1"/>
    <x v="8"/>
    <n v="38.387999999999998"/>
    <n v="14"/>
    <n v="0.7"/>
    <n v="-25.591999999999999"/>
  </r>
  <r>
    <s v="First Class"/>
    <x v="1"/>
    <s v="United States"/>
    <s v="Tucson"/>
    <x v="16"/>
    <n v="85705"/>
    <x v="1"/>
    <x v="2"/>
    <x v="15"/>
    <n v="95.994"/>
    <n v="2"/>
    <n v="0.7"/>
    <n v="-63.996000000000002"/>
  </r>
  <r>
    <s v="First Class"/>
    <x v="1"/>
    <s v="United States"/>
    <s v="Tucson"/>
    <x v="16"/>
    <n v="85705"/>
    <x v="1"/>
    <x v="2"/>
    <x v="11"/>
    <n v="239.952"/>
    <n v="6"/>
    <n v="0.2"/>
    <n v="-35.992800000000003"/>
  </r>
  <r>
    <s v="First Class"/>
    <x v="1"/>
    <s v="United States"/>
    <s v="Tucson"/>
    <x v="16"/>
    <n v="85705"/>
    <x v="1"/>
    <x v="2"/>
    <x v="7"/>
    <n v="201.584"/>
    <n v="2"/>
    <n v="0.2"/>
    <n v="15.1188"/>
  </r>
  <r>
    <s v="First Class"/>
    <x v="1"/>
    <s v="United States"/>
    <s v="Tucson"/>
    <x v="16"/>
    <n v="85705"/>
    <x v="1"/>
    <x v="0"/>
    <x v="1"/>
    <n v="899.13599999999997"/>
    <n v="4"/>
    <n v="0.2"/>
    <n v="-146.1096"/>
  </r>
  <r>
    <s v="First Class"/>
    <x v="2"/>
    <s v="United States"/>
    <s v="Pico Rivera"/>
    <x v="1"/>
    <n v="90660"/>
    <x v="1"/>
    <x v="0"/>
    <x v="5"/>
    <n v="145.9"/>
    <n v="5"/>
    <n v="0"/>
    <n v="62.737000000000002"/>
  </r>
  <r>
    <s v="Standard Class"/>
    <x v="0"/>
    <s v="United States"/>
    <s v="Colorado Springs"/>
    <x v="22"/>
    <n v="80906"/>
    <x v="1"/>
    <x v="0"/>
    <x v="0"/>
    <n v="590.05799999999999"/>
    <n v="7"/>
    <n v="0.7"/>
    <n v="-786.74400000000003"/>
  </r>
  <r>
    <s v="Standard Class"/>
    <x v="0"/>
    <s v="United States"/>
    <s v="Colorado Springs"/>
    <x v="22"/>
    <n v="80906"/>
    <x v="1"/>
    <x v="1"/>
    <x v="6"/>
    <n v="14.04"/>
    <n v="3"/>
    <n v="0.2"/>
    <n v="1.5794999999999999"/>
  </r>
  <r>
    <s v="Standard Class"/>
    <x v="2"/>
    <s v="United States"/>
    <s v="Clinton"/>
    <x v="39"/>
    <n v="20735"/>
    <x v="3"/>
    <x v="2"/>
    <x v="11"/>
    <n v="49.08"/>
    <n v="3"/>
    <n v="0"/>
    <n v="4.9080000000000004"/>
  </r>
  <r>
    <s v="Second Class"/>
    <x v="0"/>
    <s v="United States"/>
    <s v="Vallejo"/>
    <x v="1"/>
    <n v="94591"/>
    <x v="1"/>
    <x v="1"/>
    <x v="2"/>
    <n v="29.6"/>
    <n v="2"/>
    <n v="0"/>
    <n v="14.8"/>
  </r>
  <r>
    <s v="Second Class"/>
    <x v="0"/>
    <s v="United States"/>
    <s v="Vallejo"/>
    <x v="1"/>
    <n v="94591"/>
    <x v="1"/>
    <x v="1"/>
    <x v="8"/>
    <n v="17.088000000000001"/>
    <n v="4"/>
    <n v="0.2"/>
    <n v="5.5536000000000003"/>
  </r>
  <r>
    <s v="Standard Class"/>
    <x v="0"/>
    <s v="United States"/>
    <s v="Provo"/>
    <x v="7"/>
    <n v="84604"/>
    <x v="1"/>
    <x v="0"/>
    <x v="3"/>
    <n v="912.75"/>
    <n v="5"/>
    <n v="0"/>
    <n v="118.6575"/>
  </r>
  <r>
    <s v="Second Class"/>
    <x v="0"/>
    <s v="United States"/>
    <s v="Pleasant Grove"/>
    <x v="7"/>
    <n v="84062"/>
    <x v="1"/>
    <x v="1"/>
    <x v="9"/>
    <n v="1089.75"/>
    <n v="3"/>
    <n v="0"/>
    <n v="305.13"/>
  </r>
  <r>
    <s v="Second Class"/>
    <x v="0"/>
    <s v="United States"/>
    <s v="Pleasant Grove"/>
    <x v="7"/>
    <n v="84062"/>
    <x v="1"/>
    <x v="1"/>
    <x v="10"/>
    <n v="447.84"/>
    <n v="8"/>
    <n v="0"/>
    <n v="219.44159999999999"/>
  </r>
  <r>
    <s v="Second Class"/>
    <x v="0"/>
    <s v="United States"/>
    <s v="Pleasant Grove"/>
    <x v="7"/>
    <n v="84062"/>
    <x v="1"/>
    <x v="1"/>
    <x v="6"/>
    <n v="16.399999999999999"/>
    <n v="5"/>
    <n v="0"/>
    <n v="4.2640000000000002"/>
  </r>
  <r>
    <s v="Second Class"/>
    <x v="0"/>
    <s v="United States"/>
    <s v="Pleasant Grove"/>
    <x v="7"/>
    <n v="84062"/>
    <x v="1"/>
    <x v="2"/>
    <x v="7"/>
    <n v="399.96"/>
    <n v="5"/>
    <n v="0.2"/>
    <n v="34.996499999999997"/>
  </r>
  <r>
    <s v="Second Class"/>
    <x v="0"/>
    <s v="United States"/>
    <s v="Pleasant Grove"/>
    <x v="7"/>
    <n v="84062"/>
    <x v="1"/>
    <x v="1"/>
    <x v="4"/>
    <n v="158.9"/>
    <n v="5"/>
    <n v="0"/>
    <n v="7.9450000000000003"/>
  </r>
  <r>
    <s v="Second Class"/>
    <x v="0"/>
    <s v="United States"/>
    <s v="Pleasant Grove"/>
    <x v="7"/>
    <n v="84062"/>
    <x v="1"/>
    <x v="1"/>
    <x v="8"/>
    <n v="13.183999999999999"/>
    <n v="1"/>
    <n v="0.2"/>
    <n v="4.7792000000000003"/>
  </r>
  <r>
    <s v="Standard Class"/>
    <x v="2"/>
    <s v="United States"/>
    <s v="Aurora"/>
    <x v="10"/>
    <n v="60505"/>
    <x v="2"/>
    <x v="0"/>
    <x v="5"/>
    <n v="83.951999999999998"/>
    <n v="3"/>
    <n v="0.6"/>
    <n v="-90.248400000000004"/>
  </r>
  <r>
    <s v="Same Day"/>
    <x v="2"/>
    <s v="United States"/>
    <s v="Smyrna"/>
    <x v="32"/>
    <n v="30080"/>
    <x v="0"/>
    <x v="1"/>
    <x v="4"/>
    <n v="80.98"/>
    <n v="1"/>
    <n v="0"/>
    <n v="1.6195999999999999"/>
  </r>
  <r>
    <s v="Same Day"/>
    <x v="2"/>
    <s v="United States"/>
    <s v="Smyrna"/>
    <x v="32"/>
    <n v="30080"/>
    <x v="0"/>
    <x v="1"/>
    <x v="10"/>
    <n v="348.84"/>
    <n v="9"/>
    <n v="0"/>
    <n v="170.9316"/>
  </r>
  <r>
    <s v="Same Day"/>
    <x v="2"/>
    <s v="United States"/>
    <s v="Smyrna"/>
    <x v="32"/>
    <n v="30080"/>
    <x v="0"/>
    <x v="1"/>
    <x v="13"/>
    <n v="9.4499999999999993"/>
    <n v="5"/>
    <n v="0"/>
    <n v="0.189"/>
  </r>
  <r>
    <s v="Same Day"/>
    <x v="2"/>
    <s v="United States"/>
    <s v="Smyrna"/>
    <x v="32"/>
    <n v="30080"/>
    <x v="0"/>
    <x v="0"/>
    <x v="5"/>
    <n v="18.84"/>
    <n v="3"/>
    <n v="0"/>
    <n v="7.1592000000000002"/>
  </r>
  <r>
    <s v="Same Day"/>
    <x v="2"/>
    <s v="United States"/>
    <s v="Smyrna"/>
    <x v="32"/>
    <n v="30080"/>
    <x v="0"/>
    <x v="0"/>
    <x v="0"/>
    <n v="239.98"/>
    <n v="2"/>
    <n v="0"/>
    <n v="52.7956"/>
  </r>
  <r>
    <s v="Same Day"/>
    <x v="2"/>
    <s v="United States"/>
    <s v="Smyrna"/>
    <x v="32"/>
    <n v="30080"/>
    <x v="0"/>
    <x v="1"/>
    <x v="12"/>
    <n v="167.96"/>
    <n v="2"/>
    <n v="0"/>
    <n v="78.941199999999995"/>
  </r>
  <r>
    <s v="Same Day"/>
    <x v="2"/>
    <s v="United States"/>
    <s v="Smyrna"/>
    <x v="32"/>
    <n v="30080"/>
    <x v="0"/>
    <x v="2"/>
    <x v="7"/>
    <n v="104.85"/>
    <n v="3"/>
    <n v="0"/>
    <n v="28.3095"/>
  </r>
  <r>
    <s v="Same Day"/>
    <x v="2"/>
    <s v="United States"/>
    <s v="Smyrna"/>
    <x v="32"/>
    <n v="30080"/>
    <x v="0"/>
    <x v="2"/>
    <x v="7"/>
    <n v="484.83"/>
    <n v="3"/>
    <n v="0"/>
    <n v="126.0558"/>
  </r>
  <r>
    <s v="Same Day"/>
    <x v="2"/>
    <s v="United States"/>
    <s v="Smyrna"/>
    <x v="32"/>
    <n v="30080"/>
    <x v="0"/>
    <x v="1"/>
    <x v="10"/>
    <n v="122.97"/>
    <n v="3"/>
    <n v="0"/>
    <n v="60.255299999999998"/>
  </r>
  <r>
    <s v="Same Day"/>
    <x v="2"/>
    <s v="United States"/>
    <s v="Smyrna"/>
    <x v="32"/>
    <n v="30080"/>
    <x v="0"/>
    <x v="1"/>
    <x v="4"/>
    <n v="154.44"/>
    <n v="3"/>
    <n v="0"/>
    <n v="1.5444"/>
  </r>
  <r>
    <s v="Same Day"/>
    <x v="2"/>
    <s v="United States"/>
    <s v="Smyrna"/>
    <x v="32"/>
    <n v="30080"/>
    <x v="0"/>
    <x v="1"/>
    <x v="10"/>
    <n v="342.37"/>
    <n v="7"/>
    <n v="0"/>
    <n v="160.91390000000001"/>
  </r>
  <r>
    <s v="First Class"/>
    <x v="1"/>
    <s v="United States"/>
    <s v="Burlington"/>
    <x v="3"/>
    <n v="27217"/>
    <x v="0"/>
    <x v="1"/>
    <x v="6"/>
    <n v="9.5519999999999996"/>
    <n v="3"/>
    <n v="0.2"/>
    <n v="1.5522"/>
  </r>
  <r>
    <s v="Standard Class"/>
    <x v="1"/>
    <s v="United States"/>
    <s v="Aurora"/>
    <x v="10"/>
    <n v="60505"/>
    <x v="2"/>
    <x v="0"/>
    <x v="3"/>
    <n v="652.45000000000005"/>
    <n v="5"/>
    <n v="0.5"/>
    <n v="-430.61700000000002"/>
  </r>
  <r>
    <s v="Standard Class"/>
    <x v="1"/>
    <s v="United States"/>
    <s v="Aurora"/>
    <x v="10"/>
    <n v="60505"/>
    <x v="2"/>
    <x v="0"/>
    <x v="3"/>
    <n v="66.644999999999996"/>
    <n v="3"/>
    <n v="0.5"/>
    <n v="-42.652799999999999"/>
  </r>
  <r>
    <s v="First Class"/>
    <x v="0"/>
    <s v="United States"/>
    <s v="New York City"/>
    <x v="15"/>
    <n v="10035"/>
    <x v="3"/>
    <x v="1"/>
    <x v="8"/>
    <n v="17.216000000000001"/>
    <n v="4"/>
    <n v="0.2"/>
    <n v="6.0255999999999998"/>
  </r>
  <r>
    <s v="First Class"/>
    <x v="0"/>
    <s v="United States"/>
    <s v="New York City"/>
    <x v="15"/>
    <n v="10035"/>
    <x v="3"/>
    <x v="1"/>
    <x v="10"/>
    <n v="11.56"/>
    <n v="2"/>
    <n v="0"/>
    <n v="5.6643999999999997"/>
  </r>
  <r>
    <s v="First Class"/>
    <x v="0"/>
    <s v="United States"/>
    <s v="New York City"/>
    <x v="15"/>
    <n v="10035"/>
    <x v="3"/>
    <x v="2"/>
    <x v="11"/>
    <n v="88.4"/>
    <n v="4"/>
    <n v="0"/>
    <n v="11.492000000000001"/>
  </r>
  <r>
    <s v="First Class"/>
    <x v="0"/>
    <s v="United States"/>
    <s v="New York City"/>
    <x v="15"/>
    <n v="10035"/>
    <x v="3"/>
    <x v="1"/>
    <x v="10"/>
    <n v="6.48"/>
    <n v="1"/>
    <n v="0"/>
    <n v="3.1103999999999998"/>
  </r>
  <r>
    <s v="Standard Class"/>
    <x v="2"/>
    <s v="United States"/>
    <s v="Salem"/>
    <x v="17"/>
    <n v="24153"/>
    <x v="0"/>
    <x v="2"/>
    <x v="7"/>
    <n v="21.8"/>
    <n v="2"/>
    <n v="0"/>
    <n v="6.1040000000000001"/>
  </r>
  <r>
    <s v="Standard Class"/>
    <x v="2"/>
    <s v="United States"/>
    <s v="Salem"/>
    <x v="17"/>
    <n v="24153"/>
    <x v="0"/>
    <x v="1"/>
    <x v="12"/>
    <n v="251.79"/>
    <n v="3"/>
    <n v="0"/>
    <n v="118.3413"/>
  </r>
  <r>
    <s v="Standard Class"/>
    <x v="2"/>
    <s v="United States"/>
    <s v="Columbus"/>
    <x v="24"/>
    <n v="43229"/>
    <x v="3"/>
    <x v="0"/>
    <x v="3"/>
    <n v="205.17599999999999"/>
    <n v="2"/>
    <n v="0.4"/>
    <n v="-58.133200000000002"/>
  </r>
  <r>
    <s v="Standard Class"/>
    <x v="2"/>
    <s v="United States"/>
    <s v="Columbus"/>
    <x v="24"/>
    <n v="43229"/>
    <x v="3"/>
    <x v="1"/>
    <x v="10"/>
    <n v="419.4"/>
    <n v="5"/>
    <n v="0.2"/>
    <n v="146.79"/>
  </r>
  <r>
    <s v="First Class"/>
    <x v="2"/>
    <s v="United States"/>
    <s v="Philadelphia"/>
    <x v="9"/>
    <n v="19143"/>
    <x v="3"/>
    <x v="1"/>
    <x v="14"/>
    <n v="10.304"/>
    <n v="1"/>
    <n v="0.2"/>
    <n v="-2.1896"/>
  </r>
  <r>
    <s v="First Class"/>
    <x v="2"/>
    <s v="United States"/>
    <s v="Philadelphia"/>
    <x v="9"/>
    <n v="19143"/>
    <x v="3"/>
    <x v="0"/>
    <x v="3"/>
    <n v="154.76400000000001"/>
    <n v="3"/>
    <n v="0.4"/>
    <n v="-36.111600000000003"/>
  </r>
  <r>
    <s v="First Class"/>
    <x v="2"/>
    <s v="United States"/>
    <s v="Philadelphia"/>
    <x v="9"/>
    <n v="19143"/>
    <x v="3"/>
    <x v="2"/>
    <x v="11"/>
    <n v="116.78400000000001"/>
    <n v="2"/>
    <n v="0.2"/>
    <n v="21.896999999999998"/>
  </r>
  <r>
    <s v="Standard Class"/>
    <x v="0"/>
    <s v="United States"/>
    <s v="New York City"/>
    <x v="15"/>
    <n v="10024"/>
    <x v="3"/>
    <x v="1"/>
    <x v="6"/>
    <n v="75.48"/>
    <n v="2"/>
    <n v="0"/>
    <n v="19.6248"/>
  </r>
  <r>
    <s v="Standard Class"/>
    <x v="0"/>
    <s v="United States"/>
    <s v="New York City"/>
    <x v="15"/>
    <n v="10024"/>
    <x v="3"/>
    <x v="0"/>
    <x v="5"/>
    <n v="39.979999999999997"/>
    <n v="2"/>
    <n v="0"/>
    <n v="9.9949999999999992"/>
  </r>
  <r>
    <s v="Standard Class"/>
    <x v="0"/>
    <s v="United States"/>
    <s v="Phoenix"/>
    <x v="16"/>
    <n v="85023"/>
    <x v="1"/>
    <x v="0"/>
    <x v="3"/>
    <n v="393.16500000000002"/>
    <n v="3"/>
    <n v="0.5"/>
    <n v="-204.44579999999999"/>
  </r>
  <r>
    <s v="Standard Class"/>
    <x v="2"/>
    <s v="United States"/>
    <s v="Grand Prairie"/>
    <x v="5"/>
    <n v="75051"/>
    <x v="2"/>
    <x v="1"/>
    <x v="2"/>
    <n v="23.68"/>
    <n v="2"/>
    <n v="0.2"/>
    <n v="8.8800000000000008"/>
  </r>
  <r>
    <s v="Standard Class"/>
    <x v="1"/>
    <s v="United States"/>
    <s v="New York City"/>
    <x v="15"/>
    <n v="10035"/>
    <x v="3"/>
    <x v="0"/>
    <x v="1"/>
    <n v="408.00599999999997"/>
    <n v="2"/>
    <n v="0.1"/>
    <n v="72.534400000000005"/>
  </r>
  <r>
    <s v="Standard Class"/>
    <x v="1"/>
    <s v="United States"/>
    <s v="New York City"/>
    <x v="15"/>
    <n v="10035"/>
    <x v="3"/>
    <x v="0"/>
    <x v="5"/>
    <n v="165.28"/>
    <n v="4"/>
    <n v="0"/>
    <n v="14.8752"/>
  </r>
  <r>
    <s v="Standard Class"/>
    <x v="0"/>
    <s v="United States"/>
    <s v="New York City"/>
    <x v="15"/>
    <n v="10024"/>
    <x v="3"/>
    <x v="1"/>
    <x v="8"/>
    <n v="334.76799999999997"/>
    <n v="7"/>
    <n v="0.2"/>
    <n v="108.7996"/>
  </r>
  <r>
    <s v="Second Class"/>
    <x v="2"/>
    <s v="United States"/>
    <s v="Costa Mesa"/>
    <x v="1"/>
    <n v="92627"/>
    <x v="1"/>
    <x v="2"/>
    <x v="11"/>
    <n v="239.97"/>
    <n v="3"/>
    <n v="0"/>
    <n v="26.396699999999999"/>
  </r>
  <r>
    <s v="Second Class"/>
    <x v="2"/>
    <s v="United States"/>
    <s v="Costa Mesa"/>
    <x v="1"/>
    <n v="92627"/>
    <x v="1"/>
    <x v="0"/>
    <x v="5"/>
    <n v="37.74"/>
    <n v="3"/>
    <n v="0"/>
    <n v="12.8316"/>
  </r>
  <r>
    <s v="First Class"/>
    <x v="1"/>
    <s v="United States"/>
    <s v="Houston"/>
    <x v="5"/>
    <n v="77041"/>
    <x v="2"/>
    <x v="2"/>
    <x v="7"/>
    <n v="946.34400000000005"/>
    <n v="7"/>
    <n v="0.2"/>
    <n v="118.29300000000001"/>
  </r>
  <r>
    <s v="First Class"/>
    <x v="1"/>
    <s v="United States"/>
    <s v="Houston"/>
    <x v="5"/>
    <n v="77041"/>
    <x v="2"/>
    <x v="2"/>
    <x v="11"/>
    <n v="151.19999999999999"/>
    <n v="3"/>
    <n v="0.2"/>
    <n v="32.130000000000003"/>
  </r>
  <r>
    <s v="First Class"/>
    <x v="1"/>
    <s v="United States"/>
    <s v="Houston"/>
    <x v="5"/>
    <n v="77041"/>
    <x v="2"/>
    <x v="0"/>
    <x v="5"/>
    <n v="4.9279999999999999"/>
    <n v="4"/>
    <n v="0.6"/>
    <n v="-1.4783999999999999"/>
  </r>
  <r>
    <s v="Standard Class"/>
    <x v="1"/>
    <s v="United States"/>
    <s v="Mesa"/>
    <x v="16"/>
    <n v="85204"/>
    <x v="1"/>
    <x v="1"/>
    <x v="10"/>
    <n v="86.272000000000006"/>
    <n v="4"/>
    <n v="0.2"/>
    <n v="31.273599999999998"/>
  </r>
  <r>
    <s v="Standard Class"/>
    <x v="1"/>
    <s v="United States"/>
    <s v="Mesa"/>
    <x v="16"/>
    <n v="85204"/>
    <x v="1"/>
    <x v="1"/>
    <x v="8"/>
    <n v="72.587999999999994"/>
    <n v="2"/>
    <n v="0.7"/>
    <n v="-48.392000000000003"/>
  </r>
  <r>
    <s v="Standard Class"/>
    <x v="1"/>
    <s v="United States"/>
    <s v="Mesa"/>
    <x v="16"/>
    <n v="85204"/>
    <x v="1"/>
    <x v="1"/>
    <x v="9"/>
    <n v="60.671999999999997"/>
    <n v="2"/>
    <n v="0.2"/>
    <n v="14.409599999999999"/>
  </r>
  <r>
    <s v="Standard Class"/>
    <x v="1"/>
    <s v="United States"/>
    <s v="Mesa"/>
    <x v="16"/>
    <n v="85204"/>
    <x v="1"/>
    <x v="1"/>
    <x v="8"/>
    <n v="77.031000000000006"/>
    <n v="9"/>
    <n v="0.7"/>
    <n v="-59.057099999999998"/>
  </r>
  <r>
    <s v="Standard Class"/>
    <x v="1"/>
    <s v="United States"/>
    <s v="Mesa"/>
    <x v="16"/>
    <n v="85204"/>
    <x v="1"/>
    <x v="1"/>
    <x v="4"/>
    <n v="119.904"/>
    <n v="6"/>
    <n v="0.2"/>
    <n v="-1.4987999999999999"/>
  </r>
  <r>
    <s v="Standard Class"/>
    <x v="1"/>
    <s v="United States"/>
    <s v="Mesa"/>
    <x v="16"/>
    <n v="85204"/>
    <x v="1"/>
    <x v="2"/>
    <x v="7"/>
    <n v="263.95999999999998"/>
    <n v="5"/>
    <n v="0.2"/>
    <n v="23.096499999999999"/>
  </r>
  <r>
    <s v="Standard Class"/>
    <x v="1"/>
    <s v="United States"/>
    <s v="Mesa"/>
    <x v="16"/>
    <n v="85204"/>
    <x v="1"/>
    <x v="1"/>
    <x v="4"/>
    <n v="363.64800000000002"/>
    <n v="4"/>
    <n v="0.2"/>
    <n v="-86.366399999999999"/>
  </r>
  <r>
    <s v="Second Class"/>
    <x v="1"/>
    <s v="United States"/>
    <s v="Salinas"/>
    <x v="1"/>
    <n v="93905"/>
    <x v="1"/>
    <x v="1"/>
    <x v="8"/>
    <n v="9.7279999999999998"/>
    <n v="2"/>
    <n v="0.2"/>
    <n v="3.2831999999999999"/>
  </r>
  <r>
    <s v="Second Class"/>
    <x v="1"/>
    <s v="United States"/>
    <s v="Salinas"/>
    <x v="1"/>
    <n v="93905"/>
    <x v="1"/>
    <x v="1"/>
    <x v="12"/>
    <n v="14.75"/>
    <n v="5"/>
    <n v="0"/>
    <n v="7.08"/>
  </r>
  <r>
    <s v="Second Class"/>
    <x v="1"/>
    <s v="United States"/>
    <s v="Salinas"/>
    <x v="1"/>
    <n v="93905"/>
    <x v="1"/>
    <x v="1"/>
    <x v="8"/>
    <n v="29.8"/>
    <n v="5"/>
    <n v="0.2"/>
    <n v="9.3125"/>
  </r>
  <r>
    <s v="Second Class"/>
    <x v="1"/>
    <s v="United States"/>
    <s v="Salinas"/>
    <x v="1"/>
    <n v="93905"/>
    <x v="1"/>
    <x v="1"/>
    <x v="2"/>
    <n v="427.42"/>
    <n v="14"/>
    <n v="0"/>
    <n v="196.61320000000001"/>
  </r>
  <r>
    <s v="Standard Class"/>
    <x v="0"/>
    <s v="United States"/>
    <s v="Columbus"/>
    <x v="24"/>
    <n v="43229"/>
    <x v="3"/>
    <x v="2"/>
    <x v="7"/>
    <n v="220.75200000000001"/>
    <n v="8"/>
    <n v="0.4"/>
    <n v="-40.471200000000003"/>
  </r>
  <r>
    <s v="Second Class"/>
    <x v="0"/>
    <s v="United States"/>
    <s v="Florence"/>
    <x v="19"/>
    <n v="35630"/>
    <x v="0"/>
    <x v="1"/>
    <x v="8"/>
    <n v="152.76"/>
    <n v="6"/>
    <n v="0"/>
    <n v="74.852400000000003"/>
  </r>
  <r>
    <s v="Second Class"/>
    <x v="0"/>
    <s v="United States"/>
    <s v="Florence"/>
    <x v="19"/>
    <n v="35630"/>
    <x v="0"/>
    <x v="1"/>
    <x v="14"/>
    <n v="7.27"/>
    <n v="1"/>
    <n v="0"/>
    <n v="1.9629000000000001"/>
  </r>
  <r>
    <s v="Second Class"/>
    <x v="0"/>
    <s v="United States"/>
    <s v="Florence"/>
    <x v="19"/>
    <n v="35630"/>
    <x v="0"/>
    <x v="0"/>
    <x v="1"/>
    <n v="1819.86"/>
    <n v="14"/>
    <n v="0"/>
    <n v="163.78739999999999"/>
  </r>
  <r>
    <s v="Standard Class"/>
    <x v="0"/>
    <s v="United States"/>
    <s v="Seattle"/>
    <x v="4"/>
    <n v="98105"/>
    <x v="1"/>
    <x v="1"/>
    <x v="10"/>
    <n v="33.9"/>
    <n v="5"/>
    <n v="0"/>
    <n v="15.593999999999999"/>
  </r>
  <r>
    <s v="Standard Class"/>
    <x v="0"/>
    <s v="United States"/>
    <s v="Parma"/>
    <x v="24"/>
    <n v="44134"/>
    <x v="3"/>
    <x v="1"/>
    <x v="10"/>
    <n v="31.103999999999999"/>
    <n v="6"/>
    <n v="0.2"/>
    <n v="10.8864"/>
  </r>
  <r>
    <s v="Standard Class"/>
    <x v="0"/>
    <s v="United States"/>
    <s v="Parma"/>
    <x v="24"/>
    <n v="44134"/>
    <x v="3"/>
    <x v="1"/>
    <x v="6"/>
    <n v="5.2480000000000002"/>
    <n v="2"/>
    <n v="0.2"/>
    <n v="0.59040000000000004"/>
  </r>
  <r>
    <s v="Same Day"/>
    <x v="0"/>
    <s v="United States"/>
    <s v="Amarillo"/>
    <x v="5"/>
    <n v="79109"/>
    <x v="2"/>
    <x v="2"/>
    <x v="11"/>
    <n v="263.88"/>
    <n v="3"/>
    <n v="0.2"/>
    <n v="42.880499999999998"/>
  </r>
  <r>
    <s v="Same Day"/>
    <x v="0"/>
    <s v="United States"/>
    <s v="Amarillo"/>
    <x v="5"/>
    <n v="79109"/>
    <x v="2"/>
    <x v="0"/>
    <x v="1"/>
    <n v="2453.4299999999998"/>
    <n v="5"/>
    <n v="0.3"/>
    <n v="-350.49"/>
  </r>
  <r>
    <s v="Second Class"/>
    <x v="0"/>
    <s v="United States"/>
    <s v="Providence"/>
    <x v="34"/>
    <n v="2908"/>
    <x v="3"/>
    <x v="1"/>
    <x v="8"/>
    <n v="29.7"/>
    <n v="5"/>
    <n v="0"/>
    <n v="13.365"/>
  </r>
  <r>
    <s v="Second Class"/>
    <x v="0"/>
    <s v="United States"/>
    <s v="Providence"/>
    <x v="34"/>
    <n v="2908"/>
    <x v="3"/>
    <x v="1"/>
    <x v="10"/>
    <n v="39.96"/>
    <n v="4"/>
    <n v="0"/>
    <n v="17.981999999999999"/>
  </r>
  <r>
    <s v="Second Class"/>
    <x v="0"/>
    <s v="United States"/>
    <s v="San Francisco"/>
    <x v="1"/>
    <n v="94110"/>
    <x v="1"/>
    <x v="1"/>
    <x v="8"/>
    <n v="36.671999999999997"/>
    <n v="2"/>
    <n v="0.2"/>
    <n v="11.46"/>
  </r>
  <r>
    <s v="First Class"/>
    <x v="1"/>
    <s v="United States"/>
    <s v="Richmond"/>
    <x v="0"/>
    <n v="40475"/>
    <x v="0"/>
    <x v="1"/>
    <x v="10"/>
    <n v="13.76"/>
    <n v="2"/>
    <n v="0"/>
    <n v="6.3296000000000001"/>
  </r>
  <r>
    <s v="Standard Class"/>
    <x v="1"/>
    <s v="United States"/>
    <s v="Aurora"/>
    <x v="22"/>
    <n v="80013"/>
    <x v="1"/>
    <x v="1"/>
    <x v="4"/>
    <n v="139.42400000000001"/>
    <n v="4"/>
    <n v="0.2"/>
    <n v="17.428000000000001"/>
  </r>
  <r>
    <s v="Standard Class"/>
    <x v="0"/>
    <s v="United States"/>
    <s v="Chicago"/>
    <x v="10"/>
    <n v="60623"/>
    <x v="2"/>
    <x v="2"/>
    <x v="7"/>
    <n v="1979.9280000000001"/>
    <n v="9"/>
    <n v="0.2"/>
    <n v="148.49459999999999"/>
  </r>
  <r>
    <s v="First Class"/>
    <x v="2"/>
    <s v="United States"/>
    <s v="Chicago"/>
    <x v="10"/>
    <n v="60653"/>
    <x v="2"/>
    <x v="1"/>
    <x v="4"/>
    <n v="164.73599999999999"/>
    <n v="4"/>
    <n v="0.2"/>
    <n v="-39.1248"/>
  </r>
  <r>
    <s v="First Class"/>
    <x v="2"/>
    <s v="United States"/>
    <s v="Chicago"/>
    <x v="10"/>
    <n v="60653"/>
    <x v="2"/>
    <x v="0"/>
    <x v="1"/>
    <n v="470.30200000000002"/>
    <n v="7"/>
    <n v="0.3"/>
    <n v="-87.341800000000006"/>
  </r>
  <r>
    <s v="First Class"/>
    <x v="2"/>
    <s v="United States"/>
    <s v="Chicago"/>
    <x v="10"/>
    <n v="60653"/>
    <x v="2"/>
    <x v="2"/>
    <x v="7"/>
    <n v="47.984000000000002"/>
    <n v="2"/>
    <n v="0.2"/>
    <n v="5.9980000000000002"/>
  </r>
  <r>
    <s v="First Class"/>
    <x v="1"/>
    <s v="United States"/>
    <s v="Philadelphia"/>
    <x v="9"/>
    <n v="19134"/>
    <x v="3"/>
    <x v="1"/>
    <x v="8"/>
    <n v="2.5019999999999998"/>
    <n v="3"/>
    <n v="0.7"/>
    <n v="-1.7514000000000001"/>
  </r>
  <r>
    <s v="Standard Class"/>
    <x v="1"/>
    <s v="United States"/>
    <s v="Los Angeles"/>
    <x v="1"/>
    <n v="90008"/>
    <x v="1"/>
    <x v="2"/>
    <x v="7"/>
    <n v="88.751999999999995"/>
    <n v="3"/>
    <n v="0.2"/>
    <n v="11.093999999999999"/>
  </r>
  <r>
    <s v="First Class"/>
    <x v="0"/>
    <s v="United States"/>
    <s v="Phoenix"/>
    <x v="16"/>
    <n v="85023"/>
    <x v="1"/>
    <x v="1"/>
    <x v="8"/>
    <n v="2.0249999999999999"/>
    <n v="1"/>
    <n v="0.7"/>
    <n v="-1.35"/>
  </r>
  <r>
    <s v="First Class"/>
    <x v="1"/>
    <s v="United States"/>
    <s v="Mobile"/>
    <x v="19"/>
    <n v="36608"/>
    <x v="0"/>
    <x v="1"/>
    <x v="10"/>
    <n v="70.98"/>
    <n v="7"/>
    <n v="0"/>
    <n v="34.780200000000001"/>
  </r>
  <r>
    <s v="First Class"/>
    <x v="1"/>
    <s v="United States"/>
    <s v="Mobile"/>
    <x v="19"/>
    <n v="36608"/>
    <x v="0"/>
    <x v="1"/>
    <x v="8"/>
    <n v="91.68"/>
    <n v="3"/>
    <n v="0"/>
    <n v="45.84"/>
  </r>
  <r>
    <s v="First Class"/>
    <x v="1"/>
    <s v="United States"/>
    <s v="Mobile"/>
    <x v="19"/>
    <n v="36608"/>
    <x v="0"/>
    <x v="1"/>
    <x v="8"/>
    <n v="33.75"/>
    <n v="5"/>
    <n v="0"/>
    <n v="16.875"/>
  </r>
  <r>
    <s v="First Class"/>
    <x v="1"/>
    <s v="United States"/>
    <s v="Mobile"/>
    <x v="19"/>
    <n v="36608"/>
    <x v="0"/>
    <x v="2"/>
    <x v="15"/>
    <n v="3040"/>
    <n v="8"/>
    <n v="0"/>
    <n v="1459.2"/>
  </r>
  <r>
    <s v="Standard Class"/>
    <x v="2"/>
    <s v="United States"/>
    <s v="Columbus"/>
    <x v="32"/>
    <n v="31907"/>
    <x v="0"/>
    <x v="1"/>
    <x v="8"/>
    <n v="91.2"/>
    <n v="3"/>
    <n v="0"/>
    <n v="41.951999999999998"/>
  </r>
  <r>
    <s v="Standard Class"/>
    <x v="2"/>
    <s v="United States"/>
    <s v="Columbus"/>
    <x v="32"/>
    <n v="31907"/>
    <x v="0"/>
    <x v="0"/>
    <x v="3"/>
    <n v="452.94"/>
    <n v="3"/>
    <n v="0"/>
    <n v="67.941000000000003"/>
  </r>
  <r>
    <s v="Standard Class"/>
    <x v="1"/>
    <s v="United States"/>
    <s v="New Bedford"/>
    <x v="31"/>
    <n v="2740"/>
    <x v="3"/>
    <x v="1"/>
    <x v="8"/>
    <n v="52.2"/>
    <n v="9"/>
    <n v="0"/>
    <n v="23.49"/>
  </r>
  <r>
    <s v="Standard Class"/>
    <x v="1"/>
    <s v="United States"/>
    <s v="Irving"/>
    <x v="5"/>
    <n v="75061"/>
    <x v="2"/>
    <x v="1"/>
    <x v="2"/>
    <n v="15.936"/>
    <n v="4"/>
    <n v="0.2"/>
    <n v="5.1791999999999998"/>
  </r>
  <r>
    <s v="Same Day"/>
    <x v="0"/>
    <s v="United States"/>
    <s v="Middletown"/>
    <x v="29"/>
    <n v="6457"/>
    <x v="3"/>
    <x v="0"/>
    <x v="5"/>
    <n v="27.46"/>
    <n v="2"/>
    <n v="0"/>
    <n v="9.8856000000000002"/>
  </r>
  <r>
    <s v="Standard Class"/>
    <x v="0"/>
    <s v="United States"/>
    <s v="Seattle"/>
    <x v="4"/>
    <n v="98103"/>
    <x v="1"/>
    <x v="1"/>
    <x v="8"/>
    <n v="55.423999999999999"/>
    <n v="2"/>
    <n v="0.2"/>
    <n v="19.398399999999999"/>
  </r>
  <r>
    <s v="Standard Class"/>
    <x v="0"/>
    <s v="United States"/>
    <s v="Vineland"/>
    <x v="30"/>
    <n v="8360"/>
    <x v="3"/>
    <x v="0"/>
    <x v="3"/>
    <n v="244.006"/>
    <n v="2"/>
    <n v="0.3"/>
    <n v="-31.372199999999999"/>
  </r>
  <r>
    <s v="First Class"/>
    <x v="1"/>
    <s v="United States"/>
    <s v="Pasadena"/>
    <x v="5"/>
    <n v="77506"/>
    <x v="2"/>
    <x v="2"/>
    <x v="11"/>
    <n v="159.98400000000001"/>
    <n v="2"/>
    <n v="0.2"/>
    <n v="43.995600000000003"/>
  </r>
  <r>
    <s v="First Class"/>
    <x v="1"/>
    <s v="United States"/>
    <s v="Pasadena"/>
    <x v="5"/>
    <n v="77506"/>
    <x v="2"/>
    <x v="0"/>
    <x v="1"/>
    <n v="1024.7159999999999"/>
    <n v="6"/>
    <n v="0.3"/>
    <n v="-29.2776"/>
  </r>
  <r>
    <s v="First Class"/>
    <x v="1"/>
    <s v="United States"/>
    <s v="New York City"/>
    <x v="15"/>
    <n v="10009"/>
    <x v="3"/>
    <x v="1"/>
    <x v="13"/>
    <n v="3.68"/>
    <n v="2"/>
    <n v="0"/>
    <n v="1.8031999999999999"/>
  </r>
  <r>
    <s v="Standard Class"/>
    <x v="0"/>
    <s v="United States"/>
    <s v="Glendale"/>
    <x v="16"/>
    <n v="85301"/>
    <x v="1"/>
    <x v="0"/>
    <x v="5"/>
    <n v="121.376"/>
    <n v="4"/>
    <n v="0.2"/>
    <n v="-3.0344000000000002"/>
  </r>
  <r>
    <s v="Standard Class"/>
    <x v="0"/>
    <s v="United States"/>
    <s v="Glendale"/>
    <x v="16"/>
    <n v="85301"/>
    <x v="1"/>
    <x v="2"/>
    <x v="11"/>
    <n v="95.975999999999999"/>
    <n v="3"/>
    <n v="0.2"/>
    <n v="-10.7973"/>
  </r>
  <r>
    <s v="Same Day"/>
    <x v="2"/>
    <s v="United States"/>
    <s v="Jacksonville"/>
    <x v="2"/>
    <n v="32216"/>
    <x v="0"/>
    <x v="2"/>
    <x v="11"/>
    <n v="255.96799999999999"/>
    <n v="4"/>
    <n v="0.2"/>
    <n v="31.995999999999999"/>
  </r>
  <r>
    <s v="Standard Class"/>
    <x v="1"/>
    <s v="United States"/>
    <s v="Detroit"/>
    <x v="12"/>
    <n v="48234"/>
    <x v="2"/>
    <x v="0"/>
    <x v="1"/>
    <n v="872.94"/>
    <n v="3"/>
    <n v="0"/>
    <n v="226.96440000000001"/>
  </r>
  <r>
    <s v="Standard Class"/>
    <x v="1"/>
    <s v="United States"/>
    <s v="Detroit"/>
    <x v="12"/>
    <n v="48234"/>
    <x v="2"/>
    <x v="1"/>
    <x v="8"/>
    <n v="41.54"/>
    <n v="2"/>
    <n v="0"/>
    <n v="19.523800000000001"/>
  </r>
  <r>
    <s v="Standard Class"/>
    <x v="1"/>
    <s v="United States"/>
    <s v="Detroit"/>
    <x v="12"/>
    <n v="48234"/>
    <x v="2"/>
    <x v="1"/>
    <x v="10"/>
    <n v="12.96"/>
    <n v="2"/>
    <n v="0"/>
    <n v="6.2207999999999997"/>
  </r>
  <r>
    <s v="Second Class"/>
    <x v="1"/>
    <s v="United States"/>
    <s v="Philadelphia"/>
    <x v="9"/>
    <n v="19120"/>
    <x v="3"/>
    <x v="1"/>
    <x v="6"/>
    <n v="6.8479999999999999"/>
    <n v="2"/>
    <n v="0.2"/>
    <n v="0.59919999999999995"/>
  </r>
  <r>
    <s v="Standard Class"/>
    <x v="1"/>
    <s v="United States"/>
    <s v="Los Angeles"/>
    <x v="1"/>
    <n v="90004"/>
    <x v="1"/>
    <x v="1"/>
    <x v="2"/>
    <n v="8.67"/>
    <n v="3"/>
    <n v="0"/>
    <n v="4.0749000000000004"/>
  </r>
  <r>
    <s v="Same Day"/>
    <x v="0"/>
    <s v="United States"/>
    <s v="Houston"/>
    <x v="5"/>
    <n v="77036"/>
    <x v="2"/>
    <x v="0"/>
    <x v="5"/>
    <n v="6.6879999999999997"/>
    <n v="4"/>
    <n v="0.6"/>
    <n v="-4.0128000000000004"/>
  </r>
  <r>
    <s v="Standard Class"/>
    <x v="2"/>
    <s v="United States"/>
    <s v="Niagara Falls"/>
    <x v="15"/>
    <n v="14304"/>
    <x v="3"/>
    <x v="1"/>
    <x v="6"/>
    <n v="17.28"/>
    <n v="6"/>
    <n v="0"/>
    <n v="5.0111999999999997"/>
  </r>
  <r>
    <s v="Standard Class"/>
    <x v="2"/>
    <s v="United States"/>
    <s v="Niagara Falls"/>
    <x v="15"/>
    <n v="14304"/>
    <x v="3"/>
    <x v="1"/>
    <x v="8"/>
    <n v="17.712"/>
    <n v="3"/>
    <n v="0.2"/>
    <n v="6.4206000000000003"/>
  </r>
  <r>
    <s v="Standard Class"/>
    <x v="2"/>
    <s v="United States"/>
    <s v="New York City"/>
    <x v="15"/>
    <n v="10024"/>
    <x v="3"/>
    <x v="1"/>
    <x v="2"/>
    <n v="28.91"/>
    <n v="7"/>
    <n v="0"/>
    <n v="13.2986"/>
  </r>
  <r>
    <s v="Standard Class"/>
    <x v="0"/>
    <s v="United States"/>
    <s v="Thomasville"/>
    <x v="3"/>
    <n v="27360"/>
    <x v="0"/>
    <x v="1"/>
    <x v="14"/>
    <n v="52.136000000000003"/>
    <n v="7"/>
    <n v="0.2"/>
    <n v="5.8653000000000004"/>
  </r>
  <r>
    <s v="First Class"/>
    <x v="0"/>
    <s v="United States"/>
    <s v="Westminster"/>
    <x v="1"/>
    <n v="92683"/>
    <x v="1"/>
    <x v="2"/>
    <x v="7"/>
    <n v="31.968"/>
    <n v="4"/>
    <n v="0.2"/>
    <n v="2.3976000000000002"/>
  </r>
  <r>
    <s v="Standard Class"/>
    <x v="0"/>
    <s v="United States"/>
    <s v="San Francisco"/>
    <x v="1"/>
    <n v="94122"/>
    <x v="1"/>
    <x v="1"/>
    <x v="10"/>
    <n v="25.92"/>
    <n v="4"/>
    <n v="0"/>
    <n v="12.441599999999999"/>
  </r>
  <r>
    <s v="Standard Class"/>
    <x v="0"/>
    <s v="United States"/>
    <s v="San Francisco"/>
    <x v="1"/>
    <n v="94122"/>
    <x v="1"/>
    <x v="1"/>
    <x v="10"/>
    <n v="40.46"/>
    <n v="7"/>
    <n v="0"/>
    <n v="19.825399999999998"/>
  </r>
  <r>
    <s v="Standard Class"/>
    <x v="0"/>
    <s v="United States"/>
    <s v="San Francisco"/>
    <x v="1"/>
    <n v="94122"/>
    <x v="1"/>
    <x v="1"/>
    <x v="4"/>
    <n v="33.869999999999997"/>
    <n v="3"/>
    <n v="0"/>
    <n v="8.8062000000000005"/>
  </r>
  <r>
    <s v="Second Class"/>
    <x v="0"/>
    <s v="United States"/>
    <s v="Jackson"/>
    <x v="18"/>
    <n v="38301"/>
    <x v="0"/>
    <x v="1"/>
    <x v="6"/>
    <n v="9.7279999999999998"/>
    <n v="2"/>
    <n v="0.2"/>
    <n v="1.7023999999999999"/>
  </r>
  <r>
    <s v="Second Class"/>
    <x v="0"/>
    <s v="United States"/>
    <s v="Jackson"/>
    <x v="18"/>
    <n v="38301"/>
    <x v="0"/>
    <x v="1"/>
    <x v="10"/>
    <n v="3.4239999999999999"/>
    <n v="1"/>
    <n v="0.2"/>
    <n v="1.07"/>
  </r>
  <r>
    <s v="Standard Class"/>
    <x v="1"/>
    <s v="United States"/>
    <s v="Seattle"/>
    <x v="4"/>
    <n v="98115"/>
    <x v="1"/>
    <x v="2"/>
    <x v="11"/>
    <n v="177"/>
    <n v="3"/>
    <n v="0"/>
    <n v="30.09"/>
  </r>
  <r>
    <s v="Standard Class"/>
    <x v="0"/>
    <s v="United States"/>
    <s v="New York City"/>
    <x v="15"/>
    <n v="10035"/>
    <x v="3"/>
    <x v="1"/>
    <x v="13"/>
    <n v="3.76"/>
    <n v="2"/>
    <n v="0"/>
    <n v="1.3160000000000001"/>
  </r>
  <r>
    <s v="Standard Class"/>
    <x v="2"/>
    <s v="United States"/>
    <s v="Los Angeles"/>
    <x v="1"/>
    <n v="90008"/>
    <x v="1"/>
    <x v="2"/>
    <x v="7"/>
    <n v="1212.848"/>
    <n v="7"/>
    <n v="0.2"/>
    <n v="106.1242"/>
  </r>
  <r>
    <s v="Standard Class"/>
    <x v="2"/>
    <s v="United States"/>
    <s v="Los Angeles"/>
    <x v="1"/>
    <n v="90008"/>
    <x v="1"/>
    <x v="2"/>
    <x v="11"/>
    <n v="89.97"/>
    <n v="3"/>
    <n v="0"/>
    <n v="37.787399999999998"/>
  </r>
  <r>
    <s v="Standard Class"/>
    <x v="2"/>
    <s v="United States"/>
    <s v="Los Angeles"/>
    <x v="1"/>
    <n v="90008"/>
    <x v="1"/>
    <x v="0"/>
    <x v="5"/>
    <n v="42.6"/>
    <n v="3"/>
    <n v="0"/>
    <n v="16.614000000000001"/>
  </r>
  <r>
    <s v="Standard Class"/>
    <x v="0"/>
    <s v="United States"/>
    <s v="Philadelphia"/>
    <x v="9"/>
    <n v="19143"/>
    <x v="3"/>
    <x v="1"/>
    <x v="2"/>
    <n v="5.04"/>
    <n v="2"/>
    <n v="0.2"/>
    <n v="1.764"/>
  </r>
  <r>
    <s v="Second Class"/>
    <x v="1"/>
    <s v="United States"/>
    <s v="New York City"/>
    <x v="15"/>
    <n v="10024"/>
    <x v="3"/>
    <x v="1"/>
    <x v="12"/>
    <n v="62.96"/>
    <n v="4"/>
    <n v="0"/>
    <n v="28.332000000000001"/>
  </r>
  <r>
    <s v="Standard Class"/>
    <x v="1"/>
    <s v="United States"/>
    <s v="New York City"/>
    <x v="15"/>
    <n v="10035"/>
    <x v="3"/>
    <x v="1"/>
    <x v="10"/>
    <n v="5.88"/>
    <n v="1"/>
    <n v="0"/>
    <n v="2.8812000000000002"/>
  </r>
  <r>
    <s v="Standard Class"/>
    <x v="1"/>
    <s v="United States"/>
    <s v="New York City"/>
    <x v="15"/>
    <n v="10035"/>
    <x v="3"/>
    <x v="0"/>
    <x v="1"/>
    <n v="977.29200000000003"/>
    <n v="6"/>
    <n v="0.1"/>
    <n v="173.74080000000001"/>
  </r>
  <r>
    <s v="Standard Class"/>
    <x v="1"/>
    <s v="United States"/>
    <s v="Vancouver"/>
    <x v="4"/>
    <n v="98661"/>
    <x v="1"/>
    <x v="0"/>
    <x v="5"/>
    <n v="9.64"/>
    <n v="2"/>
    <n v="0"/>
    <n v="3.6631999999999998"/>
  </r>
  <r>
    <s v="Second Class"/>
    <x v="0"/>
    <s v="United States"/>
    <s v="Columbus"/>
    <x v="32"/>
    <n v="31907"/>
    <x v="0"/>
    <x v="1"/>
    <x v="6"/>
    <n v="40.049999999999997"/>
    <n v="3"/>
    <n v="0"/>
    <n v="11.214"/>
  </r>
  <r>
    <s v="Standard Class"/>
    <x v="0"/>
    <s v="United States"/>
    <s v="Coppell"/>
    <x v="5"/>
    <n v="75019"/>
    <x v="2"/>
    <x v="1"/>
    <x v="6"/>
    <n v="10.192"/>
    <n v="7"/>
    <n v="0.2"/>
    <n v="3.1850000000000001"/>
  </r>
  <r>
    <s v="Standard Class"/>
    <x v="0"/>
    <s v="United States"/>
    <s v="Coppell"/>
    <x v="5"/>
    <n v="75019"/>
    <x v="2"/>
    <x v="1"/>
    <x v="4"/>
    <n v="16.783999999999999"/>
    <n v="1"/>
    <n v="0.2"/>
    <n v="-0.20979999999999999"/>
  </r>
  <r>
    <s v="Standard Class"/>
    <x v="0"/>
    <s v="United States"/>
    <s v="Coppell"/>
    <x v="5"/>
    <n v="75019"/>
    <x v="2"/>
    <x v="1"/>
    <x v="6"/>
    <n v="13.12"/>
    <n v="5"/>
    <n v="0.2"/>
    <n v="3.7719999999999998"/>
  </r>
  <r>
    <s v="First Class"/>
    <x v="2"/>
    <s v="United States"/>
    <s v="San Francisco"/>
    <x v="1"/>
    <n v="94122"/>
    <x v="1"/>
    <x v="1"/>
    <x v="8"/>
    <n v="18.16"/>
    <n v="5"/>
    <n v="0.2"/>
    <n v="6.5830000000000002"/>
  </r>
  <r>
    <s v="Standard Class"/>
    <x v="0"/>
    <s v="United States"/>
    <s v="Austin"/>
    <x v="5"/>
    <n v="78745"/>
    <x v="2"/>
    <x v="1"/>
    <x v="10"/>
    <n v="16.056000000000001"/>
    <n v="3"/>
    <n v="0.2"/>
    <n v="5.8202999999999996"/>
  </r>
  <r>
    <s v="Standard Class"/>
    <x v="0"/>
    <s v="United States"/>
    <s v="Austin"/>
    <x v="5"/>
    <n v="78745"/>
    <x v="2"/>
    <x v="1"/>
    <x v="10"/>
    <n v="223.05600000000001"/>
    <n v="9"/>
    <n v="0.2"/>
    <n v="69.704999999999998"/>
  </r>
  <r>
    <s v="Standard Class"/>
    <x v="0"/>
    <s v="United States"/>
    <s v="Austin"/>
    <x v="5"/>
    <n v="78745"/>
    <x v="2"/>
    <x v="1"/>
    <x v="4"/>
    <n v="540.048"/>
    <n v="3"/>
    <n v="0.2"/>
    <n v="-47.254199999999997"/>
  </r>
  <r>
    <s v="Standard Class"/>
    <x v="2"/>
    <s v="United States"/>
    <s v="Los Angeles"/>
    <x v="1"/>
    <n v="90045"/>
    <x v="1"/>
    <x v="2"/>
    <x v="7"/>
    <n v="33.520000000000003"/>
    <n v="2"/>
    <n v="0.2"/>
    <n v="3.3519999999999999"/>
  </r>
  <r>
    <s v="Standard Class"/>
    <x v="2"/>
    <s v="United States"/>
    <s v="Los Angeles"/>
    <x v="1"/>
    <n v="90045"/>
    <x v="1"/>
    <x v="0"/>
    <x v="5"/>
    <n v="9.94"/>
    <n v="2"/>
    <n v="0"/>
    <n v="3.0813999999999999"/>
  </r>
  <r>
    <s v="Standard Class"/>
    <x v="2"/>
    <s v="United States"/>
    <s v="Los Angeles"/>
    <x v="1"/>
    <n v="90004"/>
    <x v="1"/>
    <x v="1"/>
    <x v="6"/>
    <n v="6.72"/>
    <n v="4"/>
    <n v="0"/>
    <n v="3.36"/>
  </r>
  <r>
    <s v="Standard Class"/>
    <x v="2"/>
    <s v="United States"/>
    <s v="Los Angeles"/>
    <x v="1"/>
    <n v="90004"/>
    <x v="1"/>
    <x v="0"/>
    <x v="3"/>
    <n v="1004.976"/>
    <n v="6"/>
    <n v="0.2"/>
    <n v="-175.8708"/>
  </r>
  <r>
    <s v="Standard Class"/>
    <x v="0"/>
    <s v="United States"/>
    <s v="New York City"/>
    <x v="15"/>
    <n v="10024"/>
    <x v="3"/>
    <x v="1"/>
    <x v="8"/>
    <n v="17.88"/>
    <n v="3"/>
    <n v="0.2"/>
    <n v="5.5875000000000004"/>
  </r>
  <r>
    <s v="Standard Class"/>
    <x v="0"/>
    <s v="United States"/>
    <s v="Columbus"/>
    <x v="32"/>
    <n v="31907"/>
    <x v="0"/>
    <x v="2"/>
    <x v="15"/>
    <n v="396"/>
    <n v="4"/>
    <n v="0"/>
    <n v="190.08"/>
  </r>
  <r>
    <s v="Same Day"/>
    <x v="2"/>
    <s v="United States"/>
    <s v="Omaha"/>
    <x v="8"/>
    <n v="68104"/>
    <x v="2"/>
    <x v="1"/>
    <x v="8"/>
    <n v="34.5"/>
    <n v="3"/>
    <n v="0"/>
    <n v="15.525"/>
  </r>
  <r>
    <s v="First Class"/>
    <x v="0"/>
    <s v="United States"/>
    <s v="Los Angeles"/>
    <x v="1"/>
    <n v="90036"/>
    <x v="1"/>
    <x v="0"/>
    <x v="5"/>
    <n v="8.36"/>
    <n v="2"/>
    <n v="0"/>
    <n v="3.0095999999999998"/>
  </r>
  <r>
    <s v="Standard Class"/>
    <x v="1"/>
    <s v="United States"/>
    <s v="Pomona"/>
    <x v="1"/>
    <n v="91767"/>
    <x v="1"/>
    <x v="1"/>
    <x v="6"/>
    <n v="385.6"/>
    <n v="8"/>
    <n v="0"/>
    <n v="111.824"/>
  </r>
  <r>
    <s v="Standard Class"/>
    <x v="1"/>
    <s v="United States"/>
    <s v="Pomona"/>
    <x v="1"/>
    <n v="91767"/>
    <x v="1"/>
    <x v="1"/>
    <x v="6"/>
    <n v="35.82"/>
    <n v="9"/>
    <n v="0"/>
    <n v="11.820600000000001"/>
  </r>
  <r>
    <s v="Standard Class"/>
    <x v="0"/>
    <s v="United States"/>
    <s v="Dallas"/>
    <x v="5"/>
    <n v="75220"/>
    <x v="2"/>
    <x v="1"/>
    <x v="4"/>
    <n v="200.06399999999999"/>
    <n v="3"/>
    <n v="0.2"/>
    <n v="12.504"/>
  </r>
  <r>
    <s v="Standard Class"/>
    <x v="0"/>
    <s v="United States"/>
    <s v="Dallas"/>
    <x v="5"/>
    <n v="75220"/>
    <x v="2"/>
    <x v="1"/>
    <x v="8"/>
    <n v="21.38"/>
    <n v="5"/>
    <n v="0.8"/>
    <n v="-33.139000000000003"/>
  </r>
  <r>
    <s v="Standard Class"/>
    <x v="0"/>
    <s v="United States"/>
    <s v="Dallas"/>
    <x v="5"/>
    <n v="75220"/>
    <x v="2"/>
    <x v="1"/>
    <x v="8"/>
    <n v="6.7439999999999998"/>
    <n v="4"/>
    <n v="0.8"/>
    <n v="-11.4648"/>
  </r>
  <r>
    <s v="Standard Class"/>
    <x v="0"/>
    <s v="United States"/>
    <s v="Philadelphia"/>
    <x v="9"/>
    <n v="19120"/>
    <x v="3"/>
    <x v="0"/>
    <x v="1"/>
    <n v="63.686"/>
    <n v="1"/>
    <n v="0.3"/>
    <n v="-9.0980000000000008"/>
  </r>
  <r>
    <s v="Second Class"/>
    <x v="0"/>
    <s v="United States"/>
    <s v="North Las Vegas"/>
    <x v="33"/>
    <n v="89031"/>
    <x v="1"/>
    <x v="0"/>
    <x v="3"/>
    <n v="1669.6"/>
    <n v="4"/>
    <n v="0"/>
    <n v="116.872"/>
  </r>
  <r>
    <s v="Second Class"/>
    <x v="0"/>
    <s v="United States"/>
    <s v="Seattle"/>
    <x v="4"/>
    <n v="98105"/>
    <x v="1"/>
    <x v="1"/>
    <x v="8"/>
    <n v="83.84"/>
    <n v="2"/>
    <n v="0.2"/>
    <n v="27.248000000000001"/>
  </r>
  <r>
    <s v="Second Class"/>
    <x v="0"/>
    <s v="United States"/>
    <s v="Seattle"/>
    <x v="4"/>
    <n v="98105"/>
    <x v="1"/>
    <x v="1"/>
    <x v="8"/>
    <n v="13.272"/>
    <n v="3"/>
    <n v="0.2"/>
    <n v="4.3133999999999997"/>
  </r>
  <r>
    <s v="Second Class"/>
    <x v="1"/>
    <s v="United States"/>
    <s v="San Francisco"/>
    <x v="1"/>
    <n v="94110"/>
    <x v="1"/>
    <x v="1"/>
    <x v="8"/>
    <n v="21.335999999999999"/>
    <n v="7"/>
    <n v="0.2"/>
    <n v="7.7343000000000002"/>
  </r>
  <r>
    <s v="Standard Class"/>
    <x v="2"/>
    <s v="United States"/>
    <s v="Chicago"/>
    <x v="10"/>
    <n v="60610"/>
    <x v="2"/>
    <x v="1"/>
    <x v="6"/>
    <n v="16.52"/>
    <n v="5"/>
    <n v="0.2"/>
    <n v="2.0649999999999999"/>
  </r>
  <r>
    <s v="Standard Class"/>
    <x v="0"/>
    <s v="United States"/>
    <s v="Tucson"/>
    <x v="16"/>
    <n v="85705"/>
    <x v="1"/>
    <x v="0"/>
    <x v="5"/>
    <n v="206.11199999999999"/>
    <n v="6"/>
    <n v="0.2"/>
    <n v="48.951599999999999"/>
  </r>
  <r>
    <s v="Standard Class"/>
    <x v="0"/>
    <s v="United States"/>
    <s v="Tucson"/>
    <x v="16"/>
    <n v="85705"/>
    <x v="1"/>
    <x v="1"/>
    <x v="10"/>
    <n v="19.920000000000002"/>
    <n v="5"/>
    <n v="0.2"/>
    <n v="6.7229999999999999"/>
  </r>
  <r>
    <s v="Standard Class"/>
    <x v="0"/>
    <s v="United States"/>
    <s v="Tucson"/>
    <x v="16"/>
    <n v="85705"/>
    <x v="1"/>
    <x v="1"/>
    <x v="10"/>
    <n v="198.27199999999999"/>
    <n v="8"/>
    <n v="0.2"/>
    <n v="61.96"/>
  </r>
  <r>
    <s v="Standard Class"/>
    <x v="0"/>
    <s v="United States"/>
    <s v="Tucson"/>
    <x v="16"/>
    <n v="85705"/>
    <x v="1"/>
    <x v="1"/>
    <x v="4"/>
    <n v="247.10400000000001"/>
    <n v="6"/>
    <n v="0.2"/>
    <n v="-58.687199999999997"/>
  </r>
  <r>
    <s v="Standard Class"/>
    <x v="0"/>
    <s v="United States"/>
    <s v="Tucson"/>
    <x v="16"/>
    <n v="85705"/>
    <x v="1"/>
    <x v="1"/>
    <x v="6"/>
    <n v="86.304000000000002"/>
    <n v="6"/>
    <n v="0.2"/>
    <n v="9.7091999999999992"/>
  </r>
  <r>
    <s v="Standard Class"/>
    <x v="0"/>
    <s v="United States"/>
    <s v="Allentown"/>
    <x v="9"/>
    <n v="18103"/>
    <x v="3"/>
    <x v="1"/>
    <x v="6"/>
    <n v="4.16"/>
    <n v="2"/>
    <n v="0.2"/>
    <n v="0.36399999999999999"/>
  </r>
  <r>
    <s v="Standard Class"/>
    <x v="0"/>
    <s v="United States"/>
    <s v="Allentown"/>
    <x v="9"/>
    <n v="18103"/>
    <x v="3"/>
    <x v="0"/>
    <x v="5"/>
    <n v="11.648"/>
    <n v="2"/>
    <n v="0.2"/>
    <n v="3.3488000000000002"/>
  </r>
  <r>
    <s v="Second Class"/>
    <x v="1"/>
    <s v="United States"/>
    <s v="Newark"/>
    <x v="13"/>
    <n v="19711"/>
    <x v="3"/>
    <x v="1"/>
    <x v="13"/>
    <n v="26.18"/>
    <n v="7"/>
    <n v="0"/>
    <n v="0.52359999999999995"/>
  </r>
  <r>
    <s v="Second Class"/>
    <x v="1"/>
    <s v="United States"/>
    <s v="Newark"/>
    <x v="13"/>
    <n v="19711"/>
    <x v="3"/>
    <x v="1"/>
    <x v="10"/>
    <n v="7.3"/>
    <n v="2"/>
    <n v="0"/>
    <n v="3.431"/>
  </r>
  <r>
    <s v="Standard Class"/>
    <x v="1"/>
    <s v="United States"/>
    <s v="Miami"/>
    <x v="2"/>
    <n v="33142"/>
    <x v="0"/>
    <x v="1"/>
    <x v="10"/>
    <n v="74.352000000000004"/>
    <n v="3"/>
    <n v="0.2"/>
    <n v="23.234999999999999"/>
  </r>
  <r>
    <s v="Standard Class"/>
    <x v="0"/>
    <s v="United States"/>
    <s v="Tempe"/>
    <x v="16"/>
    <n v="85281"/>
    <x v="1"/>
    <x v="1"/>
    <x v="4"/>
    <n v="10.744"/>
    <n v="1"/>
    <n v="0.2"/>
    <n v="0.80579999999999996"/>
  </r>
  <r>
    <s v="Standard Class"/>
    <x v="0"/>
    <s v="United States"/>
    <s v="Tempe"/>
    <x v="16"/>
    <n v="85281"/>
    <x v="1"/>
    <x v="1"/>
    <x v="13"/>
    <n v="8.3759999999999994"/>
    <n v="3"/>
    <n v="0.2"/>
    <n v="2.7222"/>
  </r>
  <r>
    <s v="Standard Class"/>
    <x v="1"/>
    <s v="United States"/>
    <s v="New York City"/>
    <x v="15"/>
    <n v="10035"/>
    <x v="3"/>
    <x v="1"/>
    <x v="4"/>
    <n v="212.88"/>
    <n v="6"/>
    <n v="0"/>
    <n v="0"/>
  </r>
  <r>
    <s v="Standard Class"/>
    <x v="2"/>
    <s v="United States"/>
    <s v="Laguna Niguel"/>
    <x v="1"/>
    <n v="92677"/>
    <x v="1"/>
    <x v="0"/>
    <x v="0"/>
    <n v="203.983"/>
    <n v="2"/>
    <n v="0.15"/>
    <n v="16.7986"/>
  </r>
  <r>
    <s v="Standard Class"/>
    <x v="1"/>
    <s v="United States"/>
    <s v="Bridgeton"/>
    <x v="30"/>
    <n v="8302"/>
    <x v="3"/>
    <x v="1"/>
    <x v="4"/>
    <n v="40.74"/>
    <n v="3"/>
    <n v="0"/>
    <n v="0.40739999999999998"/>
  </r>
  <r>
    <s v="Standard Class"/>
    <x v="1"/>
    <s v="United States"/>
    <s v="Bridgeton"/>
    <x v="30"/>
    <n v="8302"/>
    <x v="3"/>
    <x v="1"/>
    <x v="9"/>
    <n v="11.67"/>
    <n v="3"/>
    <n v="0"/>
    <n v="3.0341999999999998"/>
  </r>
  <r>
    <s v="Second Class"/>
    <x v="0"/>
    <s v="United States"/>
    <s v="Everett"/>
    <x v="31"/>
    <n v="2149"/>
    <x v="3"/>
    <x v="2"/>
    <x v="7"/>
    <n v="39.99"/>
    <n v="1"/>
    <n v="0"/>
    <n v="11.597099999999999"/>
  </r>
  <r>
    <s v="Second Class"/>
    <x v="0"/>
    <s v="United States"/>
    <s v="Everett"/>
    <x v="31"/>
    <n v="2149"/>
    <x v="3"/>
    <x v="1"/>
    <x v="6"/>
    <n v="16.28"/>
    <n v="2"/>
    <n v="0"/>
    <n v="6.5119999999999996"/>
  </r>
  <r>
    <s v="Second Class"/>
    <x v="0"/>
    <s v="United States"/>
    <s v="Everett"/>
    <x v="31"/>
    <n v="2149"/>
    <x v="3"/>
    <x v="0"/>
    <x v="0"/>
    <n v="782.94"/>
    <n v="3"/>
    <n v="0"/>
    <n v="203.56440000000001"/>
  </r>
  <r>
    <s v="Second Class"/>
    <x v="0"/>
    <s v="United States"/>
    <s v="Everett"/>
    <x v="31"/>
    <n v="2149"/>
    <x v="3"/>
    <x v="1"/>
    <x v="8"/>
    <n v="242.48"/>
    <n v="7"/>
    <n v="0"/>
    <n v="116.3904"/>
  </r>
  <r>
    <s v="Second Class"/>
    <x v="0"/>
    <s v="United States"/>
    <s v="Columbus"/>
    <x v="24"/>
    <n v="43229"/>
    <x v="3"/>
    <x v="0"/>
    <x v="5"/>
    <n v="8.32"/>
    <n v="5"/>
    <n v="0.2"/>
    <n v="2.2879999999999998"/>
  </r>
  <r>
    <s v="Second Class"/>
    <x v="0"/>
    <s v="United States"/>
    <s v="Columbus"/>
    <x v="24"/>
    <n v="43229"/>
    <x v="3"/>
    <x v="1"/>
    <x v="13"/>
    <n v="10.464"/>
    <n v="6"/>
    <n v="0.2"/>
    <n v="1.7003999999999999"/>
  </r>
  <r>
    <s v="Standard Class"/>
    <x v="2"/>
    <s v="United States"/>
    <s v="San Diego"/>
    <x v="1"/>
    <n v="92024"/>
    <x v="1"/>
    <x v="1"/>
    <x v="8"/>
    <n v="82.896000000000001"/>
    <n v="3"/>
    <n v="0.2"/>
    <n v="29.0136"/>
  </r>
  <r>
    <s v="Standard Class"/>
    <x v="2"/>
    <s v="United States"/>
    <s v="San Diego"/>
    <x v="1"/>
    <n v="92024"/>
    <x v="1"/>
    <x v="1"/>
    <x v="10"/>
    <n v="34.24"/>
    <n v="4"/>
    <n v="0"/>
    <n v="16.0928"/>
  </r>
  <r>
    <s v="Second Class"/>
    <x v="1"/>
    <s v="United States"/>
    <s v="Watertown"/>
    <x v="15"/>
    <n v="13601"/>
    <x v="3"/>
    <x v="0"/>
    <x v="0"/>
    <n v="1573.4880000000001"/>
    <n v="7"/>
    <n v="0.2"/>
    <n v="196.68600000000001"/>
  </r>
  <r>
    <s v="Standard Class"/>
    <x v="1"/>
    <s v="United States"/>
    <s v="San Antonio"/>
    <x v="5"/>
    <n v="78207"/>
    <x v="2"/>
    <x v="1"/>
    <x v="10"/>
    <n v="335.52"/>
    <n v="4"/>
    <n v="0.2"/>
    <n v="117.432"/>
  </r>
  <r>
    <s v="Standard Class"/>
    <x v="1"/>
    <s v="United States"/>
    <s v="San Antonio"/>
    <x v="5"/>
    <n v="78207"/>
    <x v="2"/>
    <x v="1"/>
    <x v="8"/>
    <n v="23.911999999999999"/>
    <n v="2"/>
    <n v="0.8"/>
    <n v="-40.650399999999998"/>
  </r>
  <r>
    <s v="Standard Class"/>
    <x v="1"/>
    <s v="United States"/>
    <s v="San Antonio"/>
    <x v="5"/>
    <n v="78207"/>
    <x v="2"/>
    <x v="1"/>
    <x v="4"/>
    <n v="27.056000000000001"/>
    <n v="2"/>
    <n v="0.2"/>
    <n v="2.3673999999999999"/>
  </r>
  <r>
    <s v="First Class"/>
    <x v="0"/>
    <s v="United States"/>
    <s v="New York City"/>
    <x v="15"/>
    <n v="10011"/>
    <x v="3"/>
    <x v="2"/>
    <x v="16"/>
    <n v="559.99199999999996"/>
    <n v="1"/>
    <n v="0.2"/>
    <n v="174.9975"/>
  </r>
  <r>
    <s v="Second Class"/>
    <x v="2"/>
    <s v="United States"/>
    <s v="Houston"/>
    <x v="5"/>
    <n v="77095"/>
    <x v="2"/>
    <x v="1"/>
    <x v="9"/>
    <n v="9.3239999999999998"/>
    <n v="6"/>
    <n v="0.8"/>
    <n v="-24.708600000000001"/>
  </r>
  <r>
    <s v="Standard Class"/>
    <x v="0"/>
    <s v="United States"/>
    <s v="San Diego"/>
    <x v="1"/>
    <n v="92024"/>
    <x v="1"/>
    <x v="1"/>
    <x v="10"/>
    <n v="111.96"/>
    <n v="2"/>
    <n v="0"/>
    <n v="54.860399999999998"/>
  </r>
  <r>
    <s v="First Class"/>
    <x v="2"/>
    <s v="United States"/>
    <s v="Appleton"/>
    <x v="6"/>
    <n v="54915"/>
    <x v="2"/>
    <x v="1"/>
    <x v="2"/>
    <n v="21.56"/>
    <n v="7"/>
    <n v="0"/>
    <n v="10.348800000000001"/>
  </r>
  <r>
    <s v="Standard Class"/>
    <x v="0"/>
    <s v="United States"/>
    <s v="Richmond"/>
    <x v="0"/>
    <n v="40475"/>
    <x v="0"/>
    <x v="1"/>
    <x v="8"/>
    <n v="124.75"/>
    <n v="5"/>
    <n v="0"/>
    <n v="57.384999999999998"/>
  </r>
  <r>
    <s v="Standard Class"/>
    <x v="1"/>
    <s v="United States"/>
    <s v="Bellevue"/>
    <x v="4"/>
    <n v="98006"/>
    <x v="1"/>
    <x v="1"/>
    <x v="6"/>
    <n v="5.28"/>
    <n v="3"/>
    <n v="0"/>
    <n v="1.5311999999999999"/>
  </r>
  <r>
    <s v="Standard Class"/>
    <x v="0"/>
    <s v="United States"/>
    <s v="Long Beach"/>
    <x v="15"/>
    <n v="11561"/>
    <x v="3"/>
    <x v="2"/>
    <x v="11"/>
    <n v="91.96"/>
    <n v="4"/>
    <n v="0"/>
    <n v="39.5428"/>
  </r>
  <r>
    <s v="Standard Class"/>
    <x v="0"/>
    <s v="United States"/>
    <s v="Philadelphia"/>
    <x v="9"/>
    <n v="19140"/>
    <x v="3"/>
    <x v="1"/>
    <x v="12"/>
    <n v="9.3439999999999994"/>
    <n v="1"/>
    <n v="0.2"/>
    <n v="3.504"/>
  </r>
  <r>
    <s v="Standard Class"/>
    <x v="0"/>
    <s v="United States"/>
    <s v="Philadelphia"/>
    <x v="9"/>
    <n v="19140"/>
    <x v="3"/>
    <x v="1"/>
    <x v="6"/>
    <n v="79.36"/>
    <n v="5"/>
    <n v="0.2"/>
    <n v="9.92"/>
  </r>
  <r>
    <s v="Second Class"/>
    <x v="0"/>
    <s v="United States"/>
    <s v="Seattle"/>
    <x v="4"/>
    <n v="98103"/>
    <x v="1"/>
    <x v="0"/>
    <x v="3"/>
    <n v="171.96"/>
    <n v="2"/>
    <n v="0"/>
    <n v="44.709600000000002"/>
  </r>
  <r>
    <s v="Standard Class"/>
    <x v="1"/>
    <s v="United States"/>
    <s v="Seattle"/>
    <x v="4"/>
    <n v="98103"/>
    <x v="1"/>
    <x v="1"/>
    <x v="8"/>
    <n v="35.351999999999997"/>
    <n v="9"/>
    <n v="0.2"/>
    <n v="12.815099999999999"/>
  </r>
  <r>
    <s v="Standard Class"/>
    <x v="2"/>
    <s v="United States"/>
    <s v="San Francisco"/>
    <x v="1"/>
    <n v="94109"/>
    <x v="1"/>
    <x v="1"/>
    <x v="2"/>
    <n v="18.899999999999999"/>
    <n v="6"/>
    <n v="0"/>
    <n v="9.0719999999999992"/>
  </r>
  <r>
    <s v="First Class"/>
    <x v="2"/>
    <s v="United States"/>
    <s v="Seattle"/>
    <x v="4"/>
    <n v="98115"/>
    <x v="1"/>
    <x v="1"/>
    <x v="6"/>
    <n v="2.78"/>
    <n v="1"/>
    <n v="0"/>
    <n v="0.7228"/>
  </r>
  <r>
    <s v="Same Day"/>
    <x v="0"/>
    <s v="United States"/>
    <s v="New York City"/>
    <x v="15"/>
    <n v="10011"/>
    <x v="3"/>
    <x v="0"/>
    <x v="3"/>
    <n v="1044.6300000000001"/>
    <n v="5"/>
    <n v="0.4"/>
    <n v="-295.9785"/>
  </r>
  <r>
    <s v="Same Day"/>
    <x v="0"/>
    <s v="United States"/>
    <s v="Philadelphia"/>
    <x v="9"/>
    <n v="19134"/>
    <x v="3"/>
    <x v="1"/>
    <x v="10"/>
    <n v="11.352"/>
    <n v="3"/>
    <n v="0.2"/>
    <n v="4.1151"/>
  </r>
  <r>
    <s v="Same Day"/>
    <x v="0"/>
    <s v="United States"/>
    <s v="Columbia"/>
    <x v="20"/>
    <n v="29203"/>
    <x v="0"/>
    <x v="1"/>
    <x v="4"/>
    <n v="354.9"/>
    <n v="5"/>
    <n v="0"/>
    <n v="17.745000000000001"/>
  </r>
  <r>
    <s v="Standard Class"/>
    <x v="2"/>
    <s v="United States"/>
    <s v="Seattle"/>
    <x v="4"/>
    <n v="98105"/>
    <x v="1"/>
    <x v="2"/>
    <x v="7"/>
    <n v="453.57600000000002"/>
    <n v="3"/>
    <n v="0.2"/>
    <n v="39.687899999999999"/>
  </r>
  <r>
    <s v="First Class"/>
    <x v="0"/>
    <s v="United States"/>
    <s v="Allen"/>
    <x v="5"/>
    <n v="75002"/>
    <x v="2"/>
    <x v="2"/>
    <x v="11"/>
    <n v="21.48"/>
    <n v="3"/>
    <n v="0.2"/>
    <n v="-0.26850000000000002"/>
  </r>
  <r>
    <s v="First Class"/>
    <x v="0"/>
    <s v="United States"/>
    <s v="Allen"/>
    <x v="5"/>
    <n v="75002"/>
    <x v="2"/>
    <x v="1"/>
    <x v="8"/>
    <n v="8.7840000000000007"/>
    <n v="4"/>
    <n v="0.8"/>
    <n v="-13.6152"/>
  </r>
  <r>
    <s v="Same Day"/>
    <x v="0"/>
    <s v="United States"/>
    <s v="Los Angeles"/>
    <x v="1"/>
    <n v="90004"/>
    <x v="1"/>
    <x v="1"/>
    <x v="10"/>
    <n v="122.97"/>
    <n v="3"/>
    <n v="0"/>
    <n v="60.255299999999998"/>
  </r>
  <r>
    <s v="Standard Class"/>
    <x v="1"/>
    <s v="United States"/>
    <s v="Atlanta"/>
    <x v="32"/>
    <n v="30318"/>
    <x v="0"/>
    <x v="1"/>
    <x v="6"/>
    <n v="12.84"/>
    <n v="3"/>
    <n v="0"/>
    <n v="3.7235999999999998"/>
  </r>
  <r>
    <s v="First Class"/>
    <x v="0"/>
    <s v="United States"/>
    <s v="Los Angeles"/>
    <x v="1"/>
    <n v="90004"/>
    <x v="1"/>
    <x v="0"/>
    <x v="1"/>
    <n v="603.91999999999996"/>
    <n v="5"/>
    <n v="0.2"/>
    <n v="-67.941000000000003"/>
  </r>
  <r>
    <s v="First Class"/>
    <x v="0"/>
    <s v="United States"/>
    <s v="Los Angeles"/>
    <x v="1"/>
    <n v="90004"/>
    <x v="1"/>
    <x v="1"/>
    <x v="12"/>
    <n v="21.84"/>
    <n v="3"/>
    <n v="0"/>
    <n v="10.4832"/>
  </r>
  <r>
    <s v="First Class"/>
    <x v="0"/>
    <s v="United States"/>
    <s v="Los Angeles"/>
    <x v="1"/>
    <n v="90004"/>
    <x v="1"/>
    <x v="2"/>
    <x v="11"/>
    <n v="29.99"/>
    <n v="1"/>
    <n v="0"/>
    <n v="6.2979000000000003"/>
  </r>
  <r>
    <s v="First Class"/>
    <x v="0"/>
    <s v="United States"/>
    <s v="Los Angeles"/>
    <x v="1"/>
    <n v="90004"/>
    <x v="1"/>
    <x v="0"/>
    <x v="1"/>
    <n v="381.44"/>
    <n v="2"/>
    <n v="0.2"/>
    <n v="23.84"/>
  </r>
  <r>
    <s v="First Class"/>
    <x v="0"/>
    <s v="United States"/>
    <s v="El Paso"/>
    <x v="5"/>
    <n v="79907"/>
    <x v="2"/>
    <x v="2"/>
    <x v="7"/>
    <n v="40.68"/>
    <n v="3"/>
    <n v="0.2"/>
    <n v="-9.1530000000000005"/>
  </r>
  <r>
    <s v="First Class"/>
    <x v="0"/>
    <s v="United States"/>
    <s v="El Paso"/>
    <x v="5"/>
    <n v="79907"/>
    <x v="2"/>
    <x v="0"/>
    <x v="1"/>
    <n v="763.28"/>
    <n v="5"/>
    <n v="0.3"/>
    <n v="-21.808"/>
  </r>
  <r>
    <s v="Standard Class"/>
    <x v="2"/>
    <s v="United States"/>
    <s v="Aurora"/>
    <x v="10"/>
    <n v="60505"/>
    <x v="2"/>
    <x v="1"/>
    <x v="4"/>
    <n v="23.952000000000002"/>
    <n v="2"/>
    <n v="0.2"/>
    <n v="2.3952"/>
  </r>
  <r>
    <s v="Standard Class"/>
    <x v="2"/>
    <s v="United States"/>
    <s v="Florence"/>
    <x v="19"/>
    <n v="35630"/>
    <x v="0"/>
    <x v="1"/>
    <x v="10"/>
    <n v="4.9800000000000004"/>
    <n v="1"/>
    <n v="0"/>
    <n v="2.4401999999999999"/>
  </r>
  <r>
    <s v="First Class"/>
    <x v="0"/>
    <s v="United States"/>
    <s v="New York City"/>
    <x v="15"/>
    <n v="10011"/>
    <x v="3"/>
    <x v="1"/>
    <x v="9"/>
    <n v="170.88"/>
    <n v="3"/>
    <n v="0"/>
    <n v="49.555199999999999"/>
  </r>
  <r>
    <s v="First Class"/>
    <x v="0"/>
    <s v="United States"/>
    <s v="New York City"/>
    <x v="15"/>
    <n v="10024"/>
    <x v="3"/>
    <x v="2"/>
    <x v="7"/>
    <n v="307.98"/>
    <n v="2"/>
    <n v="0"/>
    <n v="89.3142"/>
  </r>
  <r>
    <s v="First Class"/>
    <x v="0"/>
    <s v="United States"/>
    <s v="New York City"/>
    <x v="15"/>
    <n v="10024"/>
    <x v="3"/>
    <x v="0"/>
    <x v="3"/>
    <n v="382.80599999999998"/>
    <n v="9"/>
    <n v="0.4"/>
    <n v="-153.1224"/>
  </r>
  <r>
    <s v="First Class"/>
    <x v="0"/>
    <s v="United States"/>
    <s v="New York City"/>
    <x v="15"/>
    <n v="10024"/>
    <x v="3"/>
    <x v="1"/>
    <x v="4"/>
    <n v="41.96"/>
    <n v="2"/>
    <n v="0"/>
    <n v="2.9371999999999998"/>
  </r>
  <r>
    <s v="First Class"/>
    <x v="0"/>
    <s v="United States"/>
    <s v="New York City"/>
    <x v="15"/>
    <n v="10024"/>
    <x v="3"/>
    <x v="1"/>
    <x v="8"/>
    <n v="1217.568"/>
    <n v="2"/>
    <n v="0.2"/>
    <n v="456.58800000000002"/>
  </r>
  <r>
    <s v="First Class"/>
    <x v="0"/>
    <s v="United States"/>
    <s v="New York City"/>
    <x v="15"/>
    <n v="10024"/>
    <x v="3"/>
    <x v="0"/>
    <x v="5"/>
    <n v="47.04"/>
    <n v="3"/>
    <n v="0"/>
    <n v="18.345600000000001"/>
  </r>
  <r>
    <s v="First Class"/>
    <x v="0"/>
    <s v="United States"/>
    <s v="New York City"/>
    <x v="15"/>
    <n v="10024"/>
    <x v="3"/>
    <x v="0"/>
    <x v="5"/>
    <n v="6.16"/>
    <n v="2"/>
    <n v="0"/>
    <n v="2.9567999999999999"/>
  </r>
  <r>
    <s v="First Class"/>
    <x v="0"/>
    <s v="United States"/>
    <s v="New York City"/>
    <x v="15"/>
    <n v="10024"/>
    <x v="3"/>
    <x v="2"/>
    <x v="7"/>
    <n v="979.95"/>
    <n v="5"/>
    <n v="0"/>
    <n v="274.38600000000002"/>
  </r>
  <r>
    <s v="First Class"/>
    <x v="0"/>
    <s v="United States"/>
    <s v="New York City"/>
    <x v="15"/>
    <n v="10024"/>
    <x v="3"/>
    <x v="1"/>
    <x v="10"/>
    <n v="143.69999999999999"/>
    <n v="3"/>
    <n v="0"/>
    <n v="68.975999999999999"/>
  </r>
  <r>
    <s v="First Class"/>
    <x v="0"/>
    <s v="United States"/>
    <s v="New York City"/>
    <x v="15"/>
    <n v="10024"/>
    <x v="3"/>
    <x v="1"/>
    <x v="13"/>
    <n v="10.65"/>
    <n v="3"/>
    <n v="0"/>
    <n v="5.0054999999999996"/>
  </r>
  <r>
    <s v="First Class"/>
    <x v="0"/>
    <s v="United States"/>
    <s v="New York City"/>
    <x v="15"/>
    <n v="10024"/>
    <x v="3"/>
    <x v="2"/>
    <x v="11"/>
    <n v="247.8"/>
    <n v="4"/>
    <n v="0"/>
    <n v="34.692"/>
  </r>
  <r>
    <s v="Standard Class"/>
    <x v="1"/>
    <s v="United States"/>
    <s v="Virginia Beach"/>
    <x v="17"/>
    <n v="23464"/>
    <x v="0"/>
    <x v="1"/>
    <x v="6"/>
    <n v="10.96"/>
    <n v="4"/>
    <n v="0"/>
    <n v="2.9592000000000001"/>
  </r>
  <r>
    <s v="Standard Class"/>
    <x v="1"/>
    <s v="United States"/>
    <s v="Grapevine"/>
    <x v="5"/>
    <n v="76051"/>
    <x v="2"/>
    <x v="1"/>
    <x v="6"/>
    <n v="33.488"/>
    <n v="7"/>
    <n v="0.2"/>
    <n v="5.8604000000000003"/>
  </r>
  <r>
    <s v="Standard Class"/>
    <x v="1"/>
    <s v="United States"/>
    <s v="Grapevine"/>
    <x v="5"/>
    <n v="76051"/>
    <x v="2"/>
    <x v="1"/>
    <x v="13"/>
    <n v="8.0399999999999991"/>
    <n v="5"/>
    <n v="0.2"/>
    <n v="2.9144999999999999"/>
  </r>
  <r>
    <s v="Second Class"/>
    <x v="0"/>
    <s v="United States"/>
    <s v="Olympia"/>
    <x v="4"/>
    <n v="98502"/>
    <x v="1"/>
    <x v="2"/>
    <x v="7"/>
    <n v="201.56800000000001"/>
    <n v="4"/>
    <n v="0.2"/>
    <n v="22.676400000000001"/>
  </r>
  <r>
    <s v="Same Day"/>
    <x v="0"/>
    <s v="United States"/>
    <s v="Los Angeles"/>
    <x v="1"/>
    <n v="90032"/>
    <x v="1"/>
    <x v="1"/>
    <x v="10"/>
    <n v="13.44"/>
    <n v="3"/>
    <n v="0"/>
    <n v="6.5856000000000003"/>
  </r>
  <r>
    <s v="First Class"/>
    <x v="2"/>
    <s v="United States"/>
    <s v="Peoria"/>
    <x v="10"/>
    <n v="61604"/>
    <x v="2"/>
    <x v="0"/>
    <x v="0"/>
    <n v="359.05799999999999"/>
    <n v="3"/>
    <n v="0.3"/>
    <n v="-35.905799999999999"/>
  </r>
  <r>
    <s v="Standard Class"/>
    <x v="0"/>
    <s v="United States"/>
    <s v="Columbus"/>
    <x v="24"/>
    <n v="43229"/>
    <x v="3"/>
    <x v="0"/>
    <x v="1"/>
    <n v="47.991999999999997"/>
    <n v="2"/>
    <n v="0.3"/>
    <n v="-2.0568"/>
  </r>
  <r>
    <s v="First Class"/>
    <x v="1"/>
    <s v="United States"/>
    <s v="New York City"/>
    <x v="15"/>
    <n v="10011"/>
    <x v="3"/>
    <x v="0"/>
    <x v="5"/>
    <n v="547.29999999999995"/>
    <n v="13"/>
    <n v="0"/>
    <n v="175.136"/>
  </r>
  <r>
    <s v="Second Class"/>
    <x v="0"/>
    <s v="United States"/>
    <s v="Carrollton"/>
    <x v="5"/>
    <n v="75007"/>
    <x v="2"/>
    <x v="1"/>
    <x v="10"/>
    <n v="16.896000000000001"/>
    <n v="4"/>
    <n v="0.2"/>
    <n v="5.28"/>
  </r>
  <r>
    <s v="Second Class"/>
    <x v="0"/>
    <s v="United States"/>
    <s v="Carrollton"/>
    <x v="5"/>
    <n v="75007"/>
    <x v="2"/>
    <x v="1"/>
    <x v="14"/>
    <n v="6.6719999999999997"/>
    <n v="1"/>
    <n v="0.2"/>
    <n v="0.50039999999999996"/>
  </r>
  <r>
    <s v="Second Class"/>
    <x v="0"/>
    <s v="United States"/>
    <s v="Carrollton"/>
    <x v="5"/>
    <n v="75007"/>
    <x v="2"/>
    <x v="1"/>
    <x v="6"/>
    <n v="99.135999999999996"/>
    <n v="4"/>
    <n v="0.2"/>
    <n v="8.6744000000000003"/>
  </r>
  <r>
    <s v="Second Class"/>
    <x v="0"/>
    <s v="United States"/>
    <s v="Carrollton"/>
    <x v="5"/>
    <n v="75007"/>
    <x v="2"/>
    <x v="0"/>
    <x v="5"/>
    <n v="15.992000000000001"/>
    <n v="2"/>
    <n v="0.6"/>
    <n v="-13.993"/>
  </r>
  <r>
    <s v="Second Class"/>
    <x v="1"/>
    <s v="United States"/>
    <s v="Dover"/>
    <x v="13"/>
    <n v="19901"/>
    <x v="3"/>
    <x v="0"/>
    <x v="5"/>
    <n v="211.96"/>
    <n v="2"/>
    <n v="0"/>
    <n v="42.392000000000003"/>
  </r>
  <r>
    <s v="Standard Class"/>
    <x v="0"/>
    <s v="United States"/>
    <s v="Smyrna"/>
    <x v="18"/>
    <n v="37167"/>
    <x v="0"/>
    <x v="1"/>
    <x v="6"/>
    <n v="6.6719999999999997"/>
    <n v="3"/>
    <n v="0.2"/>
    <n v="1.6679999999999999"/>
  </r>
  <r>
    <s v="Standard Class"/>
    <x v="0"/>
    <s v="United States"/>
    <s v="Newark"/>
    <x v="13"/>
    <n v="19711"/>
    <x v="3"/>
    <x v="1"/>
    <x v="6"/>
    <n v="155.94"/>
    <n v="6"/>
    <n v="0"/>
    <n v="45.2226"/>
  </r>
  <r>
    <s v="Second Class"/>
    <x v="0"/>
    <s v="United States"/>
    <s v="Los Angeles"/>
    <x v="1"/>
    <n v="90049"/>
    <x v="1"/>
    <x v="2"/>
    <x v="7"/>
    <n v="39.96"/>
    <n v="5"/>
    <n v="0.2"/>
    <n v="12.987"/>
  </r>
  <r>
    <s v="Second Class"/>
    <x v="0"/>
    <s v="United States"/>
    <s v="Los Angeles"/>
    <x v="1"/>
    <n v="90049"/>
    <x v="1"/>
    <x v="1"/>
    <x v="6"/>
    <n v="5.46"/>
    <n v="3"/>
    <n v="0"/>
    <n v="1.5287999999999999"/>
  </r>
  <r>
    <s v="Second Class"/>
    <x v="0"/>
    <s v="United States"/>
    <s v="Los Angeles"/>
    <x v="1"/>
    <n v="90049"/>
    <x v="1"/>
    <x v="1"/>
    <x v="6"/>
    <n v="73.2"/>
    <n v="5"/>
    <n v="0"/>
    <n v="21.228000000000002"/>
  </r>
  <r>
    <s v="Second Class"/>
    <x v="0"/>
    <s v="United States"/>
    <s v="Los Angeles"/>
    <x v="1"/>
    <n v="90049"/>
    <x v="1"/>
    <x v="1"/>
    <x v="8"/>
    <n v="5.84"/>
    <n v="1"/>
    <n v="0.2"/>
    <n v="1.9710000000000001"/>
  </r>
  <r>
    <s v="Second Class"/>
    <x v="0"/>
    <s v="United States"/>
    <s v="Los Angeles"/>
    <x v="1"/>
    <n v="90049"/>
    <x v="1"/>
    <x v="1"/>
    <x v="10"/>
    <n v="22.72"/>
    <n v="4"/>
    <n v="0"/>
    <n v="10.224"/>
  </r>
  <r>
    <s v="Second Class"/>
    <x v="0"/>
    <s v="United States"/>
    <s v="Los Angeles"/>
    <x v="1"/>
    <n v="90049"/>
    <x v="1"/>
    <x v="1"/>
    <x v="8"/>
    <n v="9.3360000000000003"/>
    <n v="3"/>
    <n v="0.2"/>
    <n v="3.2675999999999998"/>
  </r>
  <r>
    <s v="Standard Class"/>
    <x v="1"/>
    <s v="United States"/>
    <s v="Los Angeles"/>
    <x v="1"/>
    <n v="90008"/>
    <x v="1"/>
    <x v="0"/>
    <x v="0"/>
    <n v="290.666"/>
    <n v="2"/>
    <n v="0.15"/>
    <n v="27.3568"/>
  </r>
  <r>
    <s v="Standard Class"/>
    <x v="1"/>
    <s v="United States"/>
    <s v="Los Angeles"/>
    <x v="1"/>
    <n v="90008"/>
    <x v="1"/>
    <x v="2"/>
    <x v="7"/>
    <n v="201.584"/>
    <n v="2"/>
    <n v="0.2"/>
    <n v="20.1584"/>
  </r>
  <r>
    <s v="Standard Class"/>
    <x v="1"/>
    <s v="United States"/>
    <s v="Los Angeles"/>
    <x v="1"/>
    <n v="90008"/>
    <x v="1"/>
    <x v="2"/>
    <x v="7"/>
    <n v="83.983999999999995"/>
    <n v="2"/>
    <n v="0.2"/>
    <n v="31.494"/>
  </r>
  <r>
    <s v="Standard Class"/>
    <x v="1"/>
    <s v="United States"/>
    <s v="Oakland"/>
    <x v="1"/>
    <n v="94601"/>
    <x v="1"/>
    <x v="1"/>
    <x v="4"/>
    <n v="1000.02"/>
    <n v="7"/>
    <n v="0"/>
    <n v="290.00580000000002"/>
  </r>
  <r>
    <s v="Standard Class"/>
    <x v="2"/>
    <s v="United States"/>
    <s v="Philadelphia"/>
    <x v="9"/>
    <n v="19143"/>
    <x v="3"/>
    <x v="2"/>
    <x v="11"/>
    <n v="83.975999999999999"/>
    <n v="3"/>
    <n v="0.2"/>
    <n v="-13.646100000000001"/>
  </r>
  <r>
    <s v="Standard Class"/>
    <x v="2"/>
    <s v="United States"/>
    <s v="Eagan"/>
    <x v="11"/>
    <n v="55122"/>
    <x v="2"/>
    <x v="1"/>
    <x v="2"/>
    <n v="3.75"/>
    <n v="1"/>
    <n v="0"/>
    <n v="1.8"/>
  </r>
  <r>
    <s v="Standard Class"/>
    <x v="2"/>
    <s v="United States"/>
    <s v="Eagan"/>
    <x v="11"/>
    <n v="55122"/>
    <x v="2"/>
    <x v="1"/>
    <x v="2"/>
    <n v="41.4"/>
    <n v="4"/>
    <n v="0"/>
    <n v="19.872"/>
  </r>
  <r>
    <s v="Standard Class"/>
    <x v="2"/>
    <s v="United States"/>
    <s v="Eagan"/>
    <x v="11"/>
    <n v="55122"/>
    <x v="2"/>
    <x v="1"/>
    <x v="6"/>
    <n v="29.79"/>
    <n v="3"/>
    <n v="0"/>
    <n v="12.511799999999999"/>
  </r>
  <r>
    <s v="Second Class"/>
    <x v="2"/>
    <s v="United States"/>
    <s v="New York City"/>
    <x v="15"/>
    <n v="10011"/>
    <x v="3"/>
    <x v="1"/>
    <x v="4"/>
    <n v="59.48"/>
    <n v="2"/>
    <n v="0"/>
    <n v="8.9220000000000006"/>
  </r>
  <r>
    <s v="Second Class"/>
    <x v="2"/>
    <s v="United States"/>
    <s v="New York City"/>
    <x v="15"/>
    <n v="10011"/>
    <x v="3"/>
    <x v="1"/>
    <x v="10"/>
    <n v="6.69"/>
    <n v="1"/>
    <n v="0"/>
    <n v="3.0773999999999999"/>
  </r>
  <r>
    <s v="Standard Class"/>
    <x v="0"/>
    <s v="United States"/>
    <s v="Kent"/>
    <x v="4"/>
    <n v="98031"/>
    <x v="1"/>
    <x v="0"/>
    <x v="5"/>
    <n v="198.46"/>
    <n v="2"/>
    <n v="0"/>
    <n v="99.23"/>
  </r>
  <r>
    <s v="Standard Class"/>
    <x v="0"/>
    <s v="United States"/>
    <s v="Kent"/>
    <x v="4"/>
    <n v="98031"/>
    <x v="1"/>
    <x v="1"/>
    <x v="2"/>
    <n v="786.48"/>
    <n v="8"/>
    <n v="0"/>
    <n v="385.37520000000001"/>
  </r>
  <r>
    <s v="Standard Class"/>
    <x v="0"/>
    <s v="United States"/>
    <s v="Kent"/>
    <x v="4"/>
    <n v="98031"/>
    <x v="1"/>
    <x v="1"/>
    <x v="8"/>
    <n v="23.167999999999999"/>
    <n v="2"/>
    <n v="0.2"/>
    <n v="7.8192000000000004"/>
  </r>
  <r>
    <s v="Standard Class"/>
    <x v="0"/>
    <s v="United States"/>
    <s v="Kent"/>
    <x v="4"/>
    <n v="98031"/>
    <x v="1"/>
    <x v="2"/>
    <x v="11"/>
    <n v="50"/>
    <n v="2"/>
    <n v="0"/>
    <n v="10.5"/>
  </r>
  <r>
    <s v="Standard Class"/>
    <x v="0"/>
    <s v="United States"/>
    <s v="Los Angeles"/>
    <x v="1"/>
    <n v="90049"/>
    <x v="1"/>
    <x v="2"/>
    <x v="7"/>
    <n v="675.96"/>
    <n v="5"/>
    <n v="0.2"/>
    <n v="84.495000000000005"/>
  </r>
  <r>
    <s v="Standard Class"/>
    <x v="0"/>
    <s v="United States"/>
    <s v="Los Angeles"/>
    <x v="1"/>
    <n v="90049"/>
    <x v="1"/>
    <x v="2"/>
    <x v="11"/>
    <n v="1265.8499999999999"/>
    <n v="3"/>
    <n v="0"/>
    <n v="556.97400000000005"/>
  </r>
  <r>
    <s v="Standard Class"/>
    <x v="2"/>
    <s v="United States"/>
    <s v="New York City"/>
    <x v="15"/>
    <n v="10011"/>
    <x v="3"/>
    <x v="1"/>
    <x v="9"/>
    <n v="523.25"/>
    <n v="5"/>
    <n v="0"/>
    <n v="141.2775"/>
  </r>
  <r>
    <s v="Standard Class"/>
    <x v="0"/>
    <s v="United States"/>
    <s v="Lafayette"/>
    <x v="28"/>
    <n v="70506"/>
    <x v="0"/>
    <x v="0"/>
    <x v="1"/>
    <n v="517.5"/>
    <n v="6"/>
    <n v="0"/>
    <n v="155.25"/>
  </r>
  <r>
    <s v="Second Class"/>
    <x v="0"/>
    <s v="United States"/>
    <s v="Cleveland"/>
    <x v="24"/>
    <n v="44105"/>
    <x v="3"/>
    <x v="0"/>
    <x v="5"/>
    <n v="17.920000000000002"/>
    <n v="5"/>
    <n v="0.2"/>
    <n v="2.464"/>
  </r>
  <r>
    <s v="Second Class"/>
    <x v="0"/>
    <s v="United States"/>
    <s v="Cleveland"/>
    <x v="24"/>
    <n v="44105"/>
    <x v="3"/>
    <x v="1"/>
    <x v="8"/>
    <n v="41.256"/>
    <n v="6"/>
    <n v="0.7"/>
    <n v="-34.380000000000003"/>
  </r>
  <r>
    <s v="Same Day"/>
    <x v="0"/>
    <s v="United States"/>
    <s v="Cleveland"/>
    <x v="24"/>
    <n v="44105"/>
    <x v="3"/>
    <x v="1"/>
    <x v="4"/>
    <n v="1006.056"/>
    <n v="3"/>
    <n v="0.2"/>
    <n v="88.029899999999998"/>
  </r>
  <r>
    <s v="Same Day"/>
    <x v="0"/>
    <s v="United States"/>
    <s v="Cleveland"/>
    <x v="24"/>
    <n v="44105"/>
    <x v="3"/>
    <x v="1"/>
    <x v="10"/>
    <n v="10.688000000000001"/>
    <n v="2"/>
    <n v="0.2"/>
    <n v="3.7408000000000001"/>
  </r>
  <r>
    <s v="Same Day"/>
    <x v="0"/>
    <s v="United States"/>
    <s v="Cleveland"/>
    <x v="24"/>
    <n v="44105"/>
    <x v="3"/>
    <x v="1"/>
    <x v="10"/>
    <n v="10.368"/>
    <n v="2"/>
    <n v="0.2"/>
    <n v="3.6288"/>
  </r>
  <r>
    <s v="Same Day"/>
    <x v="0"/>
    <s v="United States"/>
    <s v="Cleveland"/>
    <x v="24"/>
    <n v="44105"/>
    <x v="3"/>
    <x v="1"/>
    <x v="4"/>
    <n v="25.12"/>
    <n v="2"/>
    <n v="0.2"/>
    <n v="1.57"/>
  </r>
  <r>
    <s v="Same Day"/>
    <x v="0"/>
    <s v="United States"/>
    <s v="Cleveland"/>
    <x v="24"/>
    <n v="44105"/>
    <x v="3"/>
    <x v="2"/>
    <x v="11"/>
    <n v="58.112000000000002"/>
    <n v="2"/>
    <n v="0.2"/>
    <n v="7.2640000000000002"/>
  </r>
  <r>
    <s v="Standard Class"/>
    <x v="0"/>
    <s v="United States"/>
    <s v="Tigard"/>
    <x v="21"/>
    <n v="97224"/>
    <x v="1"/>
    <x v="1"/>
    <x v="10"/>
    <n v="15.552"/>
    <n v="3"/>
    <n v="0.2"/>
    <n v="5.4432"/>
  </r>
  <r>
    <s v="Standard Class"/>
    <x v="0"/>
    <s v="United States"/>
    <s v="Tigard"/>
    <x v="21"/>
    <n v="97224"/>
    <x v="1"/>
    <x v="1"/>
    <x v="4"/>
    <n v="669.08"/>
    <n v="5"/>
    <n v="0.2"/>
    <n v="-167.27"/>
  </r>
  <r>
    <s v="Standard Class"/>
    <x v="0"/>
    <s v="United States"/>
    <s v="Tigard"/>
    <x v="21"/>
    <n v="97224"/>
    <x v="1"/>
    <x v="2"/>
    <x v="7"/>
    <n v="438.33600000000001"/>
    <n v="4"/>
    <n v="0.2"/>
    <n v="-87.667199999999994"/>
  </r>
  <r>
    <s v="Standard Class"/>
    <x v="0"/>
    <s v="United States"/>
    <s v="Washington"/>
    <x v="40"/>
    <n v="20016"/>
    <x v="3"/>
    <x v="1"/>
    <x v="10"/>
    <n v="19.440000000000001"/>
    <n v="3"/>
    <n v="0"/>
    <n v="9.3312000000000008"/>
  </r>
  <r>
    <s v="Standard Class"/>
    <x v="0"/>
    <s v="United States"/>
    <s v="Washington"/>
    <x v="40"/>
    <n v="20016"/>
    <x v="3"/>
    <x v="1"/>
    <x v="8"/>
    <n v="9.64"/>
    <n v="2"/>
    <n v="0"/>
    <n v="4.4344000000000001"/>
  </r>
  <r>
    <s v="Standard Class"/>
    <x v="0"/>
    <s v="United States"/>
    <s v="Washington"/>
    <x v="40"/>
    <n v="20016"/>
    <x v="3"/>
    <x v="1"/>
    <x v="10"/>
    <n v="12.7"/>
    <n v="2"/>
    <n v="0"/>
    <n v="5.8419999999999996"/>
  </r>
  <r>
    <s v="Standard Class"/>
    <x v="0"/>
    <s v="United States"/>
    <s v="Washington"/>
    <x v="40"/>
    <n v="20016"/>
    <x v="3"/>
    <x v="0"/>
    <x v="5"/>
    <n v="41.37"/>
    <n v="3"/>
    <n v="0"/>
    <n v="17.375399999999999"/>
  </r>
  <r>
    <s v="Standard Class"/>
    <x v="1"/>
    <s v="United States"/>
    <s v="Skokie"/>
    <x v="10"/>
    <n v="60076"/>
    <x v="2"/>
    <x v="1"/>
    <x v="13"/>
    <n v="12.624000000000001"/>
    <n v="2"/>
    <n v="0.2"/>
    <n v="3.9449999999999998"/>
  </r>
  <r>
    <s v="First Class"/>
    <x v="1"/>
    <s v="United States"/>
    <s v="Seattle"/>
    <x v="4"/>
    <n v="98115"/>
    <x v="1"/>
    <x v="1"/>
    <x v="4"/>
    <n v="1247.6400000000001"/>
    <n v="3"/>
    <n v="0"/>
    <n v="349.33920000000001"/>
  </r>
  <r>
    <s v="First Class"/>
    <x v="1"/>
    <s v="United States"/>
    <s v="Seattle"/>
    <x v="4"/>
    <n v="98115"/>
    <x v="1"/>
    <x v="2"/>
    <x v="16"/>
    <n v="3149.93"/>
    <n v="7"/>
    <n v="0"/>
    <n v="1480.4671000000001"/>
  </r>
  <r>
    <s v="First Class"/>
    <x v="1"/>
    <s v="United States"/>
    <s v="Seattle"/>
    <x v="4"/>
    <n v="98115"/>
    <x v="1"/>
    <x v="1"/>
    <x v="10"/>
    <n v="209.7"/>
    <n v="2"/>
    <n v="0"/>
    <n v="100.65600000000001"/>
  </r>
  <r>
    <s v="First Class"/>
    <x v="2"/>
    <s v="United States"/>
    <s v="Philadelphia"/>
    <x v="9"/>
    <n v="19140"/>
    <x v="3"/>
    <x v="2"/>
    <x v="11"/>
    <n v="35.36"/>
    <n v="2"/>
    <n v="0.2"/>
    <n v="-3.0939999999999999"/>
  </r>
  <r>
    <s v="First Class"/>
    <x v="2"/>
    <s v="United States"/>
    <s v="Philadelphia"/>
    <x v="9"/>
    <n v="19140"/>
    <x v="3"/>
    <x v="1"/>
    <x v="13"/>
    <n v="3.1680000000000001"/>
    <n v="2"/>
    <n v="0.2"/>
    <n v="-0.71279999999999999"/>
  </r>
  <r>
    <s v="Second Class"/>
    <x v="0"/>
    <s v="United States"/>
    <s v="Philadelphia"/>
    <x v="9"/>
    <n v="19143"/>
    <x v="3"/>
    <x v="1"/>
    <x v="8"/>
    <n v="121.104"/>
    <n v="6"/>
    <n v="0.7"/>
    <n v="-100.92"/>
  </r>
  <r>
    <s v="Second Class"/>
    <x v="0"/>
    <s v="United States"/>
    <s v="Philadelphia"/>
    <x v="9"/>
    <n v="19143"/>
    <x v="3"/>
    <x v="2"/>
    <x v="7"/>
    <n v="45.893999999999998"/>
    <n v="1"/>
    <n v="0.4"/>
    <n v="-9.1788000000000007"/>
  </r>
  <r>
    <s v="Same Day"/>
    <x v="1"/>
    <s v="United States"/>
    <s v="San Francisco"/>
    <x v="1"/>
    <n v="94110"/>
    <x v="1"/>
    <x v="1"/>
    <x v="10"/>
    <n v="109.92"/>
    <n v="2"/>
    <n v="0"/>
    <n v="53.860799999999998"/>
  </r>
  <r>
    <s v="Same Day"/>
    <x v="1"/>
    <s v="United States"/>
    <s v="San Francisco"/>
    <x v="1"/>
    <n v="94110"/>
    <x v="1"/>
    <x v="1"/>
    <x v="10"/>
    <n v="13.36"/>
    <n v="2"/>
    <n v="0"/>
    <n v="6.4127999999999998"/>
  </r>
  <r>
    <s v="First Class"/>
    <x v="0"/>
    <s v="United States"/>
    <s v="Seattle"/>
    <x v="4"/>
    <n v="98105"/>
    <x v="1"/>
    <x v="1"/>
    <x v="4"/>
    <n v="169.68"/>
    <n v="6"/>
    <n v="0"/>
    <n v="45.813600000000001"/>
  </r>
  <r>
    <s v="First Class"/>
    <x v="0"/>
    <s v="United States"/>
    <s v="Seattle"/>
    <x v="4"/>
    <n v="98105"/>
    <x v="1"/>
    <x v="2"/>
    <x v="11"/>
    <n v="132.52000000000001"/>
    <n v="4"/>
    <n v="0"/>
    <n v="54.333199999999998"/>
  </r>
  <r>
    <s v="First Class"/>
    <x v="0"/>
    <s v="United States"/>
    <s v="Seattle"/>
    <x v="4"/>
    <n v="98105"/>
    <x v="1"/>
    <x v="1"/>
    <x v="13"/>
    <n v="2.96"/>
    <n v="2"/>
    <n v="0"/>
    <n v="1.4208000000000001"/>
  </r>
  <r>
    <s v="First Class"/>
    <x v="0"/>
    <s v="United States"/>
    <s v="Seattle"/>
    <x v="4"/>
    <n v="98105"/>
    <x v="1"/>
    <x v="1"/>
    <x v="8"/>
    <n v="8.4480000000000004"/>
    <n v="2"/>
    <n v="0.2"/>
    <n v="2.9567999999999999"/>
  </r>
  <r>
    <s v="First Class"/>
    <x v="0"/>
    <s v="United States"/>
    <s v="Seattle"/>
    <x v="4"/>
    <n v="98105"/>
    <x v="1"/>
    <x v="1"/>
    <x v="4"/>
    <n v="95.94"/>
    <n v="3"/>
    <n v="0"/>
    <n v="9.5939999999999994"/>
  </r>
  <r>
    <s v="First Class"/>
    <x v="0"/>
    <s v="United States"/>
    <s v="Milwaukee"/>
    <x v="6"/>
    <n v="53209"/>
    <x v="2"/>
    <x v="0"/>
    <x v="5"/>
    <n v="34.79"/>
    <n v="7"/>
    <n v="0"/>
    <n v="10.7849"/>
  </r>
  <r>
    <s v="Standard Class"/>
    <x v="0"/>
    <s v="United States"/>
    <s v="Los Angeles"/>
    <x v="1"/>
    <n v="90045"/>
    <x v="1"/>
    <x v="2"/>
    <x v="7"/>
    <n v="160.77600000000001"/>
    <n v="3"/>
    <n v="0.2"/>
    <n v="10.048500000000001"/>
  </r>
  <r>
    <s v="Standard Class"/>
    <x v="0"/>
    <s v="United States"/>
    <s v="Seattle"/>
    <x v="4"/>
    <n v="98115"/>
    <x v="1"/>
    <x v="1"/>
    <x v="8"/>
    <n v="88.751999999999995"/>
    <n v="3"/>
    <n v="0.2"/>
    <n v="27.734999999999999"/>
  </r>
  <r>
    <s v="Standard Class"/>
    <x v="0"/>
    <s v="United States"/>
    <s v="Seattle"/>
    <x v="4"/>
    <n v="98115"/>
    <x v="1"/>
    <x v="1"/>
    <x v="8"/>
    <n v="13.904"/>
    <n v="2"/>
    <n v="0.2"/>
    <n v="5.2140000000000004"/>
  </r>
  <r>
    <s v="Standard Class"/>
    <x v="1"/>
    <s v="United States"/>
    <s v="Philadelphia"/>
    <x v="9"/>
    <n v="19143"/>
    <x v="3"/>
    <x v="2"/>
    <x v="7"/>
    <n v="677.58"/>
    <n v="5"/>
    <n v="0.4"/>
    <n v="-158.102"/>
  </r>
  <r>
    <s v="Standard Class"/>
    <x v="1"/>
    <s v="United States"/>
    <s v="Philadelphia"/>
    <x v="9"/>
    <n v="19143"/>
    <x v="3"/>
    <x v="1"/>
    <x v="8"/>
    <n v="13.896000000000001"/>
    <n v="3"/>
    <n v="0.7"/>
    <n v="-9.2639999999999993"/>
  </r>
  <r>
    <s v="Second Class"/>
    <x v="0"/>
    <s v="United States"/>
    <s v="Dallas"/>
    <x v="5"/>
    <n v="75217"/>
    <x v="2"/>
    <x v="1"/>
    <x v="4"/>
    <n v="41.92"/>
    <n v="5"/>
    <n v="0.2"/>
    <n v="3.6680000000000001"/>
  </r>
  <r>
    <s v="Second Class"/>
    <x v="0"/>
    <s v="United States"/>
    <s v="Dallas"/>
    <x v="5"/>
    <n v="75217"/>
    <x v="2"/>
    <x v="2"/>
    <x v="11"/>
    <n v="297.57600000000002"/>
    <n v="3"/>
    <n v="0.2"/>
    <n v="-7.4394"/>
  </r>
  <r>
    <s v="Second Class"/>
    <x v="0"/>
    <s v="United States"/>
    <s v="Dallas"/>
    <x v="5"/>
    <n v="75217"/>
    <x v="2"/>
    <x v="1"/>
    <x v="13"/>
    <n v="4.3440000000000003"/>
    <n v="3"/>
    <n v="0.2"/>
    <n v="0.86880000000000002"/>
  </r>
  <r>
    <s v="Second Class"/>
    <x v="0"/>
    <s v="United States"/>
    <s v="Dallas"/>
    <x v="5"/>
    <n v="75217"/>
    <x v="2"/>
    <x v="2"/>
    <x v="11"/>
    <n v="94.992000000000004"/>
    <n v="2"/>
    <n v="0.2"/>
    <n v="-2.3748"/>
  </r>
  <r>
    <s v="Second Class"/>
    <x v="0"/>
    <s v="United States"/>
    <s v="Dallas"/>
    <x v="5"/>
    <n v="75217"/>
    <x v="2"/>
    <x v="1"/>
    <x v="10"/>
    <n v="74.352000000000004"/>
    <n v="3"/>
    <n v="0.2"/>
    <n v="23.234999999999999"/>
  </r>
  <r>
    <s v="Second Class"/>
    <x v="0"/>
    <s v="United States"/>
    <s v="Dallas"/>
    <x v="5"/>
    <n v="75217"/>
    <x v="2"/>
    <x v="1"/>
    <x v="6"/>
    <n v="14.04"/>
    <n v="3"/>
    <n v="0.2"/>
    <n v="1.5794999999999999"/>
  </r>
  <r>
    <s v="Standard Class"/>
    <x v="0"/>
    <s v="United States"/>
    <s v="New York City"/>
    <x v="15"/>
    <n v="10011"/>
    <x v="3"/>
    <x v="0"/>
    <x v="3"/>
    <n v="1018.104"/>
    <n v="4"/>
    <n v="0.4"/>
    <n v="-373.3048"/>
  </r>
  <r>
    <s v="Standard Class"/>
    <x v="0"/>
    <s v="United States"/>
    <s v="Houston"/>
    <x v="5"/>
    <n v="77095"/>
    <x v="2"/>
    <x v="2"/>
    <x v="7"/>
    <n v="16.68"/>
    <n v="3"/>
    <n v="0.2"/>
    <n v="5.2125000000000004"/>
  </r>
  <r>
    <s v="First Class"/>
    <x v="1"/>
    <s v="United States"/>
    <s v="North Las Vegas"/>
    <x v="33"/>
    <n v="89031"/>
    <x v="1"/>
    <x v="2"/>
    <x v="11"/>
    <n v="58.58"/>
    <n v="2"/>
    <n v="0"/>
    <n v="19.331399999999999"/>
  </r>
  <r>
    <s v="Standard Class"/>
    <x v="0"/>
    <s v="United States"/>
    <s v="Plano"/>
    <x v="5"/>
    <n v="75023"/>
    <x v="2"/>
    <x v="2"/>
    <x v="7"/>
    <n v="167.96799999999999"/>
    <n v="4"/>
    <n v="0.2"/>
    <n v="62.988"/>
  </r>
  <r>
    <s v="First Class"/>
    <x v="0"/>
    <s v="United States"/>
    <s v="Suffolk"/>
    <x v="17"/>
    <n v="23434"/>
    <x v="0"/>
    <x v="1"/>
    <x v="2"/>
    <n v="196.62"/>
    <n v="2"/>
    <n v="0"/>
    <n v="96.343800000000002"/>
  </r>
  <r>
    <s v="Standard Class"/>
    <x v="1"/>
    <s v="United States"/>
    <s v="Houston"/>
    <x v="5"/>
    <n v="77041"/>
    <x v="2"/>
    <x v="0"/>
    <x v="5"/>
    <n v="21.936"/>
    <n v="2"/>
    <n v="0.6"/>
    <n v="-10.419600000000001"/>
  </r>
  <r>
    <s v="Standard Class"/>
    <x v="1"/>
    <s v="United States"/>
    <s v="Houston"/>
    <x v="5"/>
    <n v="77041"/>
    <x v="2"/>
    <x v="1"/>
    <x v="8"/>
    <n v="6.5880000000000001"/>
    <n v="3"/>
    <n v="0.8"/>
    <n v="-10.211399999999999"/>
  </r>
  <r>
    <s v="Standard Class"/>
    <x v="0"/>
    <s v="United States"/>
    <s v="San Francisco"/>
    <x v="1"/>
    <n v="94110"/>
    <x v="1"/>
    <x v="1"/>
    <x v="4"/>
    <n v="104.28"/>
    <n v="3"/>
    <n v="0"/>
    <n v="26.07"/>
  </r>
  <r>
    <s v="Standard Class"/>
    <x v="0"/>
    <s v="United States"/>
    <s v="San Francisco"/>
    <x v="1"/>
    <n v="94110"/>
    <x v="1"/>
    <x v="1"/>
    <x v="10"/>
    <n v="17.940000000000001"/>
    <n v="3"/>
    <n v="0"/>
    <n v="8.7905999999999995"/>
  </r>
  <r>
    <s v="Standard Class"/>
    <x v="1"/>
    <s v="United States"/>
    <s v="Philadelphia"/>
    <x v="9"/>
    <n v="19134"/>
    <x v="3"/>
    <x v="1"/>
    <x v="4"/>
    <n v="64.784000000000006"/>
    <n v="1"/>
    <n v="0.2"/>
    <n v="-14.5764"/>
  </r>
  <r>
    <s v="Standard Class"/>
    <x v="1"/>
    <s v="United States"/>
    <s v="Philadelphia"/>
    <x v="9"/>
    <n v="19134"/>
    <x v="3"/>
    <x v="2"/>
    <x v="7"/>
    <n v="32.381999999999998"/>
    <n v="3"/>
    <n v="0.4"/>
    <n v="4.3175999999999997"/>
  </r>
  <r>
    <s v="Standard Class"/>
    <x v="1"/>
    <s v="United States"/>
    <s v="Philadelphia"/>
    <x v="9"/>
    <n v="19134"/>
    <x v="3"/>
    <x v="0"/>
    <x v="5"/>
    <n v="42.368000000000002"/>
    <n v="2"/>
    <n v="0.2"/>
    <n v="8.4735999999999994"/>
  </r>
  <r>
    <s v="Standard Class"/>
    <x v="1"/>
    <s v="United States"/>
    <s v="Philadelphia"/>
    <x v="9"/>
    <n v="19134"/>
    <x v="3"/>
    <x v="2"/>
    <x v="15"/>
    <n v="399.54"/>
    <n v="4"/>
    <n v="0.7"/>
    <n v="-559.35599999999999"/>
  </r>
  <r>
    <s v="Second Class"/>
    <x v="0"/>
    <s v="United States"/>
    <s v="Los Angeles"/>
    <x v="1"/>
    <n v="90008"/>
    <x v="1"/>
    <x v="1"/>
    <x v="10"/>
    <n v="18.97"/>
    <n v="1"/>
    <n v="0"/>
    <n v="9.1056000000000008"/>
  </r>
  <r>
    <s v="Standard Class"/>
    <x v="1"/>
    <s v="United States"/>
    <s v="San Francisco"/>
    <x v="1"/>
    <n v="94110"/>
    <x v="1"/>
    <x v="0"/>
    <x v="5"/>
    <n v="14.82"/>
    <n v="3"/>
    <n v="0"/>
    <n v="6.2244000000000002"/>
  </r>
  <r>
    <s v="First Class"/>
    <x v="1"/>
    <s v="United States"/>
    <s v="Philadelphia"/>
    <x v="9"/>
    <n v="19143"/>
    <x v="3"/>
    <x v="1"/>
    <x v="9"/>
    <n v="99.28"/>
    <n v="2"/>
    <n v="0.2"/>
    <n v="12.41"/>
  </r>
  <r>
    <s v="First Class"/>
    <x v="1"/>
    <s v="United States"/>
    <s v="Philadelphia"/>
    <x v="9"/>
    <n v="19143"/>
    <x v="3"/>
    <x v="1"/>
    <x v="8"/>
    <n v="1.1879999999999999"/>
    <n v="2"/>
    <n v="0.7"/>
    <n v="-0.99"/>
  </r>
  <r>
    <s v="First Class"/>
    <x v="1"/>
    <s v="United States"/>
    <s v="Philadelphia"/>
    <x v="9"/>
    <n v="19143"/>
    <x v="3"/>
    <x v="1"/>
    <x v="8"/>
    <n v="7.5179999999999998"/>
    <n v="2"/>
    <n v="0.7"/>
    <n v="-5.7637999999999998"/>
  </r>
  <r>
    <s v="First Class"/>
    <x v="0"/>
    <s v="United States"/>
    <s v="Philadelphia"/>
    <x v="9"/>
    <n v="19140"/>
    <x v="3"/>
    <x v="1"/>
    <x v="10"/>
    <n v="10.368"/>
    <n v="2"/>
    <n v="0.2"/>
    <n v="3.6288"/>
  </r>
  <r>
    <s v="First Class"/>
    <x v="0"/>
    <s v="United States"/>
    <s v="Philadelphia"/>
    <x v="9"/>
    <n v="19140"/>
    <x v="3"/>
    <x v="0"/>
    <x v="5"/>
    <n v="310.88"/>
    <n v="2"/>
    <n v="0.2"/>
    <n v="23.315999999999999"/>
  </r>
  <r>
    <s v="Standard Class"/>
    <x v="0"/>
    <s v="United States"/>
    <s v="Philadelphia"/>
    <x v="9"/>
    <n v="19143"/>
    <x v="3"/>
    <x v="0"/>
    <x v="3"/>
    <n v="853.09199999999998"/>
    <n v="6"/>
    <n v="0.4"/>
    <n v="-227.49119999999999"/>
  </r>
  <r>
    <s v="Standard Class"/>
    <x v="0"/>
    <s v="United States"/>
    <s v="Indianapolis"/>
    <x v="14"/>
    <n v="46203"/>
    <x v="2"/>
    <x v="1"/>
    <x v="10"/>
    <n v="33.450000000000003"/>
    <n v="5"/>
    <n v="0"/>
    <n v="15.387"/>
  </r>
  <r>
    <s v="Standard Class"/>
    <x v="0"/>
    <s v="United States"/>
    <s v="Indianapolis"/>
    <x v="14"/>
    <n v="46203"/>
    <x v="2"/>
    <x v="1"/>
    <x v="8"/>
    <n v="10.4"/>
    <n v="5"/>
    <n v="0"/>
    <n v="5.0960000000000001"/>
  </r>
  <r>
    <s v="Standard Class"/>
    <x v="0"/>
    <s v="United States"/>
    <s v="Columbus"/>
    <x v="24"/>
    <n v="43229"/>
    <x v="3"/>
    <x v="0"/>
    <x v="5"/>
    <n v="21.88"/>
    <n v="5"/>
    <n v="0.2"/>
    <n v="6.2904999999999998"/>
  </r>
  <r>
    <s v="Second Class"/>
    <x v="2"/>
    <s v="United States"/>
    <s v="Plano"/>
    <x v="5"/>
    <n v="75023"/>
    <x v="2"/>
    <x v="2"/>
    <x v="11"/>
    <n v="13.616"/>
    <n v="2"/>
    <n v="0.2"/>
    <n v="3.5741999999999998"/>
  </r>
  <r>
    <s v="Second Class"/>
    <x v="2"/>
    <s v="United States"/>
    <s v="Bayonne"/>
    <x v="30"/>
    <n v="7002"/>
    <x v="3"/>
    <x v="2"/>
    <x v="11"/>
    <n v="63.96"/>
    <n v="4"/>
    <n v="0"/>
    <n v="19.8276"/>
  </r>
  <r>
    <s v="Second Class"/>
    <x v="2"/>
    <s v="United States"/>
    <s v="Bayonne"/>
    <x v="30"/>
    <n v="7002"/>
    <x v="3"/>
    <x v="1"/>
    <x v="8"/>
    <n v="14.46"/>
    <n v="3"/>
    <n v="0"/>
    <n v="7.0853999999999999"/>
  </r>
  <r>
    <s v="Second Class"/>
    <x v="2"/>
    <s v="United States"/>
    <s v="Bayonne"/>
    <x v="30"/>
    <n v="7002"/>
    <x v="3"/>
    <x v="2"/>
    <x v="7"/>
    <n v="104.98"/>
    <n v="2"/>
    <n v="0"/>
    <n v="52.49"/>
  </r>
  <r>
    <s v="Standard Class"/>
    <x v="0"/>
    <s v="United States"/>
    <s v="Los Angeles"/>
    <x v="1"/>
    <n v="90008"/>
    <x v="1"/>
    <x v="1"/>
    <x v="9"/>
    <n v="106.96"/>
    <n v="2"/>
    <n v="0"/>
    <n v="31.0184"/>
  </r>
  <r>
    <s v="Standard Class"/>
    <x v="0"/>
    <s v="United States"/>
    <s v="Los Angeles"/>
    <x v="1"/>
    <n v="90008"/>
    <x v="1"/>
    <x v="1"/>
    <x v="2"/>
    <n v="21.56"/>
    <n v="7"/>
    <n v="0"/>
    <n v="10.348800000000001"/>
  </r>
  <r>
    <s v="Second Class"/>
    <x v="0"/>
    <s v="United States"/>
    <s v="Seattle"/>
    <x v="4"/>
    <n v="98115"/>
    <x v="1"/>
    <x v="0"/>
    <x v="3"/>
    <n v="515.88"/>
    <n v="6"/>
    <n v="0"/>
    <n v="113.4936"/>
  </r>
  <r>
    <s v="Second Class"/>
    <x v="0"/>
    <s v="United States"/>
    <s v="New York City"/>
    <x v="15"/>
    <n v="10035"/>
    <x v="3"/>
    <x v="1"/>
    <x v="8"/>
    <n v="11.808"/>
    <n v="2"/>
    <n v="0.2"/>
    <n v="4.2804000000000002"/>
  </r>
  <r>
    <s v="Second Class"/>
    <x v="0"/>
    <s v="United States"/>
    <s v="New York City"/>
    <x v="15"/>
    <n v="10035"/>
    <x v="3"/>
    <x v="0"/>
    <x v="1"/>
    <n v="1931.04"/>
    <n v="9"/>
    <n v="0.1"/>
    <n v="321.83999999999997"/>
  </r>
  <r>
    <s v="Second Class"/>
    <x v="0"/>
    <s v="United States"/>
    <s v="New York City"/>
    <x v="15"/>
    <n v="10035"/>
    <x v="3"/>
    <x v="1"/>
    <x v="10"/>
    <n v="9.9600000000000009"/>
    <n v="2"/>
    <n v="0"/>
    <n v="4.6811999999999996"/>
  </r>
  <r>
    <s v="Standard Class"/>
    <x v="2"/>
    <s v="United States"/>
    <s v="San Diego"/>
    <x v="1"/>
    <n v="92037"/>
    <x v="1"/>
    <x v="1"/>
    <x v="13"/>
    <n v="12.35"/>
    <n v="5"/>
    <n v="0"/>
    <n v="5.8045"/>
  </r>
  <r>
    <s v="Same Day"/>
    <x v="0"/>
    <s v="United States"/>
    <s v="Glendale"/>
    <x v="16"/>
    <n v="85301"/>
    <x v="1"/>
    <x v="1"/>
    <x v="8"/>
    <n v="9.702"/>
    <n v="3"/>
    <n v="0.7"/>
    <n v="-7.1147999999999998"/>
  </r>
  <r>
    <s v="Standard Class"/>
    <x v="0"/>
    <s v="United States"/>
    <s v="Philadelphia"/>
    <x v="9"/>
    <n v="19120"/>
    <x v="3"/>
    <x v="1"/>
    <x v="8"/>
    <n v="11.61"/>
    <n v="2"/>
    <n v="0.7"/>
    <n v="-9.2880000000000003"/>
  </r>
  <r>
    <s v="Standard Class"/>
    <x v="0"/>
    <s v="United States"/>
    <s v="San Francisco"/>
    <x v="1"/>
    <n v="94122"/>
    <x v="1"/>
    <x v="1"/>
    <x v="2"/>
    <n v="43.86"/>
    <n v="6"/>
    <n v="0"/>
    <n v="20.6142"/>
  </r>
  <r>
    <s v="Standard Class"/>
    <x v="0"/>
    <s v="United States"/>
    <s v="San Francisco"/>
    <x v="1"/>
    <n v="94122"/>
    <x v="1"/>
    <x v="2"/>
    <x v="7"/>
    <n v="148.47999999999999"/>
    <n v="2"/>
    <n v="0.2"/>
    <n v="16.704000000000001"/>
  </r>
  <r>
    <s v="Standard Class"/>
    <x v="0"/>
    <s v="United States"/>
    <s v="San Francisco"/>
    <x v="1"/>
    <n v="94122"/>
    <x v="1"/>
    <x v="1"/>
    <x v="10"/>
    <n v="7.42"/>
    <n v="2"/>
    <n v="0"/>
    <n v="3.71"/>
  </r>
  <r>
    <s v="Standard Class"/>
    <x v="0"/>
    <s v="United States"/>
    <s v="San Francisco"/>
    <x v="1"/>
    <n v="94122"/>
    <x v="1"/>
    <x v="0"/>
    <x v="1"/>
    <n v="71.992000000000004"/>
    <n v="1"/>
    <n v="0.2"/>
    <n v="-0.89990000000000003"/>
  </r>
  <r>
    <s v="Standard Class"/>
    <x v="0"/>
    <s v="United States"/>
    <s v="San Francisco"/>
    <x v="1"/>
    <n v="94122"/>
    <x v="1"/>
    <x v="1"/>
    <x v="6"/>
    <n v="19.899999999999999"/>
    <n v="5"/>
    <n v="0"/>
    <n v="6.5670000000000002"/>
  </r>
  <r>
    <s v="Standard Class"/>
    <x v="0"/>
    <s v="United States"/>
    <s v="San Francisco"/>
    <x v="1"/>
    <n v="94122"/>
    <x v="1"/>
    <x v="1"/>
    <x v="9"/>
    <n v="1702.12"/>
    <n v="14"/>
    <n v="0"/>
    <n v="510.63600000000002"/>
  </r>
  <r>
    <s v="Standard Class"/>
    <x v="0"/>
    <s v="United States"/>
    <s v="Houston"/>
    <x v="5"/>
    <n v="77070"/>
    <x v="2"/>
    <x v="1"/>
    <x v="10"/>
    <n v="14.304"/>
    <n v="6"/>
    <n v="0.2"/>
    <n v="5.0064000000000002"/>
  </r>
  <r>
    <s v="Second Class"/>
    <x v="0"/>
    <s v="United States"/>
    <s v="Chicago"/>
    <x v="10"/>
    <n v="60610"/>
    <x v="2"/>
    <x v="0"/>
    <x v="3"/>
    <n v="765.625"/>
    <n v="7"/>
    <n v="0.5"/>
    <n v="-566.5625"/>
  </r>
  <r>
    <s v="Standard Class"/>
    <x v="0"/>
    <s v="United States"/>
    <s v="San Francisco"/>
    <x v="1"/>
    <n v="94110"/>
    <x v="1"/>
    <x v="0"/>
    <x v="0"/>
    <n v="307.666"/>
    <n v="2"/>
    <n v="0.15"/>
    <n v="-14.478400000000001"/>
  </r>
  <r>
    <s v="Standard Class"/>
    <x v="0"/>
    <s v="United States"/>
    <s v="New York City"/>
    <x v="15"/>
    <n v="10011"/>
    <x v="3"/>
    <x v="1"/>
    <x v="8"/>
    <n v="7.7119999999999997"/>
    <n v="2"/>
    <n v="0.2"/>
    <n v="2.7955999999999999"/>
  </r>
  <r>
    <s v="Standard Class"/>
    <x v="0"/>
    <s v="United States"/>
    <s v="New York City"/>
    <x v="15"/>
    <n v="10011"/>
    <x v="3"/>
    <x v="1"/>
    <x v="9"/>
    <n v="242.9"/>
    <n v="5"/>
    <n v="0"/>
    <n v="70.441000000000003"/>
  </r>
  <r>
    <s v="Standard Class"/>
    <x v="0"/>
    <s v="United States"/>
    <s v="New York City"/>
    <x v="15"/>
    <n v="10011"/>
    <x v="3"/>
    <x v="1"/>
    <x v="4"/>
    <n v="454.9"/>
    <n v="5"/>
    <n v="0"/>
    <n v="0"/>
  </r>
  <r>
    <s v="Standard Class"/>
    <x v="0"/>
    <s v="United States"/>
    <s v="New York City"/>
    <x v="15"/>
    <n v="10011"/>
    <x v="3"/>
    <x v="0"/>
    <x v="5"/>
    <n v="35.92"/>
    <n v="4"/>
    <n v="0"/>
    <n v="15.086399999999999"/>
  </r>
  <r>
    <s v="Standard Class"/>
    <x v="0"/>
    <s v="United States"/>
    <s v="New York City"/>
    <x v="15"/>
    <n v="10011"/>
    <x v="3"/>
    <x v="0"/>
    <x v="5"/>
    <n v="39.76"/>
    <n v="8"/>
    <n v="0"/>
    <n v="12.3256"/>
  </r>
  <r>
    <s v="Standard Class"/>
    <x v="0"/>
    <s v="United States"/>
    <s v="New York City"/>
    <x v="15"/>
    <n v="10011"/>
    <x v="3"/>
    <x v="1"/>
    <x v="8"/>
    <n v="47.744"/>
    <n v="4"/>
    <n v="0.2"/>
    <n v="14.92"/>
  </r>
  <r>
    <s v="Standard Class"/>
    <x v="0"/>
    <s v="United States"/>
    <s v="Chicago"/>
    <x v="10"/>
    <n v="60623"/>
    <x v="2"/>
    <x v="2"/>
    <x v="7"/>
    <n v="159.98400000000001"/>
    <n v="2"/>
    <n v="0.2"/>
    <n v="11.998799999999999"/>
  </r>
  <r>
    <s v="Standard Class"/>
    <x v="0"/>
    <s v="United States"/>
    <s v="Chicago"/>
    <x v="10"/>
    <n v="60623"/>
    <x v="2"/>
    <x v="2"/>
    <x v="11"/>
    <n v="255.96799999999999"/>
    <n v="4"/>
    <n v="0.2"/>
    <n v="51.193600000000004"/>
  </r>
  <r>
    <s v="Standard Class"/>
    <x v="0"/>
    <s v="United States"/>
    <s v="Chicago"/>
    <x v="10"/>
    <n v="60623"/>
    <x v="2"/>
    <x v="0"/>
    <x v="0"/>
    <n v="359.05799999999999"/>
    <n v="3"/>
    <n v="0.3"/>
    <n v="-71.811599999999999"/>
  </r>
  <r>
    <s v="First Class"/>
    <x v="0"/>
    <s v="United States"/>
    <s v="Philadelphia"/>
    <x v="9"/>
    <n v="19143"/>
    <x v="3"/>
    <x v="1"/>
    <x v="9"/>
    <n v="434.35199999999998"/>
    <n v="3"/>
    <n v="0.2"/>
    <n v="43.435200000000002"/>
  </r>
  <r>
    <s v="First Class"/>
    <x v="0"/>
    <s v="United States"/>
    <s v="Philadelphia"/>
    <x v="9"/>
    <n v="19143"/>
    <x v="3"/>
    <x v="1"/>
    <x v="9"/>
    <n v="3.552"/>
    <n v="2"/>
    <n v="0.2"/>
    <n v="0.44400000000000001"/>
  </r>
  <r>
    <s v="First Class"/>
    <x v="0"/>
    <s v="United States"/>
    <s v="Philadelphia"/>
    <x v="9"/>
    <n v="19143"/>
    <x v="3"/>
    <x v="1"/>
    <x v="9"/>
    <n v="88.831999999999994"/>
    <n v="4"/>
    <n v="0.2"/>
    <n v="7.7728000000000002"/>
  </r>
  <r>
    <s v="Second Class"/>
    <x v="1"/>
    <s v="United States"/>
    <s v="Dublin"/>
    <x v="24"/>
    <n v="43017"/>
    <x v="3"/>
    <x v="0"/>
    <x v="3"/>
    <n v="1048.3499999999999"/>
    <n v="5"/>
    <n v="0.4"/>
    <n v="-69.89"/>
  </r>
  <r>
    <s v="Same Day"/>
    <x v="0"/>
    <s v="United States"/>
    <s v="Springfield"/>
    <x v="17"/>
    <n v="22153"/>
    <x v="0"/>
    <x v="2"/>
    <x v="11"/>
    <n v="100"/>
    <n v="4"/>
    <n v="0"/>
    <n v="21"/>
  </r>
  <r>
    <s v="Same Day"/>
    <x v="0"/>
    <s v="United States"/>
    <s v="Springfield"/>
    <x v="17"/>
    <n v="22153"/>
    <x v="0"/>
    <x v="1"/>
    <x v="2"/>
    <n v="7.83"/>
    <n v="3"/>
    <n v="0"/>
    <n v="3.6017999999999999"/>
  </r>
  <r>
    <s v="Standard Class"/>
    <x v="1"/>
    <s v="United States"/>
    <s v="Fayetteville"/>
    <x v="3"/>
    <n v="28314"/>
    <x v="0"/>
    <x v="1"/>
    <x v="10"/>
    <n v="96.256"/>
    <n v="8"/>
    <n v="0.2"/>
    <n v="31.283200000000001"/>
  </r>
  <r>
    <s v="Standard Class"/>
    <x v="1"/>
    <s v="United States"/>
    <s v="Fayetteville"/>
    <x v="3"/>
    <n v="28314"/>
    <x v="0"/>
    <x v="1"/>
    <x v="10"/>
    <n v="10.688000000000001"/>
    <n v="2"/>
    <n v="0.2"/>
    <n v="3.7408000000000001"/>
  </r>
  <r>
    <s v="Standard Class"/>
    <x v="0"/>
    <s v="United States"/>
    <s v="Dallas"/>
    <x v="5"/>
    <n v="75081"/>
    <x v="2"/>
    <x v="1"/>
    <x v="4"/>
    <n v="338.04"/>
    <n v="3"/>
    <n v="0.2"/>
    <n v="-33.804000000000002"/>
  </r>
  <r>
    <s v="Standard Class"/>
    <x v="0"/>
    <s v="United States"/>
    <s v="Dallas"/>
    <x v="5"/>
    <n v="75081"/>
    <x v="2"/>
    <x v="1"/>
    <x v="6"/>
    <n v="154.24"/>
    <n v="4"/>
    <n v="0.2"/>
    <n v="17.352"/>
  </r>
  <r>
    <s v="Second Class"/>
    <x v="0"/>
    <s v="United States"/>
    <s v="Jacksonville"/>
    <x v="3"/>
    <n v="28540"/>
    <x v="0"/>
    <x v="1"/>
    <x v="9"/>
    <n v="34.847999999999999"/>
    <n v="2"/>
    <n v="0.2"/>
    <n v="6.5339999999999998"/>
  </r>
  <r>
    <s v="Second Class"/>
    <x v="0"/>
    <s v="United States"/>
    <s v="Jacksonville"/>
    <x v="3"/>
    <n v="28540"/>
    <x v="0"/>
    <x v="2"/>
    <x v="7"/>
    <n v="22"/>
    <n v="5"/>
    <n v="0.2"/>
    <n v="1.375"/>
  </r>
  <r>
    <s v="Second Class"/>
    <x v="0"/>
    <s v="United States"/>
    <s v="Jacksonville"/>
    <x v="3"/>
    <n v="28540"/>
    <x v="0"/>
    <x v="1"/>
    <x v="6"/>
    <n v="4.3680000000000003"/>
    <n v="3"/>
    <n v="0.2"/>
    <n v="0.38219999999999998"/>
  </r>
  <r>
    <s v="Standard Class"/>
    <x v="1"/>
    <s v="United States"/>
    <s v="San Francisco"/>
    <x v="1"/>
    <n v="94122"/>
    <x v="1"/>
    <x v="1"/>
    <x v="4"/>
    <n v="31.44"/>
    <n v="3"/>
    <n v="0"/>
    <n v="8.4887999999999995"/>
  </r>
  <r>
    <s v="Standard Class"/>
    <x v="1"/>
    <s v="United States"/>
    <s v="San Francisco"/>
    <x v="1"/>
    <n v="94122"/>
    <x v="1"/>
    <x v="2"/>
    <x v="11"/>
    <n v="17.899999999999999"/>
    <n v="2"/>
    <n v="0"/>
    <n v="3.4009999999999998"/>
  </r>
  <r>
    <s v="Standard Class"/>
    <x v="1"/>
    <s v="United States"/>
    <s v="San Francisco"/>
    <x v="1"/>
    <n v="94122"/>
    <x v="1"/>
    <x v="2"/>
    <x v="11"/>
    <n v="129.44999999999999"/>
    <n v="5"/>
    <n v="0"/>
    <n v="46.601999999999997"/>
  </r>
  <r>
    <s v="Standard Class"/>
    <x v="2"/>
    <s v="United States"/>
    <s v="San Diego"/>
    <x v="1"/>
    <n v="92037"/>
    <x v="1"/>
    <x v="1"/>
    <x v="2"/>
    <n v="20.88"/>
    <n v="8"/>
    <n v="0"/>
    <n v="9.6047999999999991"/>
  </r>
  <r>
    <s v="Standard Class"/>
    <x v="0"/>
    <s v="United States"/>
    <s v="Philadelphia"/>
    <x v="9"/>
    <n v="19140"/>
    <x v="3"/>
    <x v="1"/>
    <x v="10"/>
    <n v="20.736000000000001"/>
    <n v="4"/>
    <n v="0.2"/>
    <n v="7.2576000000000001"/>
  </r>
  <r>
    <s v="Standard Class"/>
    <x v="0"/>
    <s v="United States"/>
    <s v="Philadelphia"/>
    <x v="9"/>
    <n v="19140"/>
    <x v="3"/>
    <x v="0"/>
    <x v="5"/>
    <n v="7.1680000000000001"/>
    <n v="2"/>
    <n v="0.2"/>
    <n v="0.98560000000000003"/>
  </r>
  <r>
    <s v="Standard Class"/>
    <x v="0"/>
    <s v="United States"/>
    <s v="Philadelphia"/>
    <x v="9"/>
    <n v="19140"/>
    <x v="3"/>
    <x v="1"/>
    <x v="4"/>
    <n v="11.167999999999999"/>
    <n v="2"/>
    <n v="0.2"/>
    <n v="-2.5127999999999999"/>
  </r>
  <r>
    <s v="Standard Class"/>
    <x v="0"/>
    <s v="United States"/>
    <s v="Philadelphia"/>
    <x v="9"/>
    <n v="19140"/>
    <x v="3"/>
    <x v="2"/>
    <x v="11"/>
    <n v="442.4"/>
    <n v="7"/>
    <n v="0.2"/>
    <n v="-55.3"/>
  </r>
  <r>
    <s v="First Class"/>
    <x v="0"/>
    <s v="United States"/>
    <s v="Rochester"/>
    <x v="15"/>
    <n v="14609"/>
    <x v="3"/>
    <x v="1"/>
    <x v="6"/>
    <n v="13.36"/>
    <n v="2"/>
    <n v="0"/>
    <n v="4.9432"/>
  </r>
  <r>
    <s v="Second Class"/>
    <x v="0"/>
    <s v="United States"/>
    <s v="Jacksonville"/>
    <x v="3"/>
    <n v="28540"/>
    <x v="0"/>
    <x v="1"/>
    <x v="8"/>
    <n v="11.231999999999999"/>
    <n v="8"/>
    <n v="0.7"/>
    <n v="-8.2368000000000006"/>
  </r>
  <r>
    <s v="Second Class"/>
    <x v="0"/>
    <s v="United States"/>
    <s v="Jacksonville"/>
    <x v="3"/>
    <n v="28540"/>
    <x v="0"/>
    <x v="1"/>
    <x v="10"/>
    <n v="10.272"/>
    <n v="3"/>
    <n v="0.2"/>
    <n v="3.21"/>
  </r>
  <r>
    <s v="Standard Class"/>
    <x v="2"/>
    <s v="United States"/>
    <s v="Houston"/>
    <x v="5"/>
    <n v="77095"/>
    <x v="2"/>
    <x v="1"/>
    <x v="10"/>
    <n v="10.368"/>
    <n v="2"/>
    <n v="0.2"/>
    <n v="3.6288"/>
  </r>
  <r>
    <s v="Standard Class"/>
    <x v="2"/>
    <s v="United States"/>
    <s v="Houston"/>
    <x v="5"/>
    <n v="77095"/>
    <x v="2"/>
    <x v="1"/>
    <x v="6"/>
    <n v="6.24"/>
    <n v="3"/>
    <n v="0.2"/>
    <n v="0.54600000000000004"/>
  </r>
  <r>
    <s v="Standard Class"/>
    <x v="2"/>
    <s v="United States"/>
    <s v="San Antonio"/>
    <x v="5"/>
    <n v="78207"/>
    <x v="2"/>
    <x v="0"/>
    <x v="3"/>
    <n v="206.96199999999999"/>
    <n v="2"/>
    <n v="0.3"/>
    <n v="-32.522599999999997"/>
  </r>
  <r>
    <s v="First Class"/>
    <x v="0"/>
    <s v="United States"/>
    <s v="Oakland"/>
    <x v="1"/>
    <n v="94601"/>
    <x v="1"/>
    <x v="0"/>
    <x v="5"/>
    <n v="9.4600000000000009"/>
    <n v="2"/>
    <n v="0"/>
    <n v="3.6894"/>
  </r>
  <r>
    <s v="First Class"/>
    <x v="1"/>
    <s v="United States"/>
    <s v="San Francisco"/>
    <x v="1"/>
    <n v="94122"/>
    <x v="1"/>
    <x v="1"/>
    <x v="4"/>
    <n v="559.62"/>
    <n v="9"/>
    <n v="0"/>
    <n v="151.09739999999999"/>
  </r>
  <r>
    <s v="First Class"/>
    <x v="1"/>
    <s v="United States"/>
    <s v="San Francisco"/>
    <x v="1"/>
    <n v="94122"/>
    <x v="1"/>
    <x v="1"/>
    <x v="10"/>
    <n v="109.92"/>
    <n v="2"/>
    <n v="0"/>
    <n v="53.860799999999998"/>
  </r>
  <r>
    <s v="First Class"/>
    <x v="1"/>
    <s v="United States"/>
    <s v="San Francisco"/>
    <x v="1"/>
    <n v="94122"/>
    <x v="1"/>
    <x v="1"/>
    <x v="10"/>
    <n v="8.56"/>
    <n v="2"/>
    <n v="0"/>
    <n v="3.8519999999999999"/>
  </r>
  <r>
    <s v="Second Class"/>
    <x v="2"/>
    <s v="United States"/>
    <s v="Fort Worth"/>
    <x v="5"/>
    <n v="76106"/>
    <x v="2"/>
    <x v="1"/>
    <x v="10"/>
    <n v="360.71199999999999"/>
    <n v="11"/>
    <n v="0.2"/>
    <n v="130.75810000000001"/>
  </r>
  <r>
    <s v="Second Class"/>
    <x v="2"/>
    <s v="United States"/>
    <s v="Fort Worth"/>
    <x v="5"/>
    <n v="76106"/>
    <x v="2"/>
    <x v="2"/>
    <x v="7"/>
    <n v="1718.4"/>
    <n v="6"/>
    <n v="0.2"/>
    <n v="150.36000000000001"/>
  </r>
  <r>
    <s v="First Class"/>
    <x v="2"/>
    <s v="United States"/>
    <s v="Houston"/>
    <x v="5"/>
    <n v="77095"/>
    <x v="2"/>
    <x v="1"/>
    <x v="8"/>
    <n v="41.567999999999998"/>
    <n v="6"/>
    <n v="0.8"/>
    <n v="-66.508799999999994"/>
  </r>
  <r>
    <s v="Standard Class"/>
    <x v="0"/>
    <s v="United States"/>
    <s v="Houston"/>
    <x v="5"/>
    <n v="77095"/>
    <x v="2"/>
    <x v="2"/>
    <x v="11"/>
    <n v="46.863999999999997"/>
    <n v="2"/>
    <n v="0.2"/>
    <n v="7.6154000000000002"/>
  </r>
  <r>
    <s v="Standard Class"/>
    <x v="0"/>
    <s v="United States"/>
    <s v="Philadelphia"/>
    <x v="9"/>
    <n v="19143"/>
    <x v="3"/>
    <x v="1"/>
    <x v="6"/>
    <n v="19.536000000000001"/>
    <n v="3"/>
    <n v="0.2"/>
    <n v="4.8840000000000003"/>
  </r>
  <r>
    <s v="Standard Class"/>
    <x v="0"/>
    <s v="United States"/>
    <s v="San Diego"/>
    <x v="1"/>
    <n v="92105"/>
    <x v="1"/>
    <x v="0"/>
    <x v="0"/>
    <n v="411.33199999999999"/>
    <n v="4"/>
    <n v="0.15"/>
    <n v="-4.8391999999999999"/>
  </r>
  <r>
    <s v="Standard Class"/>
    <x v="0"/>
    <s v="United States"/>
    <s v="San Diego"/>
    <x v="1"/>
    <n v="92105"/>
    <x v="1"/>
    <x v="1"/>
    <x v="8"/>
    <n v="28.751999999999999"/>
    <n v="6"/>
    <n v="0.2"/>
    <n v="9.7037999999999993"/>
  </r>
  <r>
    <s v="Standard Class"/>
    <x v="0"/>
    <s v="United States"/>
    <s v="San Diego"/>
    <x v="1"/>
    <n v="92105"/>
    <x v="1"/>
    <x v="0"/>
    <x v="0"/>
    <n v="293.19900000000001"/>
    <n v="3"/>
    <n v="0.15"/>
    <n v="-20.696400000000001"/>
  </r>
  <r>
    <s v="Standard Class"/>
    <x v="2"/>
    <s v="United States"/>
    <s v="Suffolk"/>
    <x v="17"/>
    <n v="23434"/>
    <x v="0"/>
    <x v="1"/>
    <x v="14"/>
    <n v="35.06"/>
    <n v="2"/>
    <n v="0"/>
    <n v="10.518000000000001"/>
  </r>
  <r>
    <s v="Standard Class"/>
    <x v="2"/>
    <s v="United States"/>
    <s v="Suffolk"/>
    <x v="17"/>
    <n v="23434"/>
    <x v="0"/>
    <x v="1"/>
    <x v="2"/>
    <n v="4.13"/>
    <n v="1"/>
    <n v="0"/>
    <n v="1.8997999999999999"/>
  </r>
  <r>
    <s v="Standard Class"/>
    <x v="2"/>
    <s v="United States"/>
    <s v="Suffolk"/>
    <x v="17"/>
    <n v="23434"/>
    <x v="0"/>
    <x v="0"/>
    <x v="5"/>
    <n v="109.8"/>
    <n v="9"/>
    <n v="0"/>
    <n v="46.116"/>
  </r>
  <r>
    <s v="Standard Class"/>
    <x v="2"/>
    <s v="United States"/>
    <s v="Suffolk"/>
    <x v="17"/>
    <n v="23434"/>
    <x v="0"/>
    <x v="1"/>
    <x v="2"/>
    <n v="9.82"/>
    <n v="2"/>
    <n v="0"/>
    <n v="4.8117999999999999"/>
  </r>
  <r>
    <s v="Standard Class"/>
    <x v="0"/>
    <s v="United States"/>
    <s v="Greensboro"/>
    <x v="3"/>
    <n v="27405"/>
    <x v="0"/>
    <x v="1"/>
    <x v="8"/>
    <n v="7.6440000000000001"/>
    <n v="4"/>
    <n v="0.7"/>
    <n v="-5.8604000000000003"/>
  </r>
  <r>
    <s v="Standard Class"/>
    <x v="0"/>
    <s v="United States"/>
    <s v="Greensboro"/>
    <x v="3"/>
    <n v="27405"/>
    <x v="0"/>
    <x v="1"/>
    <x v="8"/>
    <n v="51.465000000000003"/>
    <n v="5"/>
    <n v="0.7"/>
    <n v="-39.456499999999998"/>
  </r>
  <r>
    <s v="Standard Class"/>
    <x v="1"/>
    <s v="United States"/>
    <s v="Dallas"/>
    <x v="5"/>
    <n v="75081"/>
    <x v="2"/>
    <x v="1"/>
    <x v="14"/>
    <n v="6.976"/>
    <n v="4"/>
    <n v="0.2"/>
    <n v="-1.3952"/>
  </r>
  <r>
    <s v="Standard Class"/>
    <x v="1"/>
    <s v="United States"/>
    <s v="Dallas"/>
    <x v="5"/>
    <n v="75081"/>
    <x v="2"/>
    <x v="1"/>
    <x v="8"/>
    <n v="12.222"/>
    <n v="7"/>
    <n v="0.8"/>
    <n v="-20.1663"/>
  </r>
  <r>
    <s v="Second Class"/>
    <x v="1"/>
    <s v="United States"/>
    <s v="Chicago"/>
    <x v="10"/>
    <n v="60623"/>
    <x v="2"/>
    <x v="1"/>
    <x v="4"/>
    <n v="97.983999999999995"/>
    <n v="2"/>
    <n v="0.2"/>
    <n v="-24.495999999999999"/>
  </r>
  <r>
    <s v="Second Class"/>
    <x v="1"/>
    <s v="United States"/>
    <s v="Chicago"/>
    <x v="10"/>
    <n v="60623"/>
    <x v="2"/>
    <x v="2"/>
    <x v="11"/>
    <n v="62.4"/>
    <n v="6"/>
    <n v="0.2"/>
    <n v="19.5"/>
  </r>
  <r>
    <s v="Standard Class"/>
    <x v="1"/>
    <s v="United States"/>
    <s v="Baltimore"/>
    <x v="39"/>
    <n v="21215"/>
    <x v="3"/>
    <x v="1"/>
    <x v="8"/>
    <n v="20.86"/>
    <n v="2"/>
    <n v="0"/>
    <n v="9.3870000000000005"/>
  </r>
  <r>
    <s v="Standard Class"/>
    <x v="1"/>
    <s v="United States"/>
    <s v="Baltimore"/>
    <x v="39"/>
    <n v="21215"/>
    <x v="3"/>
    <x v="1"/>
    <x v="4"/>
    <n v="497.61"/>
    <n v="9"/>
    <n v="0"/>
    <n v="129.37860000000001"/>
  </r>
  <r>
    <s v="Standard Class"/>
    <x v="1"/>
    <s v="United States"/>
    <s v="Baltimore"/>
    <x v="39"/>
    <n v="21215"/>
    <x v="3"/>
    <x v="1"/>
    <x v="6"/>
    <n v="5.34"/>
    <n v="2"/>
    <n v="0"/>
    <n v="1.4952000000000001"/>
  </r>
  <r>
    <s v="Standard Class"/>
    <x v="1"/>
    <s v="United States"/>
    <s v="Baltimore"/>
    <x v="39"/>
    <n v="21215"/>
    <x v="3"/>
    <x v="1"/>
    <x v="2"/>
    <n v="3.15"/>
    <n v="1"/>
    <n v="0"/>
    <n v="1.512"/>
  </r>
  <r>
    <s v="Standard Class"/>
    <x v="0"/>
    <s v="United States"/>
    <s v="Los Angeles"/>
    <x v="1"/>
    <n v="90004"/>
    <x v="1"/>
    <x v="1"/>
    <x v="10"/>
    <n v="368.91"/>
    <n v="9"/>
    <n v="0"/>
    <n v="180.76589999999999"/>
  </r>
  <r>
    <s v="Standard Class"/>
    <x v="0"/>
    <s v="United States"/>
    <s v="Los Angeles"/>
    <x v="1"/>
    <n v="90004"/>
    <x v="1"/>
    <x v="1"/>
    <x v="6"/>
    <n v="14.7"/>
    <n v="5"/>
    <n v="0"/>
    <n v="6.6150000000000002"/>
  </r>
  <r>
    <s v="Standard Class"/>
    <x v="0"/>
    <s v="United States"/>
    <s v="New York City"/>
    <x v="15"/>
    <n v="10011"/>
    <x v="3"/>
    <x v="2"/>
    <x v="11"/>
    <n v="59.97"/>
    <n v="3"/>
    <n v="0"/>
    <n v="14.9925"/>
  </r>
  <r>
    <s v="Standard Class"/>
    <x v="0"/>
    <s v="United States"/>
    <s v="New York City"/>
    <x v="15"/>
    <n v="10011"/>
    <x v="3"/>
    <x v="1"/>
    <x v="4"/>
    <n v="83.36"/>
    <n v="1"/>
    <n v="0"/>
    <n v="20.84"/>
  </r>
  <r>
    <s v="Standard Class"/>
    <x v="1"/>
    <s v="United States"/>
    <s v="Franklin"/>
    <x v="31"/>
    <n v="2038"/>
    <x v="3"/>
    <x v="1"/>
    <x v="10"/>
    <n v="6.58"/>
    <n v="2"/>
    <n v="0"/>
    <n v="3.0268000000000002"/>
  </r>
  <r>
    <s v="Standard Class"/>
    <x v="1"/>
    <s v="United States"/>
    <s v="Franklin"/>
    <x v="31"/>
    <n v="2038"/>
    <x v="3"/>
    <x v="1"/>
    <x v="8"/>
    <n v="122.94"/>
    <n v="3"/>
    <n v="0"/>
    <n v="59.011200000000002"/>
  </r>
  <r>
    <s v="Standard Class"/>
    <x v="1"/>
    <s v="United States"/>
    <s v="Milwaukee"/>
    <x v="6"/>
    <n v="53209"/>
    <x v="2"/>
    <x v="1"/>
    <x v="10"/>
    <n v="219.84"/>
    <n v="4"/>
    <n v="0"/>
    <n v="107.7216"/>
  </r>
  <r>
    <s v="Standard Class"/>
    <x v="1"/>
    <s v="United States"/>
    <s v="Milwaukee"/>
    <x v="6"/>
    <n v="53209"/>
    <x v="2"/>
    <x v="2"/>
    <x v="11"/>
    <n v="98.16"/>
    <n v="6"/>
    <n v="0"/>
    <n v="9.8160000000000007"/>
  </r>
  <r>
    <s v="Standard Class"/>
    <x v="1"/>
    <s v="United States"/>
    <s v="Milwaukee"/>
    <x v="6"/>
    <n v="53209"/>
    <x v="2"/>
    <x v="1"/>
    <x v="8"/>
    <n v="33.04"/>
    <n v="8"/>
    <n v="0"/>
    <n v="15.5288"/>
  </r>
  <r>
    <s v="Standard Class"/>
    <x v="1"/>
    <s v="United States"/>
    <s v="Milwaukee"/>
    <x v="6"/>
    <n v="53209"/>
    <x v="2"/>
    <x v="2"/>
    <x v="7"/>
    <n v="86.97"/>
    <n v="3"/>
    <n v="0"/>
    <n v="25.221299999999999"/>
  </r>
  <r>
    <s v="Standard Class"/>
    <x v="1"/>
    <s v="United States"/>
    <s v="Kenosha"/>
    <x v="6"/>
    <n v="53142"/>
    <x v="2"/>
    <x v="2"/>
    <x v="7"/>
    <n v="134.97"/>
    <n v="3"/>
    <n v="0"/>
    <n v="64.785600000000002"/>
  </r>
  <r>
    <s v="Standard Class"/>
    <x v="1"/>
    <s v="United States"/>
    <s v="Kenosha"/>
    <x v="6"/>
    <n v="53142"/>
    <x v="2"/>
    <x v="2"/>
    <x v="7"/>
    <n v="699.98"/>
    <n v="2"/>
    <n v="0"/>
    <n v="195.99440000000001"/>
  </r>
  <r>
    <s v="Standard Class"/>
    <x v="1"/>
    <s v="United States"/>
    <s v="Kenosha"/>
    <x v="6"/>
    <n v="53142"/>
    <x v="2"/>
    <x v="2"/>
    <x v="11"/>
    <n v="139.94999999999999"/>
    <n v="5"/>
    <n v="0"/>
    <n v="26.590499999999999"/>
  </r>
  <r>
    <s v="Standard Class"/>
    <x v="0"/>
    <s v="United States"/>
    <s v="New York City"/>
    <x v="15"/>
    <n v="10011"/>
    <x v="3"/>
    <x v="1"/>
    <x v="10"/>
    <n v="48.94"/>
    <n v="1"/>
    <n v="0"/>
    <n v="24.47"/>
  </r>
  <r>
    <s v="First Class"/>
    <x v="0"/>
    <s v="United States"/>
    <s v="Madison"/>
    <x v="6"/>
    <n v="53711"/>
    <x v="2"/>
    <x v="0"/>
    <x v="1"/>
    <n v="2807.84"/>
    <n v="8"/>
    <n v="0"/>
    <n v="673.88160000000005"/>
  </r>
  <r>
    <s v="First Class"/>
    <x v="0"/>
    <s v="United States"/>
    <s v="Madison"/>
    <x v="6"/>
    <n v="53711"/>
    <x v="2"/>
    <x v="1"/>
    <x v="6"/>
    <n v="46.64"/>
    <n v="4"/>
    <n v="0"/>
    <n v="12.5928"/>
  </r>
  <r>
    <s v="Standard Class"/>
    <x v="1"/>
    <s v="United States"/>
    <s v="Houston"/>
    <x v="5"/>
    <n v="77041"/>
    <x v="2"/>
    <x v="1"/>
    <x v="4"/>
    <n v="60.415999999999997"/>
    <n v="2"/>
    <n v="0.2"/>
    <n v="6.0415999999999999"/>
  </r>
  <r>
    <s v="Standard Class"/>
    <x v="2"/>
    <s v="United States"/>
    <s v="Olathe"/>
    <x v="41"/>
    <n v="66062"/>
    <x v="2"/>
    <x v="1"/>
    <x v="6"/>
    <n v="107.94"/>
    <n v="3"/>
    <n v="0"/>
    <n v="26.984999999999999"/>
  </r>
  <r>
    <s v="First Class"/>
    <x v="2"/>
    <s v="United States"/>
    <s v="New York City"/>
    <x v="15"/>
    <n v="10024"/>
    <x v="3"/>
    <x v="1"/>
    <x v="4"/>
    <n v="63.84"/>
    <n v="8"/>
    <n v="0"/>
    <n v="16.598400000000002"/>
  </r>
  <r>
    <s v="First Class"/>
    <x v="2"/>
    <s v="United States"/>
    <s v="New York City"/>
    <x v="15"/>
    <n v="10024"/>
    <x v="3"/>
    <x v="2"/>
    <x v="7"/>
    <n v="347.97"/>
    <n v="3"/>
    <n v="0"/>
    <n v="100.9113"/>
  </r>
  <r>
    <s v="First Class"/>
    <x v="2"/>
    <s v="United States"/>
    <s v="New York City"/>
    <x v="15"/>
    <n v="10024"/>
    <x v="3"/>
    <x v="1"/>
    <x v="8"/>
    <n v="37.008000000000003"/>
    <n v="6"/>
    <n v="0.2"/>
    <n v="11.565"/>
  </r>
  <r>
    <s v="Standard Class"/>
    <x v="0"/>
    <s v="United States"/>
    <s v="San Jose"/>
    <x v="1"/>
    <n v="95123"/>
    <x v="1"/>
    <x v="0"/>
    <x v="5"/>
    <n v="215.65"/>
    <n v="5"/>
    <n v="0"/>
    <n v="73.320999999999998"/>
  </r>
  <r>
    <s v="Second Class"/>
    <x v="0"/>
    <s v="United States"/>
    <s v="Dallas"/>
    <x v="5"/>
    <n v="75081"/>
    <x v="2"/>
    <x v="1"/>
    <x v="13"/>
    <n v="11.167999999999999"/>
    <n v="4"/>
    <n v="0.2"/>
    <n v="3.6295999999999999"/>
  </r>
  <r>
    <s v="Second Class"/>
    <x v="0"/>
    <s v="United States"/>
    <s v="Dallas"/>
    <x v="5"/>
    <n v="75081"/>
    <x v="2"/>
    <x v="1"/>
    <x v="10"/>
    <n v="53.951999999999998"/>
    <n v="3"/>
    <n v="0.2"/>
    <n v="17.534400000000002"/>
  </r>
  <r>
    <s v="Standard Class"/>
    <x v="2"/>
    <s v="United States"/>
    <s v="Auburn"/>
    <x v="4"/>
    <n v="98002"/>
    <x v="1"/>
    <x v="0"/>
    <x v="5"/>
    <n v="4.18"/>
    <n v="1"/>
    <n v="0"/>
    <n v="1.5047999999999999"/>
  </r>
  <r>
    <s v="Second Class"/>
    <x v="0"/>
    <s v="United States"/>
    <s v="Philadelphia"/>
    <x v="9"/>
    <n v="19134"/>
    <x v="3"/>
    <x v="1"/>
    <x v="8"/>
    <n v="5.6070000000000002"/>
    <n v="1"/>
    <n v="0.7"/>
    <n v="-4.2987000000000002"/>
  </r>
  <r>
    <s v="Second Class"/>
    <x v="0"/>
    <s v="United States"/>
    <s v="Philadelphia"/>
    <x v="9"/>
    <n v="19134"/>
    <x v="3"/>
    <x v="1"/>
    <x v="14"/>
    <n v="4663.7359999999999"/>
    <n v="7"/>
    <n v="0.2"/>
    <n v="-1049.3406"/>
  </r>
  <r>
    <s v="Second Class"/>
    <x v="0"/>
    <s v="United States"/>
    <s v="Philadelphia"/>
    <x v="9"/>
    <n v="19134"/>
    <x v="3"/>
    <x v="2"/>
    <x v="11"/>
    <n v="79.983999999999995"/>
    <n v="2"/>
    <n v="0.2"/>
    <n v="22.9954"/>
  </r>
  <r>
    <s v="First Class"/>
    <x v="1"/>
    <s v="United States"/>
    <s v="Los Angeles"/>
    <x v="1"/>
    <n v="90049"/>
    <x v="1"/>
    <x v="2"/>
    <x v="7"/>
    <n v="2575.944"/>
    <n v="7"/>
    <n v="0.2"/>
    <n v="257.59440000000001"/>
  </r>
  <r>
    <s v="First Class"/>
    <x v="1"/>
    <s v="United States"/>
    <s v="Los Angeles"/>
    <x v="1"/>
    <n v="90049"/>
    <x v="1"/>
    <x v="1"/>
    <x v="10"/>
    <n v="45.36"/>
    <n v="7"/>
    <n v="0"/>
    <n v="21.7728"/>
  </r>
  <r>
    <s v="First Class"/>
    <x v="1"/>
    <s v="United States"/>
    <s v="Los Angeles"/>
    <x v="1"/>
    <n v="90049"/>
    <x v="1"/>
    <x v="2"/>
    <x v="11"/>
    <n v="254.24"/>
    <n v="7"/>
    <n v="0"/>
    <n v="76.272000000000006"/>
  </r>
  <r>
    <s v="First Class"/>
    <x v="1"/>
    <s v="United States"/>
    <s v="Tulsa"/>
    <x v="26"/>
    <n v="74133"/>
    <x v="2"/>
    <x v="2"/>
    <x v="7"/>
    <n v="69.930000000000007"/>
    <n v="7"/>
    <n v="0"/>
    <n v="0.69930000000000003"/>
  </r>
  <r>
    <s v="Standard Class"/>
    <x v="1"/>
    <s v="United States"/>
    <s v="Chicago"/>
    <x v="10"/>
    <n v="60610"/>
    <x v="2"/>
    <x v="0"/>
    <x v="5"/>
    <n v="16.155999999999999"/>
    <n v="7"/>
    <n v="0.6"/>
    <n v="-12.117000000000001"/>
  </r>
  <r>
    <s v="Standard Class"/>
    <x v="1"/>
    <s v="United States"/>
    <s v="Chicago"/>
    <x v="10"/>
    <n v="60610"/>
    <x v="2"/>
    <x v="1"/>
    <x v="10"/>
    <n v="54.816000000000003"/>
    <n v="3"/>
    <n v="0.2"/>
    <n v="17.815200000000001"/>
  </r>
  <r>
    <s v="Second Class"/>
    <x v="0"/>
    <s v="United States"/>
    <s v="Harrisonburg"/>
    <x v="17"/>
    <n v="22801"/>
    <x v="0"/>
    <x v="0"/>
    <x v="3"/>
    <n v="1441.3"/>
    <n v="7"/>
    <n v="0"/>
    <n v="245.02099999999999"/>
  </r>
  <r>
    <s v="Standard Class"/>
    <x v="0"/>
    <s v="United States"/>
    <s v="Newark"/>
    <x v="24"/>
    <n v="43055"/>
    <x v="3"/>
    <x v="0"/>
    <x v="5"/>
    <n v="77.599999999999994"/>
    <n v="5"/>
    <n v="0.2"/>
    <n v="28.13"/>
  </r>
  <r>
    <s v="Standard Class"/>
    <x v="0"/>
    <s v="United States"/>
    <s v="Newark"/>
    <x v="24"/>
    <n v="43055"/>
    <x v="3"/>
    <x v="0"/>
    <x v="5"/>
    <n v="4.6559999999999997"/>
    <n v="2"/>
    <n v="0.2"/>
    <n v="1.5713999999999999"/>
  </r>
  <r>
    <s v="Standard Class"/>
    <x v="1"/>
    <s v="United States"/>
    <s v="Los Angeles"/>
    <x v="1"/>
    <n v="90045"/>
    <x v="1"/>
    <x v="0"/>
    <x v="3"/>
    <n v="170.136"/>
    <n v="3"/>
    <n v="0.2"/>
    <n v="-8.5068000000000001"/>
  </r>
  <r>
    <s v="Same Day"/>
    <x v="0"/>
    <s v="United States"/>
    <s v="Seattle"/>
    <x v="4"/>
    <n v="98105"/>
    <x v="1"/>
    <x v="1"/>
    <x v="2"/>
    <n v="7.38"/>
    <n v="2"/>
    <n v="0"/>
    <n v="3.4685999999999999"/>
  </r>
  <r>
    <s v="Same Day"/>
    <x v="0"/>
    <s v="United States"/>
    <s v="Seattle"/>
    <x v="4"/>
    <n v="98105"/>
    <x v="1"/>
    <x v="1"/>
    <x v="6"/>
    <n v="9.26"/>
    <n v="2"/>
    <n v="0"/>
    <n v="3.0558000000000001"/>
  </r>
  <r>
    <s v="Second Class"/>
    <x v="0"/>
    <s v="United States"/>
    <s v="Los Angeles"/>
    <x v="1"/>
    <n v="90036"/>
    <x v="1"/>
    <x v="1"/>
    <x v="2"/>
    <n v="9.9600000000000009"/>
    <n v="2"/>
    <n v="0"/>
    <n v="4.5815999999999999"/>
  </r>
  <r>
    <s v="Standard Class"/>
    <x v="0"/>
    <s v="United States"/>
    <s v="Chicago"/>
    <x v="10"/>
    <n v="60623"/>
    <x v="2"/>
    <x v="1"/>
    <x v="9"/>
    <n v="75.599999999999994"/>
    <n v="2"/>
    <n v="0.8"/>
    <n v="-166.32"/>
  </r>
  <r>
    <s v="Standard Class"/>
    <x v="0"/>
    <s v="United States"/>
    <s v="Chicago"/>
    <x v="10"/>
    <n v="60623"/>
    <x v="2"/>
    <x v="0"/>
    <x v="5"/>
    <n v="29.32"/>
    <n v="2"/>
    <n v="0.6"/>
    <n v="-24.189"/>
  </r>
  <r>
    <s v="Standard Class"/>
    <x v="1"/>
    <s v="United States"/>
    <s v="Chicago"/>
    <x v="10"/>
    <n v="60623"/>
    <x v="2"/>
    <x v="1"/>
    <x v="9"/>
    <n v="92.063999999999993"/>
    <n v="6"/>
    <n v="0.8"/>
    <n v="-225.55680000000001"/>
  </r>
  <r>
    <s v="Standard Class"/>
    <x v="1"/>
    <s v="United States"/>
    <s v="Chicago"/>
    <x v="10"/>
    <n v="60623"/>
    <x v="2"/>
    <x v="1"/>
    <x v="13"/>
    <n v="6.976"/>
    <n v="4"/>
    <n v="0.2"/>
    <n v="1.8311999999999999"/>
  </r>
  <r>
    <s v="Standard Class"/>
    <x v="1"/>
    <s v="United States"/>
    <s v="Chicago"/>
    <x v="10"/>
    <n v="60623"/>
    <x v="2"/>
    <x v="0"/>
    <x v="1"/>
    <n v="62.957999999999998"/>
    <n v="3"/>
    <n v="0.3"/>
    <n v="-2.6981999999999999"/>
  </r>
  <r>
    <s v="Standard Class"/>
    <x v="1"/>
    <s v="United States"/>
    <s v="Chicago"/>
    <x v="10"/>
    <n v="60623"/>
    <x v="2"/>
    <x v="1"/>
    <x v="10"/>
    <n v="5.1840000000000002"/>
    <n v="1"/>
    <n v="0.2"/>
    <n v="1.8144"/>
  </r>
  <r>
    <s v="Standard Class"/>
    <x v="0"/>
    <s v="United States"/>
    <s v="Redmond"/>
    <x v="21"/>
    <n v="97756"/>
    <x v="1"/>
    <x v="1"/>
    <x v="8"/>
    <n v="31.32"/>
    <n v="10"/>
    <n v="0.7"/>
    <n v="-25.056000000000001"/>
  </r>
  <r>
    <s v="Standard Class"/>
    <x v="0"/>
    <s v="United States"/>
    <s v="Redmond"/>
    <x v="21"/>
    <n v="97756"/>
    <x v="1"/>
    <x v="0"/>
    <x v="5"/>
    <n v="11.84"/>
    <n v="4"/>
    <n v="0.2"/>
    <n v="3.1080000000000001"/>
  </r>
  <r>
    <s v="Standard Class"/>
    <x v="0"/>
    <s v="United States"/>
    <s v="Redmond"/>
    <x v="21"/>
    <n v="97756"/>
    <x v="1"/>
    <x v="0"/>
    <x v="5"/>
    <n v="22.783999999999999"/>
    <n v="1"/>
    <n v="0.2"/>
    <n v="4.8415999999999997"/>
  </r>
  <r>
    <s v="Second Class"/>
    <x v="2"/>
    <s v="United States"/>
    <s v="Raleigh"/>
    <x v="3"/>
    <n v="27604"/>
    <x v="0"/>
    <x v="2"/>
    <x v="7"/>
    <n v="1127.9760000000001"/>
    <n v="3"/>
    <n v="0.2"/>
    <n v="126.8973"/>
  </r>
  <r>
    <s v="Second Class"/>
    <x v="1"/>
    <s v="United States"/>
    <s v="Macon"/>
    <x v="32"/>
    <n v="31204"/>
    <x v="0"/>
    <x v="1"/>
    <x v="10"/>
    <n v="38.880000000000003"/>
    <n v="6"/>
    <n v="0"/>
    <n v="18.662400000000002"/>
  </r>
  <r>
    <s v="Standard Class"/>
    <x v="0"/>
    <s v="United States"/>
    <s v="Cleveland"/>
    <x v="24"/>
    <n v="44105"/>
    <x v="3"/>
    <x v="2"/>
    <x v="7"/>
    <n v="779.79600000000005"/>
    <n v="2"/>
    <n v="0.4"/>
    <n v="-168.95580000000001"/>
  </r>
  <r>
    <s v="Same Day"/>
    <x v="2"/>
    <s v="United States"/>
    <s v="Muskogee"/>
    <x v="26"/>
    <n v="74403"/>
    <x v="2"/>
    <x v="2"/>
    <x v="7"/>
    <n v="1439.92"/>
    <n v="8"/>
    <n v="0"/>
    <n v="374.37920000000003"/>
  </r>
  <r>
    <s v="Same Day"/>
    <x v="2"/>
    <s v="United States"/>
    <s v="Muskogee"/>
    <x v="26"/>
    <n v="74403"/>
    <x v="2"/>
    <x v="0"/>
    <x v="3"/>
    <n v="262.11"/>
    <n v="1"/>
    <n v="0"/>
    <n v="62.906399999999998"/>
  </r>
  <r>
    <s v="Standard Class"/>
    <x v="1"/>
    <s v="United States"/>
    <s v="Monroe"/>
    <x v="3"/>
    <n v="28110"/>
    <x v="0"/>
    <x v="0"/>
    <x v="1"/>
    <n v="207"/>
    <n v="3"/>
    <n v="0.2"/>
    <n v="25.875"/>
  </r>
  <r>
    <s v="Standard Class"/>
    <x v="1"/>
    <s v="United States"/>
    <s v="Austin"/>
    <x v="5"/>
    <n v="78745"/>
    <x v="2"/>
    <x v="2"/>
    <x v="15"/>
    <n v="1439.982"/>
    <n v="3"/>
    <n v="0.4"/>
    <n v="-263.99669999999998"/>
  </r>
  <r>
    <s v="Standard Class"/>
    <x v="1"/>
    <s v="United States"/>
    <s v="Austin"/>
    <x v="5"/>
    <n v="78745"/>
    <x v="2"/>
    <x v="1"/>
    <x v="10"/>
    <n v="36.287999999999997"/>
    <n v="7"/>
    <n v="0.2"/>
    <n v="12.700799999999999"/>
  </r>
  <r>
    <s v="First Class"/>
    <x v="0"/>
    <s v="United States"/>
    <s v="Meriden"/>
    <x v="29"/>
    <n v="6450"/>
    <x v="3"/>
    <x v="1"/>
    <x v="6"/>
    <n v="21.4"/>
    <n v="5"/>
    <n v="0"/>
    <n v="6.2060000000000004"/>
  </r>
  <r>
    <s v="Second Class"/>
    <x v="1"/>
    <s v="United States"/>
    <s v="Roswell"/>
    <x v="32"/>
    <n v="30076"/>
    <x v="0"/>
    <x v="1"/>
    <x v="9"/>
    <n v="1245.8599999999999"/>
    <n v="7"/>
    <n v="0"/>
    <n v="361.29939999999999"/>
  </r>
  <r>
    <s v="Standard Class"/>
    <x v="1"/>
    <s v="United States"/>
    <s v="Charlotte"/>
    <x v="3"/>
    <n v="28205"/>
    <x v="0"/>
    <x v="1"/>
    <x v="2"/>
    <n v="17.544"/>
    <n v="3"/>
    <n v="0.2"/>
    <n v="5.9211"/>
  </r>
  <r>
    <s v="Standard Class"/>
    <x v="1"/>
    <s v="United States"/>
    <s v="Charlotte"/>
    <x v="3"/>
    <n v="28205"/>
    <x v="0"/>
    <x v="0"/>
    <x v="5"/>
    <n v="44.128"/>
    <n v="4"/>
    <n v="0.2"/>
    <n v="12.135199999999999"/>
  </r>
  <r>
    <s v="Standard Class"/>
    <x v="1"/>
    <s v="United States"/>
    <s v="Charlotte"/>
    <x v="3"/>
    <n v="28205"/>
    <x v="0"/>
    <x v="1"/>
    <x v="9"/>
    <n v="62.92"/>
    <n v="1"/>
    <n v="0.2"/>
    <n v="10.224500000000001"/>
  </r>
  <r>
    <s v="Standard Class"/>
    <x v="1"/>
    <s v="United States"/>
    <s v="Charlotte"/>
    <x v="3"/>
    <n v="28205"/>
    <x v="0"/>
    <x v="1"/>
    <x v="10"/>
    <n v="78.304000000000002"/>
    <n v="2"/>
    <n v="0.2"/>
    <n v="29.364000000000001"/>
  </r>
  <r>
    <s v="Standard Class"/>
    <x v="1"/>
    <s v="United States"/>
    <s v="Bowling Green"/>
    <x v="0"/>
    <n v="42104"/>
    <x v="0"/>
    <x v="0"/>
    <x v="1"/>
    <n v="140.81"/>
    <n v="1"/>
    <n v="0"/>
    <n v="39.4268"/>
  </r>
  <r>
    <s v="Second Class"/>
    <x v="1"/>
    <s v="United States"/>
    <s v="San Antonio"/>
    <x v="5"/>
    <n v="78207"/>
    <x v="2"/>
    <x v="1"/>
    <x v="2"/>
    <n v="40.095999999999997"/>
    <n v="4"/>
    <n v="0.2"/>
    <n v="13.532400000000001"/>
  </r>
  <r>
    <s v="Second Class"/>
    <x v="1"/>
    <s v="United States"/>
    <s v="San Antonio"/>
    <x v="5"/>
    <n v="78207"/>
    <x v="2"/>
    <x v="0"/>
    <x v="5"/>
    <n v="40.783999999999999"/>
    <n v="2"/>
    <n v="0.6"/>
    <n v="-30.588000000000001"/>
  </r>
  <r>
    <s v="Standard Class"/>
    <x v="0"/>
    <s v="United States"/>
    <s v="Seattle"/>
    <x v="4"/>
    <n v="98115"/>
    <x v="1"/>
    <x v="2"/>
    <x v="11"/>
    <n v="90.57"/>
    <n v="3"/>
    <n v="0"/>
    <n v="11.774100000000001"/>
  </r>
  <r>
    <s v="Second Class"/>
    <x v="2"/>
    <s v="United States"/>
    <s v="Washington"/>
    <x v="40"/>
    <n v="20016"/>
    <x v="3"/>
    <x v="1"/>
    <x v="10"/>
    <n v="40.08"/>
    <n v="6"/>
    <n v="0"/>
    <n v="19.238399999999999"/>
  </r>
  <r>
    <s v="Second Class"/>
    <x v="2"/>
    <s v="United States"/>
    <s v="Washington"/>
    <x v="40"/>
    <n v="20016"/>
    <x v="3"/>
    <x v="0"/>
    <x v="5"/>
    <n v="37.68"/>
    <n v="2"/>
    <n v="0"/>
    <n v="15.8256"/>
  </r>
  <r>
    <s v="Same Day"/>
    <x v="1"/>
    <s v="United States"/>
    <s v="Los Angeles"/>
    <x v="1"/>
    <n v="90004"/>
    <x v="1"/>
    <x v="0"/>
    <x v="1"/>
    <n v="362.35199999999998"/>
    <n v="3"/>
    <n v="0.2"/>
    <n v="27.176400000000001"/>
  </r>
  <r>
    <s v="Same Day"/>
    <x v="1"/>
    <s v="United States"/>
    <s v="Los Angeles"/>
    <x v="1"/>
    <n v="90004"/>
    <x v="1"/>
    <x v="1"/>
    <x v="8"/>
    <n v="7.1840000000000002"/>
    <n v="2"/>
    <n v="0.2"/>
    <n v="2.2450000000000001"/>
  </r>
  <r>
    <s v="Second Class"/>
    <x v="0"/>
    <s v="United States"/>
    <s v="South Bend"/>
    <x v="14"/>
    <n v="46614"/>
    <x v="2"/>
    <x v="1"/>
    <x v="4"/>
    <n v="34.76"/>
    <n v="1"/>
    <n v="0"/>
    <n v="9.7327999999999992"/>
  </r>
  <r>
    <s v="Second Class"/>
    <x v="0"/>
    <s v="United States"/>
    <s v="South Bend"/>
    <x v="14"/>
    <n v="46614"/>
    <x v="2"/>
    <x v="2"/>
    <x v="11"/>
    <n v="831.2"/>
    <n v="5"/>
    <n v="0"/>
    <n v="124.68"/>
  </r>
  <r>
    <s v="Second Class"/>
    <x v="0"/>
    <s v="United States"/>
    <s v="South Bend"/>
    <x v="14"/>
    <n v="46614"/>
    <x v="2"/>
    <x v="1"/>
    <x v="10"/>
    <n v="26.4"/>
    <n v="5"/>
    <n v="0"/>
    <n v="11.88"/>
  </r>
  <r>
    <s v="Second Class"/>
    <x v="0"/>
    <s v="United States"/>
    <s v="South Bend"/>
    <x v="14"/>
    <n v="46614"/>
    <x v="2"/>
    <x v="1"/>
    <x v="12"/>
    <n v="106.75"/>
    <n v="7"/>
    <n v="0"/>
    <n v="49.104999999999997"/>
  </r>
  <r>
    <s v="Second Class"/>
    <x v="0"/>
    <s v="United States"/>
    <s v="South Bend"/>
    <x v="14"/>
    <n v="46614"/>
    <x v="2"/>
    <x v="1"/>
    <x v="10"/>
    <n v="97.82"/>
    <n v="2"/>
    <n v="0"/>
    <n v="45.9754"/>
  </r>
  <r>
    <s v="Second Class"/>
    <x v="0"/>
    <s v="United States"/>
    <s v="South Bend"/>
    <x v="14"/>
    <n v="46614"/>
    <x v="2"/>
    <x v="1"/>
    <x v="4"/>
    <n v="141.4"/>
    <n v="5"/>
    <n v="0"/>
    <n v="38.177999999999997"/>
  </r>
  <r>
    <s v="Standard Class"/>
    <x v="1"/>
    <s v="United States"/>
    <s v="Los Angeles"/>
    <x v="1"/>
    <n v="90032"/>
    <x v="1"/>
    <x v="1"/>
    <x v="6"/>
    <n v="14.52"/>
    <n v="3"/>
    <n v="0"/>
    <n v="4.7915999999999999"/>
  </r>
  <r>
    <s v="Second Class"/>
    <x v="1"/>
    <s v="United States"/>
    <s v="Houston"/>
    <x v="5"/>
    <n v="77041"/>
    <x v="2"/>
    <x v="1"/>
    <x v="4"/>
    <n v="127.92"/>
    <n v="5"/>
    <n v="0.2"/>
    <n v="-15.99"/>
  </r>
  <r>
    <s v="Second Class"/>
    <x v="1"/>
    <s v="United States"/>
    <s v="Houston"/>
    <x v="5"/>
    <n v="77041"/>
    <x v="2"/>
    <x v="1"/>
    <x v="8"/>
    <n v="34.24"/>
    <n v="4"/>
    <n v="0.8"/>
    <n v="-53.072000000000003"/>
  </r>
  <r>
    <s v="First Class"/>
    <x v="1"/>
    <s v="United States"/>
    <s v="Bristol"/>
    <x v="29"/>
    <n v="6010"/>
    <x v="3"/>
    <x v="1"/>
    <x v="9"/>
    <n v="137.62"/>
    <n v="2"/>
    <n v="0"/>
    <n v="60.552799999999998"/>
  </r>
  <r>
    <s v="First Class"/>
    <x v="1"/>
    <s v="United States"/>
    <s v="Bristol"/>
    <x v="29"/>
    <n v="6010"/>
    <x v="3"/>
    <x v="2"/>
    <x v="7"/>
    <n v="100.49"/>
    <n v="1"/>
    <n v="0"/>
    <n v="25.122499999999999"/>
  </r>
  <r>
    <s v="First Class"/>
    <x v="0"/>
    <s v="United States"/>
    <s v="New York City"/>
    <x v="15"/>
    <n v="10009"/>
    <x v="3"/>
    <x v="0"/>
    <x v="0"/>
    <n v="257.56799999999998"/>
    <n v="2"/>
    <n v="0.2"/>
    <n v="-28.976400000000002"/>
  </r>
  <r>
    <s v="First Class"/>
    <x v="0"/>
    <s v="United States"/>
    <s v="New York City"/>
    <x v="15"/>
    <n v="10009"/>
    <x v="3"/>
    <x v="2"/>
    <x v="7"/>
    <n v="119.96"/>
    <n v="4"/>
    <n v="0"/>
    <n v="33.588799999999999"/>
  </r>
  <r>
    <s v="Same Day"/>
    <x v="0"/>
    <s v="United States"/>
    <s v="San Antonio"/>
    <x v="5"/>
    <n v="78207"/>
    <x v="2"/>
    <x v="1"/>
    <x v="4"/>
    <n v="49.631999999999998"/>
    <n v="4"/>
    <n v="0.2"/>
    <n v="4.9631999999999996"/>
  </r>
  <r>
    <s v="Standard Class"/>
    <x v="1"/>
    <s v="United States"/>
    <s v="Aurora"/>
    <x v="22"/>
    <n v="80013"/>
    <x v="1"/>
    <x v="0"/>
    <x v="3"/>
    <n v="727.45"/>
    <n v="5"/>
    <n v="0.5"/>
    <n v="-465.56799999999998"/>
  </r>
  <r>
    <s v="Standard Class"/>
    <x v="1"/>
    <s v="United States"/>
    <s v="Aurora"/>
    <x v="22"/>
    <n v="80013"/>
    <x v="1"/>
    <x v="0"/>
    <x v="5"/>
    <n v="24.96"/>
    <n v="3"/>
    <n v="0.2"/>
    <n v="4.3680000000000003"/>
  </r>
  <r>
    <s v="Same Day"/>
    <x v="1"/>
    <s v="United States"/>
    <s v="Newark"/>
    <x v="24"/>
    <n v="43055"/>
    <x v="3"/>
    <x v="2"/>
    <x v="7"/>
    <n v="370.78199999999998"/>
    <n v="3"/>
    <n v="0.4"/>
    <n v="-92.695499999999996"/>
  </r>
  <r>
    <s v="First Class"/>
    <x v="1"/>
    <s v="United States"/>
    <s v="Henderson"/>
    <x v="33"/>
    <n v="89015"/>
    <x v="1"/>
    <x v="0"/>
    <x v="5"/>
    <n v="196.45"/>
    <n v="5"/>
    <n v="0"/>
    <n v="70.721999999999994"/>
  </r>
  <r>
    <s v="Standard Class"/>
    <x v="2"/>
    <s v="United States"/>
    <s v="Philadelphia"/>
    <x v="9"/>
    <n v="19143"/>
    <x v="3"/>
    <x v="1"/>
    <x v="10"/>
    <n v="31.103999999999999"/>
    <n v="6"/>
    <n v="0.2"/>
    <n v="10.8864"/>
  </r>
  <r>
    <s v="Standard Class"/>
    <x v="2"/>
    <s v="United States"/>
    <s v="Philadelphia"/>
    <x v="9"/>
    <n v="19143"/>
    <x v="3"/>
    <x v="1"/>
    <x v="4"/>
    <n v="78.256"/>
    <n v="2"/>
    <n v="0.2"/>
    <n v="-17.607600000000001"/>
  </r>
  <r>
    <s v="Second Class"/>
    <x v="0"/>
    <s v="United States"/>
    <s v="Seattle"/>
    <x v="4"/>
    <n v="98103"/>
    <x v="1"/>
    <x v="1"/>
    <x v="10"/>
    <n v="6.48"/>
    <n v="1"/>
    <n v="0"/>
    <n v="3.1103999999999998"/>
  </r>
  <r>
    <s v="Standard Class"/>
    <x v="1"/>
    <s v="United States"/>
    <s v="San Francisco"/>
    <x v="1"/>
    <n v="94122"/>
    <x v="1"/>
    <x v="1"/>
    <x v="6"/>
    <n v="99.2"/>
    <n v="5"/>
    <n v="0"/>
    <n v="25.792000000000002"/>
  </r>
  <r>
    <s v="Standard Class"/>
    <x v="1"/>
    <s v="United States"/>
    <s v="San Francisco"/>
    <x v="1"/>
    <n v="94122"/>
    <x v="1"/>
    <x v="0"/>
    <x v="1"/>
    <n v="801.56799999999998"/>
    <n v="2"/>
    <n v="0.2"/>
    <n v="50.097999999999999"/>
  </r>
  <r>
    <s v="Standard Class"/>
    <x v="1"/>
    <s v="United States"/>
    <s v="San Francisco"/>
    <x v="1"/>
    <n v="94122"/>
    <x v="1"/>
    <x v="0"/>
    <x v="3"/>
    <n v="272.84800000000001"/>
    <n v="1"/>
    <n v="0.2"/>
    <n v="27.284800000000001"/>
  </r>
  <r>
    <s v="Standard Class"/>
    <x v="0"/>
    <s v="United States"/>
    <s v="Spokane"/>
    <x v="4"/>
    <n v="99207"/>
    <x v="1"/>
    <x v="0"/>
    <x v="3"/>
    <n v="70.98"/>
    <n v="1"/>
    <n v="0"/>
    <n v="20.584199999999999"/>
  </r>
  <r>
    <s v="Standard Class"/>
    <x v="2"/>
    <s v="United States"/>
    <s v="Columbus"/>
    <x v="24"/>
    <n v="43229"/>
    <x v="3"/>
    <x v="1"/>
    <x v="10"/>
    <n v="16.224"/>
    <n v="2"/>
    <n v="0.2"/>
    <n v="5.8811999999999998"/>
  </r>
  <r>
    <s v="Standard Class"/>
    <x v="0"/>
    <s v="United States"/>
    <s v="Long Beach"/>
    <x v="15"/>
    <n v="11561"/>
    <x v="3"/>
    <x v="0"/>
    <x v="0"/>
    <n v="176.78399999999999"/>
    <n v="1"/>
    <n v="0.2"/>
    <n v="-22.097999999999999"/>
  </r>
  <r>
    <s v="Standard Class"/>
    <x v="0"/>
    <s v="United States"/>
    <s v="San Antonio"/>
    <x v="5"/>
    <n v="78207"/>
    <x v="2"/>
    <x v="2"/>
    <x v="7"/>
    <n v="470.37599999999998"/>
    <n v="3"/>
    <n v="0.2"/>
    <n v="47.037599999999998"/>
  </r>
  <r>
    <s v="Standard Class"/>
    <x v="0"/>
    <s v="United States"/>
    <s v="Los Angeles"/>
    <x v="1"/>
    <n v="90049"/>
    <x v="1"/>
    <x v="0"/>
    <x v="1"/>
    <n v="393.56799999999998"/>
    <n v="4"/>
    <n v="0.2"/>
    <n v="-44.276400000000002"/>
  </r>
  <r>
    <s v="Standard Class"/>
    <x v="0"/>
    <s v="United States"/>
    <s v="Los Angeles"/>
    <x v="1"/>
    <n v="90049"/>
    <x v="1"/>
    <x v="2"/>
    <x v="7"/>
    <n v="302.37599999999998"/>
    <n v="3"/>
    <n v="0.2"/>
    <n v="22.6782"/>
  </r>
  <r>
    <s v="Standard Class"/>
    <x v="1"/>
    <s v="United States"/>
    <s v="Jacksonville"/>
    <x v="2"/>
    <n v="32216"/>
    <x v="0"/>
    <x v="1"/>
    <x v="8"/>
    <n v="68.742000000000004"/>
    <n v="9"/>
    <n v="0.7"/>
    <n v="-48.119399999999999"/>
  </r>
  <r>
    <s v="Same Day"/>
    <x v="0"/>
    <s v="United States"/>
    <s v="New York City"/>
    <x v="15"/>
    <n v="10011"/>
    <x v="3"/>
    <x v="1"/>
    <x v="12"/>
    <n v="29.34"/>
    <n v="3"/>
    <n v="0"/>
    <n v="14.67"/>
  </r>
  <r>
    <s v="Same Day"/>
    <x v="0"/>
    <s v="United States"/>
    <s v="New York City"/>
    <x v="15"/>
    <n v="10011"/>
    <x v="3"/>
    <x v="0"/>
    <x v="1"/>
    <n v="383.60700000000003"/>
    <n v="7"/>
    <n v="0.1"/>
    <n v="63.9345"/>
  </r>
  <r>
    <s v="Same Day"/>
    <x v="0"/>
    <s v="United States"/>
    <s v="New York City"/>
    <x v="15"/>
    <n v="10011"/>
    <x v="3"/>
    <x v="1"/>
    <x v="4"/>
    <n v="563.4"/>
    <n v="4"/>
    <n v="0"/>
    <n v="67.608000000000004"/>
  </r>
  <r>
    <s v="Standard Class"/>
    <x v="2"/>
    <s v="United States"/>
    <s v="Philadelphia"/>
    <x v="9"/>
    <n v="19143"/>
    <x v="3"/>
    <x v="1"/>
    <x v="10"/>
    <n v="217.05600000000001"/>
    <n v="7"/>
    <n v="0.2"/>
    <n v="78.6828"/>
  </r>
  <r>
    <s v="Second Class"/>
    <x v="0"/>
    <s v="United States"/>
    <s v="Keller"/>
    <x v="5"/>
    <n v="76248"/>
    <x v="2"/>
    <x v="1"/>
    <x v="2"/>
    <n v="6"/>
    <n v="2"/>
    <n v="0.2"/>
    <n v="2.1"/>
  </r>
  <r>
    <s v="Second Class"/>
    <x v="0"/>
    <s v="United States"/>
    <s v="San Francisco"/>
    <x v="1"/>
    <n v="94122"/>
    <x v="1"/>
    <x v="0"/>
    <x v="5"/>
    <n v="31.56"/>
    <n v="3"/>
    <n v="0"/>
    <n v="10.4148"/>
  </r>
  <r>
    <s v="First Class"/>
    <x v="2"/>
    <s v="United States"/>
    <s v="Hialeah"/>
    <x v="2"/>
    <n v="33012"/>
    <x v="0"/>
    <x v="1"/>
    <x v="13"/>
    <n v="7.1040000000000001"/>
    <n v="2"/>
    <n v="0.2"/>
    <n v="2.3976000000000002"/>
  </r>
  <r>
    <s v="First Class"/>
    <x v="2"/>
    <s v="United States"/>
    <s v="Hialeah"/>
    <x v="2"/>
    <n v="33012"/>
    <x v="0"/>
    <x v="1"/>
    <x v="8"/>
    <n v="398.35199999999998"/>
    <n v="8"/>
    <n v="0.7"/>
    <n v="-331.96"/>
  </r>
  <r>
    <s v="First Class"/>
    <x v="0"/>
    <s v="United States"/>
    <s v="Fairfield"/>
    <x v="24"/>
    <n v="45014"/>
    <x v="3"/>
    <x v="1"/>
    <x v="9"/>
    <n v="121.792"/>
    <n v="4"/>
    <n v="0.2"/>
    <n v="13.701599999999999"/>
  </r>
  <r>
    <s v="First Class"/>
    <x v="0"/>
    <s v="United States"/>
    <s v="Fairfield"/>
    <x v="24"/>
    <n v="45014"/>
    <x v="3"/>
    <x v="0"/>
    <x v="3"/>
    <n v="409.59"/>
    <n v="3"/>
    <n v="0.4"/>
    <n v="-122.877"/>
  </r>
  <r>
    <s v="Standard Class"/>
    <x v="1"/>
    <s v="United States"/>
    <s v="Huntington Beach"/>
    <x v="1"/>
    <n v="92646"/>
    <x v="1"/>
    <x v="1"/>
    <x v="10"/>
    <n v="10.56"/>
    <n v="2"/>
    <n v="0"/>
    <n v="4.7519999999999998"/>
  </r>
  <r>
    <s v="Standard Class"/>
    <x v="1"/>
    <s v="United States"/>
    <s v="Huntington Beach"/>
    <x v="1"/>
    <n v="92646"/>
    <x v="1"/>
    <x v="1"/>
    <x v="6"/>
    <n v="3.38"/>
    <n v="1"/>
    <n v="0"/>
    <n v="1.2505999999999999"/>
  </r>
  <r>
    <s v="Second Class"/>
    <x v="0"/>
    <s v="United States"/>
    <s v="Port Orange"/>
    <x v="2"/>
    <n v="32127"/>
    <x v="0"/>
    <x v="1"/>
    <x v="12"/>
    <n v="7.8239999999999998"/>
    <n v="1"/>
    <n v="0.2"/>
    <n v="2.9340000000000002"/>
  </r>
  <r>
    <s v="Standard Class"/>
    <x v="0"/>
    <s v="United States"/>
    <s v="Medford"/>
    <x v="21"/>
    <n v="97504"/>
    <x v="1"/>
    <x v="1"/>
    <x v="10"/>
    <n v="24.783999999999999"/>
    <n v="1"/>
    <n v="0.2"/>
    <n v="7.7450000000000001"/>
  </r>
  <r>
    <s v="First Class"/>
    <x v="0"/>
    <s v="United States"/>
    <s v="Charlottesville"/>
    <x v="17"/>
    <n v="22901"/>
    <x v="0"/>
    <x v="1"/>
    <x v="6"/>
    <n v="34.65"/>
    <n v="3"/>
    <n v="0"/>
    <n v="10.395"/>
  </r>
  <r>
    <s v="Standard Class"/>
    <x v="0"/>
    <s v="United States"/>
    <s v="Missoula"/>
    <x v="37"/>
    <n v="59801"/>
    <x v="1"/>
    <x v="1"/>
    <x v="8"/>
    <n v="487.98399999999998"/>
    <n v="2"/>
    <n v="0.2"/>
    <n v="152.495"/>
  </r>
  <r>
    <s v="First Class"/>
    <x v="0"/>
    <s v="United States"/>
    <s v="Minneapolis"/>
    <x v="11"/>
    <n v="55407"/>
    <x v="2"/>
    <x v="1"/>
    <x v="8"/>
    <n v="1793.98"/>
    <n v="2"/>
    <n v="0"/>
    <n v="843.17060000000004"/>
  </r>
  <r>
    <s v="Second Class"/>
    <x v="0"/>
    <s v="United States"/>
    <s v="Miami"/>
    <x v="2"/>
    <n v="33178"/>
    <x v="0"/>
    <x v="1"/>
    <x v="12"/>
    <n v="29.808"/>
    <n v="2"/>
    <n v="0.2"/>
    <n v="10.805400000000001"/>
  </r>
  <r>
    <s v="Second Class"/>
    <x v="0"/>
    <s v="United States"/>
    <s v="Miami"/>
    <x v="2"/>
    <n v="33178"/>
    <x v="0"/>
    <x v="1"/>
    <x v="8"/>
    <n v="505.17599999999999"/>
    <n v="4"/>
    <n v="0.7"/>
    <n v="-336.78399999999999"/>
  </r>
  <r>
    <s v="Second Class"/>
    <x v="0"/>
    <s v="United States"/>
    <s v="Miami"/>
    <x v="2"/>
    <n v="33178"/>
    <x v="0"/>
    <x v="0"/>
    <x v="3"/>
    <n v="174.05850000000001"/>
    <n v="3"/>
    <n v="0.45"/>
    <n v="-110.7645"/>
  </r>
  <r>
    <s v="Second Class"/>
    <x v="0"/>
    <s v="United States"/>
    <s v="Florence"/>
    <x v="20"/>
    <n v="29501"/>
    <x v="0"/>
    <x v="1"/>
    <x v="4"/>
    <n v="191.88"/>
    <n v="6"/>
    <n v="0"/>
    <n v="19.187999999999999"/>
  </r>
  <r>
    <s v="First Class"/>
    <x v="2"/>
    <s v="United States"/>
    <s v="Detroit"/>
    <x v="12"/>
    <n v="48205"/>
    <x v="2"/>
    <x v="2"/>
    <x v="7"/>
    <n v="14.78"/>
    <n v="2"/>
    <n v="0"/>
    <n v="3.9906000000000001"/>
  </r>
  <r>
    <s v="First Class"/>
    <x v="1"/>
    <s v="United States"/>
    <s v="Springfield"/>
    <x v="21"/>
    <n v="97477"/>
    <x v="1"/>
    <x v="1"/>
    <x v="10"/>
    <n v="5.1840000000000002"/>
    <n v="1"/>
    <n v="0.2"/>
    <n v="1.8144"/>
  </r>
  <r>
    <s v="First Class"/>
    <x v="1"/>
    <s v="United States"/>
    <s v="Springfield"/>
    <x v="21"/>
    <n v="97477"/>
    <x v="1"/>
    <x v="0"/>
    <x v="1"/>
    <n v="478.48"/>
    <n v="2"/>
    <n v="0.2"/>
    <n v="47.847999999999999"/>
  </r>
  <r>
    <s v="First Class"/>
    <x v="1"/>
    <s v="United States"/>
    <s v="Springfield"/>
    <x v="21"/>
    <n v="97477"/>
    <x v="1"/>
    <x v="2"/>
    <x v="11"/>
    <n v="28.4"/>
    <n v="2"/>
    <n v="0.2"/>
    <n v="6.7450000000000001"/>
  </r>
  <r>
    <s v="First Class"/>
    <x v="1"/>
    <s v="United States"/>
    <s v="Indianapolis"/>
    <x v="14"/>
    <n v="46203"/>
    <x v="2"/>
    <x v="1"/>
    <x v="4"/>
    <n v="909.12"/>
    <n v="8"/>
    <n v="0"/>
    <n v="9.0912000000000006"/>
  </r>
  <r>
    <s v="Standard Class"/>
    <x v="1"/>
    <s v="United States"/>
    <s v="Apopka"/>
    <x v="2"/>
    <n v="32712"/>
    <x v="0"/>
    <x v="1"/>
    <x v="8"/>
    <n v="2.952"/>
    <n v="2"/>
    <n v="0.7"/>
    <n v="-2.1648000000000001"/>
  </r>
  <r>
    <s v="Standard Class"/>
    <x v="1"/>
    <s v="United States"/>
    <s v="Apopka"/>
    <x v="2"/>
    <n v="32712"/>
    <x v="0"/>
    <x v="1"/>
    <x v="8"/>
    <n v="27.018000000000001"/>
    <n v="6"/>
    <n v="0.7"/>
    <n v="-21.6144"/>
  </r>
  <r>
    <s v="First Class"/>
    <x v="1"/>
    <s v="United States"/>
    <s v="Los Angeles"/>
    <x v="1"/>
    <n v="90008"/>
    <x v="1"/>
    <x v="0"/>
    <x v="5"/>
    <n v="136.91999999999999"/>
    <n v="4"/>
    <n v="0"/>
    <n v="41.076000000000001"/>
  </r>
  <r>
    <s v="Standard Class"/>
    <x v="0"/>
    <s v="United States"/>
    <s v="Oceanside"/>
    <x v="15"/>
    <n v="11572"/>
    <x v="3"/>
    <x v="0"/>
    <x v="5"/>
    <n v="18.96"/>
    <n v="2"/>
    <n v="0"/>
    <n v="8.532"/>
  </r>
  <r>
    <s v="Standard Class"/>
    <x v="1"/>
    <s v="United States"/>
    <s v="Los Angeles"/>
    <x v="1"/>
    <n v="90008"/>
    <x v="1"/>
    <x v="2"/>
    <x v="11"/>
    <n v="99.39"/>
    <n v="3"/>
    <n v="0"/>
    <n v="40.749899999999997"/>
  </r>
  <r>
    <s v="Second Class"/>
    <x v="1"/>
    <s v="United States"/>
    <s v="Houston"/>
    <x v="5"/>
    <n v="77041"/>
    <x v="2"/>
    <x v="1"/>
    <x v="10"/>
    <n v="273.89600000000002"/>
    <n v="7"/>
    <n v="0.2"/>
    <n v="92.439899999999994"/>
  </r>
  <r>
    <s v="Second Class"/>
    <x v="1"/>
    <s v="United States"/>
    <s v="Houston"/>
    <x v="5"/>
    <n v="77041"/>
    <x v="2"/>
    <x v="2"/>
    <x v="15"/>
    <n v="597.13199999999995"/>
    <n v="3"/>
    <n v="0.4"/>
    <n v="49.761000000000003"/>
  </r>
  <r>
    <s v="First Class"/>
    <x v="0"/>
    <s v="United States"/>
    <s v="Roswell"/>
    <x v="32"/>
    <n v="30076"/>
    <x v="0"/>
    <x v="2"/>
    <x v="11"/>
    <n v="149.94999999999999"/>
    <n v="5"/>
    <n v="0"/>
    <n v="65.977999999999994"/>
  </r>
  <r>
    <s v="Standard Class"/>
    <x v="2"/>
    <s v="United States"/>
    <s v="Boynton Beach"/>
    <x v="2"/>
    <n v="33437"/>
    <x v="0"/>
    <x v="1"/>
    <x v="2"/>
    <n v="4.6079999999999997"/>
    <n v="2"/>
    <n v="0.2"/>
    <n v="1.6704000000000001"/>
  </r>
  <r>
    <s v="Standard Class"/>
    <x v="2"/>
    <s v="United States"/>
    <s v="Boynton Beach"/>
    <x v="2"/>
    <n v="33437"/>
    <x v="0"/>
    <x v="1"/>
    <x v="6"/>
    <n v="15.528"/>
    <n v="3"/>
    <n v="0.2"/>
    <n v="4.8525"/>
  </r>
  <r>
    <s v="Standard Class"/>
    <x v="2"/>
    <s v="United States"/>
    <s v="Boynton Beach"/>
    <x v="2"/>
    <n v="33437"/>
    <x v="0"/>
    <x v="1"/>
    <x v="2"/>
    <n v="11.952"/>
    <n v="3"/>
    <n v="0.2"/>
    <n v="3.8843999999999999"/>
  </r>
  <r>
    <s v="Standard Class"/>
    <x v="0"/>
    <s v="United States"/>
    <s v="Franklin"/>
    <x v="31"/>
    <n v="2038"/>
    <x v="3"/>
    <x v="1"/>
    <x v="6"/>
    <n v="11.65"/>
    <n v="5"/>
    <n v="0"/>
    <n v="3.3784999999999998"/>
  </r>
  <r>
    <s v="Second Class"/>
    <x v="2"/>
    <s v="United States"/>
    <s v="Detroit"/>
    <x v="12"/>
    <n v="48227"/>
    <x v="2"/>
    <x v="2"/>
    <x v="7"/>
    <n v="299.89999999999998"/>
    <n v="2"/>
    <n v="0"/>
    <n v="74.974999999999994"/>
  </r>
  <r>
    <s v="First Class"/>
    <x v="1"/>
    <s v="United States"/>
    <s v="Watertown"/>
    <x v="15"/>
    <n v="13601"/>
    <x v="3"/>
    <x v="1"/>
    <x v="8"/>
    <n v="895.92"/>
    <n v="5"/>
    <n v="0.2"/>
    <n v="302.37299999999999"/>
  </r>
  <r>
    <s v="First Class"/>
    <x v="1"/>
    <s v="United States"/>
    <s v="Watertown"/>
    <x v="15"/>
    <n v="13601"/>
    <x v="3"/>
    <x v="0"/>
    <x v="1"/>
    <n v="462.56400000000002"/>
    <n v="2"/>
    <n v="0.1"/>
    <n v="97.6524"/>
  </r>
  <r>
    <s v="Standard Class"/>
    <x v="1"/>
    <s v="United States"/>
    <s v="Reading"/>
    <x v="9"/>
    <n v="19601"/>
    <x v="3"/>
    <x v="1"/>
    <x v="4"/>
    <n v="15.007999999999999"/>
    <n v="2"/>
    <n v="0.2"/>
    <n v="1.5007999999999999"/>
  </r>
  <r>
    <s v="Second Class"/>
    <x v="1"/>
    <s v="United States"/>
    <s v="Arlington"/>
    <x v="5"/>
    <n v="76017"/>
    <x v="2"/>
    <x v="2"/>
    <x v="7"/>
    <n v="863.64"/>
    <n v="9"/>
    <n v="0.2"/>
    <n v="107.955"/>
  </r>
  <r>
    <s v="Second Class"/>
    <x v="1"/>
    <s v="United States"/>
    <s v="Arlington"/>
    <x v="5"/>
    <n v="76017"/>
    <x v="2"/>
    <x v="1"/>
    <x v="6"/>
    <n v="47.616"/>
    <n v="3"/>
    <n v="0.2"/>
    <n v="3.5712000000000002"/>
  </r>
  <r>
    <s v="Second Class"/>
    <x v="0"/>
    <s v="United States"/>
    <s v="San Diego"/>
    <x v="1"/>
    <n v="92024"/>
    <x v="1"/>
    <x v="1"/>
    <x v="10"/>
    <n v="92.94"/>
    <n v="3"/>
    <n v="0"/>
    <n v="41.823"/>
  </r>
  <r>
    <s v="Standard Class"/>
    <x v="1"/>
    <s v="United States"/>
    <s v="San Francisco"/>
    <x v="1"/>
    <n v="94110"/>
    <x v="1"/>
    <x v="2"/>
    <x v="11"/>
    <n v="199.98"/>
    <n v="2"/>
    <n v="0"/>
    <n v="69.992999999999995"/>
  </r>
  <r>
    <s v="Standard Class"/>
    <x v="0"/>
    <s v="United States"/>
    <s v="Los Angeles"/>
    <x v="1"/>
    <n v="90045"/>
    <x v="1"/>
    <x v="2"/>
    <x v="7"/>
    <n v="177.48"/>
    <n v="3"/>
    <n v="0.2"/>
    <n v="19.9665"/>
  </r>
  <r>
    <s v="First Class"/>
    <x v="0"/>
    <s v="United States"/>
    <s v="Denver"/>
    <x v="22"/>
    <n v="80219"/>
    <x v="1"/>
    <x v="1"/>
    <x v="10"/>
    <n v="88.768000000000001"/>
    <n v="2"/>
    <n v="0.2"/>
    <n v="31.0688"/>
  </r>
  <r>
    <s v="Second Class"/>
    <x v="2"/>
    <s v="United States"/>
    <s v="Seattle"/>
    <x v="4"/>
    <n v="98105"/>
    <x v="1"/>
    <x v="1"/>
    <x v="10"/>
    <n v="6.48"/>
    <n v="1"/>
    <n v="0"/>
    <n v="3.1103999999999998"/>
  </r>
  <r>
    <s v="Second Class"/>
    <x v="2"/>
    <s v="United States"/>
    <s v="Seattle"/>
    <x v="4"/>
    <n v="98105"/>
    <x v="1"/>
    <x v="1"/>
    <x v="4"/>
    <n v="46.51"/>
    <n v="1"/>
    <n v="0"/>
    <n v="1.8604000000000001"/>
  </r>
  <r>
    <s v="Second Class"/>
    <x v="2"/>
    <s v="United States"/>
    <s v="Seattle"/>
    <x v="4"/>
    <n v="98105"/>
    <x v="1"/>
    <x v="2"/>
    <x v="7"/>
    <n v="659.976"/>
    <n v="3"/>
    <n v="0.2"/>
    <n v="49.498199999999997"/>
  </r>
  <r>
    <s v="Second Class"/>
    <x v="0"/>
    <s v="United States"/>
    <s v="Scottsdale"/>
    <x v="16"/>
    <n v="85254"/>
    <x v="1"/>
    <x v="2"/>
    <x v="7"/>
    <n v="271.99200000000002"/>
    <n v="1"/>
    <n v="0.2"/>
    <n v="23.799299999999999"/>
  </r>
  <r>
    <s v="Second Class"/>
    <x v="0"/>
    <s v="United States"/>
    <s v="Lafayette"/>
    <x v="28"/>
    <n v="70506"/>
    <x v="0"/>
    <x v="0"/>
    <x v="0"/>
    <n v="145.74"/>
    <n v="3"/>
    <n v="0"/>
    <n v="23.3184"/>
  </r>
  <r>
    <s v="Second Class"/>
    <x v="0"/>
    <s v="United States"/>
    <s v="Lafayette"/>
    <x v="28"/>
    <n v="70506"/>
    <x v="0"/>
    <x v="0"/>
    <x v="5"/>
    <n v="15.4"/>
    <n v="5"/>
    <n v="0"/>
    <n v="7.3920000000000003"/>
  </r>
  <r>
    <s v="Standard Class"/>
    <x v="1"/>
    <s v="United States"/>
    <s v="San Francisco"/>
    <x v="1"/>
    <n v="94109"/>
    <x v="1"/>
    <x v="1"/>
    <x v="10"/>
    <n v="244.55"/>
    <n v="5"/>
    <n v="0"/>
    <n v="114.9385"/>
  </r>
  <r>
    <s v="Standard Class"/>
    <x v="1"/>
    <s v="United States"/>
    <s v="San Francisco"/>
    <x v="1"/>
    <n v="94109"/>
    <x v="1"/>
    <x v="2"/>
    <x v="11"/>
    <n v="166.16"/>
    <n v="8"/>
    <n v="0"/>
    <n v="59.817599999999999"/>
  </r>
  <r>
    <s v="Second Class"/>
    <x v="2"/>
    <s v="United States"/>
    <s v="San Francisco"/>
    <x v="1"/>
    <n v="94109"/>
    <x v="1"/>
    <x v="0"/>
    <x v="5"/>
    <n v="14.73"/>
    <n v="3"/>
    <n v="0"/>
    <n v="4.8609"/>
  </r>
  <r>
    <s v="Standard Class"/>
    <x v="0"/>
    <s v="United States"/>
    <s v="Broomfield"/>
    <x v="22"/>
    <n v="80020"/>
    <x v="1"/>
    <x v="1"/>
    <x v="8"/>
    <n v="19.968"/>
    <n v="2"/>
    <n v="0.7"/>
    <n v="-13.311999999999999"/>
  </r>
  <r>
    <s v="Standard Class"/>
    <x v="0"/>
    <s v="United States"/>
    <s v="Broomfield"/>
    <x v="22"/>
    <n v="80020"/>
    <x v="1"/>
    <x v="1"/>
    <x v="4"/>
    <n v="33.488"/>
    <n v="7"/>
    <n v="0.2"/>
    <n v="-1.2558"/>
  </r>
  <r>
    <s v="Standard Class"/>
    <x v="0"/>
    <s v="United States"/>
    <s v="Broomfield"/>
    <x v="22"/>
    <n v="80020"/>
    <x v="1"/>
    <x v="1"/>
    <x v="8"/>
    <n v="8.7360000000000007"/>
    <n v="4"/>
    <n v="0.7"/>
    <n v="-6.1151999999999997"/>
  </r>
  <r>
    <s v="Standard Class"/>
    <x v="0"/>
    <s v="United States"/>
    <s v="Broomfield"/>
    <x v="22"/>
    <n v="80020"/>
    <x v="1"/>
    <x v="0"/>
    <x v="1"/>
    <n v="662.88"/>
    <n v="3"/>
    <n v="0.2"/>
    <n v="74.573999999999998"/>
  </r>
  <r>
    <s v="First Class"/>
    <x v="1"/>
    <s v="United States"/>
    <s v="Quincy"/>
    <x v="10"/>
    <n v="62301"/>
    <x v="2"/>
    <x v="1"/>
    <x v="2"/>
    <n v="47.36"/>
    <n v="4"/>
    <n v="0.2"/>
    <n v="17.760000000000002"/>
  </r>
  <r>
    <s v="First Class"/>
    <x v="1"/>
    <s v="United States"/>
    <s v="Quincy"/>
    <x v="10"/>
    <n v="62301"/>
    <x v="2"/>
    <x v="1"/>
    <x v="4"/>
    <n v="27.44"/>
    <n v="2"/>
    <n v="0.2"/>
    <n v="2.4009999999999998"/>
  </r>
  <r>
    <s v="First Class"/>
    <x v="1"/>
    <s v="United States"/>
    <s v="Quincy"/>
    <x v="10"/>
    <n v="62301"/>
    <x v="2"/>
    <x v="1"/>
    <x v="8"/>
    <n v="3.24"/>
    <n v="9"/>
    <n v="0.8"/>
    <n v="-5.1840000000000002"/>
  </r>
  <r>
    <s v="Standard Class"/>
    <x v="1"/>
    <s v="United States"/>
    <s v="Carrollton"/>
    <x v="5"/>
    <n v="75007"/>
    <x v="2"/>
    <x v="2"/>
    <x v="11"/>
    <n v="95.968000000000004"/>
    <n v="4"/>
    <n v="0.2"/>
    <n v="26.391200000000001"/>
  </r>
  <r>
    <s v="Standard Class"/>
    <x v="1"/>
    <s v="United States"/>
    <s v="Carrollton"/>
    <x v="5"/>
    <n v="75007"/>
    <x v="2"/>
    <x v="1"/>
    <x v="10"/>
    <n v="10.368"/>
    <n v="2"/>
    <n v="0.2"/>
    <n v="3.6288"/>
  </r>
  <r>
    <s v="Standard Class"/>
    <x v="1"/>
    <s v="United States"/>
    <s v="New York City"/>
    <x v="15"/>
    <n v="10009"/>
    <x v="3"/>
    <x v="1"/>
    <x v="6"/>
    <n v="23.1"/>
    <n v="2"/>
    <n v="0"/>
    <n v="6.468"/>
  </r>
  <r>
    <s v="Standard Class"/>
    <x v="1"/>
    <s v="United States"/>
    <s v="New York City"/>
    <x v="15"/>
    <n v="10009"/>
    <x v="3"/>
    <x v="0"/>
    <x v="5"/>
    <n v="11.54"/>
    <n v="2"/>
    <n v="0"/>
    <n v="3.4620000000000002"/>
  </r>
  <r>
    <s v="Standard Class"/>
    <x v="1"/>
    <s v="United States"/>
    <s v="New York City"/>
    <x v="15"/>
    <n v="10009"/>
    <x v="3"/>
    <x v="0"/>
    <x v="3"/>
    <n v="254.52600000000001"/>
    <n v="1"/>
    <n v="0.4"/>
    <n v="-93.3262"/>
  </r>
  <r>
    <s v="Standard Class"/>
    <x v="1"/>
    <s v="United States"/>
    <s v="New York City"/>
    <x v="15"/>
    <n v="10009"/>
    <x v="3"/>
    <x v="1"/>
    <x v="9"/>
    <n v="12.98"/>
    <n v="1"/>
    <n v="0"/>
    <n v="3.7642000000000002"/>
  </r>
  <r>
    <s v="Standard Class"/>
    <x v="1"/>
    <s v="United States"/>
    <s v="New York City"/>
    <x v="15"/>
    <n v="10009"/>
    <x v="3"/>
    <x v="1"/>
    <x v="8"/>
    <n v="26.431999999999999"/>
    <n v="8"/>
    <n v="0.2"/>
    <n v="8.9207999999999998"/>
  </r>
  <r>
    <s v="Standard Class"/>
    <x v="1"/>
    <s v="United States"/>
    <s v="New York City"/>
    <x v="15"/>
    <n v="10009"/>
    <x v="3"/>
    <x v="2"/>
    <x v="7"/>
    <n v="197.97"/>
    <n v="3"/>
    <n v="0"/>
    <n v="57.411299999999997"/>
  </r>
  <r>
    <s v="Standard Class"/>
    <x v="1"/>
    <s v="United States"/>
    <s v="New York City"/>
    <x v="15"/>
    <n v="10009"/>
    <x v="3"/>
    <x v="1"/>
    <x v="2"/>
    <n v="18.899999999999999"/>
    <n v="6"/>
    <n v="0"/>
    <n v="9.0719999999999992"/>
  </r>
  <r>
    <s v="Standard Class"/>
    <x v="1"/>
    <s v="United States"/>
    <s v="New York City"/>
    <x v="15"/>
    <n v="10009"/>
    <x v="3"/>
    <x v="0"/>
    <x v="1"/>
    <n v="1282.4100000000001"/>
    <n v="5"/>
    <n v="0.1"/>
    <n v="213.73500000000001"/>
  </r>
  <r>
    <s v="Standard Class"/>
    <x v="1"/>
    <s v="United States"/>
    <s v="New York City"/>
    <x v="15"/>
    <n v="10009"/>
    <x v="3"/>
    <x v="1"/>
    <x v="6"/>
    <n v="4.92"/>
    <n v="3"/>
    <n v="0"/>
    <n v="2.214"/>
  </r>
  <r>
    <s v="Standard Class"/>
    <x v="1"/>
    <s v="United States"/>
    <s v="New York City"/>
    <x v="15"/>
    <n v="10009"/>
    <x v="3"/>
    <x v="2"/>
    <x v="11"/>
    <n v="238"/>
    <n v="2"/>
    <n v="0"/>
    <n v="38.08"/>
  </r>
  <r>
    <s v="Standard Class"/>
    <x v="1"/>
    <s v="United States"/>
    <s v="New York City"/>
    <x v="15"/>
    <n v="10009"/>
    <x v="3"/>
    <x v="2"/>
    <x v="11"/>
    <n v="167.97"/>
    <n v="3"/>
    <n v="0"/>
    <n v="40.312800000000003"/>
  </r>
  <r>
    <s v="Standard Class"/>
    <x v="1"/>
    <s v="United States"/>
    <s v="New York City"/>
    <x v="15"/>
    <n v="10009"/>
    <x v="3"/>
    <x v="1"/>
    <x v="10"/>
    <n v="17.12"/>
    <n v="4"/>
    <n v="0"/>
    <n v="7.7039999999999997"/>
  </r>
  <r>
    <s v="Second Class"/>
    <x v="0"/>
    <s v="United States"/>
    <s v="Springfield"/>
    <x v="25"/>
    <n v="65807"/>
    <x v="2"/>
    <x v="1"/>
    <x v="8"/>
    <n v="16.2"/>
    <n v="3"/>
    <n v="0"/>
    <n v="7.7759999999999998"/>
  </r>
  <r>
    <s v="Second Class"/>
    <x v="0"/>
    <s v="United States"/>
    <s v="Springfield"/>
    <x v="25"/>
    <n v="65807"/>
    <x v="2"/>
    <x v="1"/>
    <x v="9"/>
    <n v="33.99"/>
    <n v="3"/>
    <n v="0"/>
    <n v="14.6157"/>
  </r>
  <r>
    <s v="Second Class"/>
    <x v="0"/>
    <s v="United States"/>
    <s v="Springfield"/>
    <x v="25"/>
    <n v="65807"/>
    <x v="2"/>
    <x v="2"/>
    <x v="11"/>
    <n v="296.85000000000002"/>
    <n v="5"/>
    <n v="0"/>
    <n v="53.433"/>
  </r>
  <r>
    <s v="Second Class"/>
    <x v="0"/>
    <s v="United States"/>
    <s v="Springfield"/>
    <x v="25"/>
    <n v="65807"/>
    <x v="2"/>
    <x v="2"/>
    <x v="11"/>
    <n v="112.8"/>
    <n v="6"/>
    <n v="0"/>
    <n v="6.7679999999999998"/>
  </r>
  <r>
    <s v="Second Class"/>
    <x v="0"/>
    <s v="United States"/>
    <s v="Springfield"/>
    <x v="25"/>
    <n v="65807"/>
    <x v="2"/>
    <x v="1"/>
    <x v="8"/>
    <n v="13.71"/>
    <n v="3"/>
    <n v="0"/>
    <n v="6.5808"/>
  </r>
  <r>
    <s v="Second Class"/>
    <x v="0"/>
    <s v="United States"/>
    <s v="Springfield"/>
    <x v="25"/>
    <n v="65807"/>
    <x v="2"/>
    <x v="1"/>
    <x v="10"/>
    <n v="24.9"/>
    <n v="5"/>
    <n v="0"/>
    <n v="11.702999999999999"/>
  </r>
  <r>
    <s v="Second Class"/>
    <x v="0"/>
    <s v="United States"/>
    <s v="Springfield"/>
    <x v="25"/>
    <n v="65807"/>
    <x v="2"/>
    <x v="1"/>
    <x v="4"/>
    <n v="286.29000000000002"/>
    <n v="3"/>
    <n v="0"/>
    <n v="17.177399999999999"/>
  </r>
  <r>
    <s v="Second Class"/>
    <x v="0"/>
    <s v="United States"/>
    <s v="Springfield"/>
    <x v="25"/>
    <n v="65807"/>
    <x v="2"/>
    <x v="1"/>
    <x v="9"/>
    <n v="24.18"/>
    <n v="2"/>
    <n v="0"/>
    <n v="7.2539999999999996"/>
  </r>
  <r>
    <s v="Standard Class"/>
    <x v="0"/>
    <s v="United States"/>
    <s v="Paterson"/>
    <x v="30"/>
    <n v="7501"/>
    <x v="3"/>
    <x v="2"/>
    <x v="7"/>
    <n v="281.97000000000003"/>
    <n v="3"/>
    <n v="0"/>
    <n v="78.951599999999999"/>
  </r>
  <r>
    <s v="Standard Class"/>
    <x v="0"/>
    <s v="United States"/>
    <s v="Paterson"/>
    <x v="30"/>
    <n v="7501"/>
    <x v="3"/>
    <x v="1"/>
    <x v="14"/>
    <n v="69.5"/>
    <n v="5"/>
    <n v="0"/>
    <n v="20.155000000000001"/>
  </r>
  <r>
    <s v="Standard Class"/>
    <x v="0"/>
    <s v="United States"/>
    <s v="Paterson"/>
    <x v="30"/>
    <n v="7501"/>
    <x v="3"/>
    <x v="1"/>
    <x v="10"/>
    <n v="166.44"/>
    <n v="3"/>
    <n v="0"/>
    <n v="79.891199999999998"/>
  </r>
  <r>
    <s v="Standard Class"/>
    <x v="0"/>
    <s v="United States"/>
    <s v="Tulsa"/>
    <x v="26"/>
    <n v="74133"/>
    <x v="2"/>
    <x v="2"/>
    <x v="11"/>
    <n v="291.95999999999998"/>
    <n v="4"/>
    <n v="0"/>
    <n v="102.18600000000001"/>
  </r>
  <r>
    <s v="Standard Class"/>
    <x v="2"/>
    <s v="United States"/>
    <s v="Chicago"/>
    <x v="10"/>
    <n v="60623"/>
    <x v="2"/>
    <x v="1"/>
    <x v="6"/>
    <n v="6.4080000000000004"/>
    <n v="3"/>
    <n v="0.2"/>
    <n v="0.64080000000000004"/>
  </r>
  <r>
    <s v="Standard Class"/>
    <x v="2"/>
    <s v="United States"/>
    <s v="Chicago"/>
    <x v="10"/>
    <n v="60623"/>
    <x v="2"/>
    <x v="2"/>
    <x v="11"/>
    <n v="408.74400000000003"/>
    <n v="7"/>
    <n v="0.2"/>
    <n v="76.639499999999998"/>
  </r>
  <r>
    <s v="Standard Class"/>
    <x v="0"/>
    <s v="United States"/>
    <s v="Chicago"/>
    <x v="10"/>
    <n v="60610"/>
    <x v="2"/>
    <x v="1"/>
    <x v="8"/>
    <n v="5.1040000000000001"/>
    <n v="4"/>
    <n v="0.8"/>
    <n v="-8.6768000000000001"/>
  </r>
  <r>
    <s v="Standard Class"/>
    <x v="0"/>
    <s v="United States"/>
    <s v="Chicago"/>
    <x v="10"/>
    <n v="60610"/>
    <x v="2"/>
    <x v="1"/>
    <x v="13"/>
    <n v="2.8959999999999999"/>
    <n v="2"/>
    <n v="0.2"/>
    <n v="0.47060000000000002"/>
  </r>
  <r>
    <s v="Standard Class"/>
    <x v="0"/>
    <s v="United States"/>
    <s v="Chicago"/>
    <x v="10"/>
    <n v="60610"/>
    <x v="2"/>
    <x v="2"/>
    <x v="11"/>
    <n v="35.015999999999998"/>
    <n v="3"/>
    <n v="0.2"/>
    <n v="-2.1884999999999999"/>
  </r>
  <r>
    <s v="Second Class"/>
    <x v="1"/>
    <s v="United States"/>
    <s v="Montgomery"/>
    <x v="19"/>
    <n v="36116"/>
    <x v="0"/>
    <x v="1"/>
    <x v="4"/>
    <n v="275.97000000000003"/>
    <n v="3"/>
    <n v="0"/>
    <n v="11.0388"/>
  </r>
  <r>
    <s v="Second Class"/>
    <x v="1"/>
    <s v="United States"/>
    <s v="Montgomery"/>
    <x v="19"/>
    <n v="36116"/>
    <x v="0"/>
    <x v="2"/>
    <x v="7"/>
    <n v="1394.95"/>
    <n v="5"/>
    <n v="0"/>
    <n v="362.68700000000001"/>
  </r>
  <r>
    <s v="Second Class"/>
    <x v="1"/>
    <s v="United States"/>
    <s v="Montgomery"/>
    <x v="19"/>
    <n v="36116"/>
    <x v="0"/>
    <x v="0"/>
    <x v="1"/>
    <n v="545.88"/>
    <n v="6"/>
    <n v="0"/>
    <n v="70.964399999999998"/>
  </r>
  <r>
    <s v="Standard Class"/>
    <x v="0"/>
    <s v="United States"/>
    <s v="Salem"/>
    <x v="21"/>
    <n v="97301"/>
    <x v="1"/>
    <x v="1"/>
    <x v="6"/>
    <n v="5.2480000000000002"/>
    <n v="2"/>
    <n v="0.2"/>
    <n v="0.59040000000000004"/>
  </r>
  <r>
    <s v="Same Day"/>
    <x v="0"/>
    <s v="United States"/>
    <s v="Glendale"/>
    <x v="16"/>
    <n v="85301"/>
    <x v="1"/>
    <x v="0"/>
    <x v="1"/>
    <n v="933.53599999999994"/>
    <n v="4"/>
    <n v="0.2"/>
    <n v="105.0228"/>
  </r>
  <r>
    <s v="Same Day"/>
    <x v="0"/>
    <s v="United States"/>
    <s v="Glendale"/>
    <x v="16"/>
    <n v="85301"/>
    <x v="1"/>
    <x v="1"/>
    <x v="4"/>
    <n v="42.975999999999999"/>
    <n v="4"/>
    <n v="0.2"/>
    <n v="4.2976000000000001"/>
  </r>
  <r>
    <s v="Second Class"/>
    <x v="1"/>
    <s v="United States"/>
    <s v="Columbus"/>
    <x v="32"/>
    <n v="31907"/>
    <x v="0"/>
    <x v="1"/>
    <x v="8"/>
    <n v="3.76"/>
    <n v="2"/>
    <n v="0"/>
    <n v="1.8048"/>
  </r>
  <r>
    <s v="Standard Class"/>
    <x v="0"/>
    <s v="United States"/>
    <s v="Oklahoma City"/>
    <x v="26"/>
    <n v="73120"/>
    <x v="2"/>
    <x v="2"/>
    <x v="7"/>
    <n v="479.96"/>
    <n v="4"/>
    <n v="0"/>
    <n v="134.3888"/>
  </r>
  <r>
    <s v="Second Class"/>
    <x v="1"/>
    <s v="United States"/>
    <s v="Brentwood"/>
    <x v="1"/>
    <n v="94513"/>
    <x v="1"/>
    <x v="1"/>
    <x v="9"/>
    <n v="320.88"/>
    <n v="6"/>
    <n v="0"/>
    <n v="93.055199999999999"/>
  </r>
  <r>
    <s v="Second Class"/>
    <x v="1"/>
    <s v="United States"/>
    <s v="Brentwood"/>
    <x v="1"/>
    <n v="94513"/>
    <x v="1"/>
    <x v="0"/>
    <x v="5"/>
    <n v="23.88"/>
    <n v="3"/>
    <n v="0"/>
    <n v="10.507199999999999"/>
  </r>
  <r>
    <s v="Second Class"/>
    <x v="1"/>
    <s v="United States"/>
    <s v="Brentwood"/>
    <x v="1"/>
    <n v="94513"/>
    <x v="1"/>
    <x v="1"/>
    <x v="10"/>
    <n v="26.76"/>
    <n v="4"/>
    <n v="0"/>
    <n v="12.3096"/>
  </r>
  <r>
    <s v="First Class"/>
    <x v="0"/>
    <s v="United States"/>
    <s v="Columbus"/>
    <x v="24"/>
    <n v="43229"/>
    <x v="3"/>
    <x v="2"/>
    <x v="16"/>
    <n v="1439.9760000000001"/>
    <n v="4"/>
    <n v="0.4"/>
    <n v="191.99680000000001"/>
  </r>
  <r>
    <s v="Standard Class"/>
    <x v="0"/>
    <s v="United States"/>
    <s v="Springfield"/>
    <x v="25"/>
    <n v="65807"/>
    <x v="2"/>
    <x v="1"/>
    <x v="8"/>
    <n v="17.22"/>
    <n v="3"/>
    <n v="0"/>
    <n v="7.9211999999999998"/>
  </r>
  <r>
    <s v="Standard Class"/>
    <x v="0"/>
    <s v="United States"/>
    <s v="Springfield"/>
    <x v="25"/>
    <n v="65807"/>
    <x v="2"/>
    <x v="0"/>
    <x v="3"/>
    <n v="1024.3800000000001"/>
    <n v="7"/>
    <n v="0"/>
    <n v="215.1198"/>
  </r>
  <r>
    <s v="Standard Class"/>
    <x v="0"/>
    <s v="United States"/>
    <s v="Springfield"/>
    <x v="25"/>
    <n v="65807"/>
    <x v="2"/>
    <x v="1"/>
    <x v="12"/>
    <n v="26.22"/>
    <n v="3"/>
    <n v="0"/>
    <n v="12.323399999999999"/>
  </r>
  <r>
    <s v="Standard Class"/>
    <x v="0"/>
    <s v="United States"/>
    <s v="Springfield"/>
    <x v="25"/>
    <n v="65807"/>
    <x v="2"/>
    <x v="1"/>
    <x v="10"/>
    <n v="17.34"/>
    <n v="3"/>
    <n v="0"/>
    <n v="8.4966000000000008"/>
  </r>
  <r>
    <s v="Standard Class"/>
    <x v="0"/>
    <s v="United States"/>
    <s v="Philadelphia"/>
    <x v="9"/>
    <n v="19134"/>
    <x v="3"/>
    <x v="1"/>
    <x v="8"/>
    <n v="4.9560000000000004"/>
    <n v="4"/>
    <n v="0.7"/>
    <n v="-3.7995999999999999"/>
  </r>
  <r>
    <s v="Standard Class"/>
    <x v="2"/>
    <s v="United States"/>
    <s v="Springfield"/>
    <x v="21"/>
    <n v="97477"/>
    <x v="1"/>
    <x v="1"/>
    <x v="2"/>
    <n v="71.040000000000006"/>
    <n v="6"/>
    <n v="0.2"/>
    <n v="26.64"/>
  </r>
  <r>
    <s v="Standard Class"/>
    <x v="2"/>
    <s v="United States"/>
    <s v="Springfield"/>
    <x v="21"/>
    <n v="97477"/>
    <x v="1"/>
    <x v="1"/>
    <x v="6"/>
    <n v="5.3440000000000003"/>
    <n v="2"/>
    <n v="0.2"/>
    <n v="0.73480000000000001"/>
  </r>
  <r>
    <s v="Standard Class"/>
    <x v="2"/>
    <s v="United States"/>
    <s v="Springfield"/>
    <x v="21"/>
    <n v="97477"/>
    <x v="1"/>
    <x v="1"/>
    <x v="13"/>
    <n v="11.304"/>
    <n v="3"/>
    <n v="0.2"/>
    <n v="-2.1194999999999999"/>
  </r>
  <r>
    <s v="Second Class"/>
    <x v="0"/>
    <s v="United States"/>
    <s v="Houston"/>
    <x v="5"/>
    <n v="77036"/>
    <x v="2"/>
    <x v="1"/>
    <x v="9"/>
    <n v="294.62"/>
    <n v="5"/>
    <n v="0.8"/>
    <n v="-766.01199999999994"/>
  </r>
  <r>
    <s v="Second Class"/>
    <x v="0"/>
    <s v="United States"/>
    <s v="Houston"/>
    <x v="5"/>
    <n v="77036"/>
    <x v="2"/>
    <x v="0"/>
    <x v="5"/>
    <n v="8.7520000000000007"/>
    <n v="4"/>
    <n v="0.6"/>
    <n v="-3.7195999999999998"/>
  </r>
  <r>
    <s v="First Class"/>
    <x v="1"/>
    <s v="United States"/>
    <s v="Chesapeake"/>
    <x v="17"/>
    <n v="23320"/>
    <x v="0"/>
    <x v="1"/>
    <x v="2"/>
    <n v="15"/>
    <n v="4"/>
    <n v="0"/>
    <n v="7.2"/>
  </r>
  <r>
    <s v="First Class"/>
    <x v="1"/>
    <s v="United States"/>
    <s v="Chesapeake"/>
    <x v="17"/>
    <n v="23320"/>
    <x v="0"/>
    <x v="2"/>
    <x v="7"/>
    <n v="161.61000000000001"/>
    <n v="1"/>
    <n v="0"/>
    <n v="42.018599999999999"/>
  </r>
  <r>
    <s v="First Class"/>
    <x v="1"/>
    <s v="United States"/>
    <s v="Chesapeake"/>
    <x v="17"/>
    <n v="23320"/>
    <x v="0"/>
    <x v="2"/>
    <x v="7"/>
    <n v="144.94999999999999"/>
    <n v="5"/>
    <n v="0"/>
    <n v="42.035499999999999"/>
  </r>
  <r>
    <s v="Standard Class"/>
    <x v="0"/>
    <s v="United States"/>
    <s v="Pasadena"/>
    <x v="1"/>
    <n v="91104"/>
    <x v="1"/>
    <x v="2"/>
    <x v="11"/>
    <n v="199.95"/>
    <n v="5"/>
    <n v="0"/>
    <n v="21.994499999999999"/>
  </r>
  <r>
    <s v="Standard Class"/>
    <x v="0"/>
    <s v="United States"/>
    <s v="Pasadena"/>
    <x v="1"/>
    <n v="91104"/>
    <x v="1"/>
    <x v="1"/>
    <x v="6"/>
    <n v="41.86"/>
    <n v="7"/>
    <n v="0"/>
    <n v="14.2324"/>
  </r>
  <r>
    <s v="Second Class"/>
    <x v="0"/>
    <s v="United States"/>
    <s v="Louisville"/>
    <x v="0"/>
    <n v="40214"/>
    <x v="0"/>
    <x v="1"/>
    <x v="4"/>
    <n v="95.94"/>
    <n v="3"/>
    <n v="0"/>
    <n v="9.5939999999999994"/>
  </r>
  <r>
    <s v="Second Class"/>
    <x v="0"/>
    <s v="United States"/>
    <s v="Louisville"/>
    <x v="0"/>
    <n v="40214"/>
    <x v="0"/>
    <x v="0"/>
    <x v="1"/>
    <n v="304.45"/>
    <n v="5"/>
    <n v="0"/>
    <n v="76.112499999999997"/>
  </r>
  <r>
    <s v="Standard Class"/>
    <x v="2"/>
    <s v="United States"/>
    <s v="Lubbock"/>
    <x v="5"/>
    <n v="79424"/>
    <x v="2"/>
    <x v="1"/>
    <x v="8"/>
    <n v="11.364000000000001"/>
    <n v="3"/>
    <n v="0.8"/>
    <n v="-17.045999999999999"/>
  </r>
  <r>
    <s v="Standard Class"/>
    <x v="1"/>
    <s v="United States"/>
    <s v="Columbia"/>
    <x v="25"/>
    <n v="65203"/>
    <x v="2"/>
    <x v="1"/>
    <x v="6"/>
    <n v="29.68"/>
    <n v="7"/>
    <n v="0"/>
    <n v="11.575200000000001"/>
  </r>
  <r>
    <s v="Standard Class"/>
    <x v="1"/>
    <s v="United States"/>
    <s v="Columbia"/>
    <x v="25"/>
    <n v="65203"/>
    <x v="2"/>
    <x v="2"/>
    <x v="11"/>
    <n v="47.53"/>
    <n v="7"/>
    <n v="0"/>
    <n v="16.1602"/>
  </r>
  <r>
    <s v="First Class"/>
    <x v="0"/>
    <s v="United States"/>
    <s v="Chicago"/>
    <x v="10"/>
    <n v="60623"/>
    <x v="2"/>
    <x v="0"/>
    <x v="0"/>
    <n v="183.37200000000001"/>
    <n v="2"/>
    <n v="0.3"/>
    <n v="-36.674399999999999"/>
  </r>
  <r>
    <s v="Standard Class"/>
    <x v="0"/>
    <s v="United States"/>
    <s v="Johnson City"/>
    <x v="18"/>
    <n v="37604"/>
    <x v="0"/>
    <x v="1"/>
    <x v="6"/>
    <n v="4.2240000000000002"/>
    <n v="3"/>
    <n v="0.2"/>
    <n v="0.47520000000000001"/>
  </r>
  <r>
    <s v="Standard Class"/>
    <x v="0"/>
    <s v="United States"/>
    <s v="Johnson City"/>
    <x v="18"/>
    <n v="37604"/>
    <x v="0"/>
    <x v="1"/>
    <x v="9"/>
    <n v="333.05599999999998"/>
    <n v="2"/>
    <n v="0.2"/>
    <n v="29.142399999999999"/>
  </r>
  <r>
    <s v="Standard Class"/>
    <x v="0"/>
    <s v="United States"/>
    <s v="Johnson City"/>
    <x v="18"/>
    <n v="37604"/>
    <x v="0"/>
    <x v="1"/>
    <x v="10"/>
    <n v="24.896000000000001"/>
    <n v="4"/>
    <n v="0.2"/>
    <n v="7.78"/>
  </r>
  <r>
    <s v="Same Day"/>
    <x v="0"/>
    <s v="United States"/>
    <s v="Houston"/>
    <x v="5"/>
    <n v="77041"/>
    <x v="2"/>
    <x v="2"/>
    <x v="11"/>
    <n v="159.98400000000001"/>
    <n v="2"/>
    <n v="0.2"/>
    <n v="35.996400000000001"/>
  </r>
  <r>
    <s v="Same Day"/>
    <x v="0"/>
    <s v="United States"/>
    <s v="Houston"/>
    <x v="5"/>
    <n v="77041"/>
    <x v="2"/>
    <x v="1"/>
    <x v="4"/>
    <n v="46.344000000000001"/>
    <n v="3"/>
    <n v="0.2"/>
    <n v="4.6344000000000003"/>
  </r>
  <r>
    <s v="Standard Class"/>
    <x v="0"/>
    <s v="United States"/>
    <s v="Auburn"/>
    <x v="19"/>
    <n v="36830"/>
    <x v="0"/>
    <x v="0"/>
    <x v="1"/>
    <n v="350.98"/>
    <n v="1"/>
    <n v="0"/>
    <n v="84.235200000000006"/>
  </r>
  <r>
    <s v="Standard Class"/>
    <x v="0"/>
    <s v="United States"/>
    <s v="Auburn"/>
    <x v="19"/>
    <n v="36830"/>
    <x v="0"/>
    <x v="1"/>
    <x v="10"/>
    <n v="13.08"/>
    <n v="2"/>
    <n v="0"/>
    <n v="6.0167999999999999"/>
  </r>
  <r>
    <s v="Standard Class"/>
    <x v="0"/>
    <s v="United States"/>
    <s v="Auburn"/>
    <x v="19"/>
    <n v="36830"/>
    <x v="0"/>
    <x v="1"/>
    <x v="4"/>
    <n v="900.08"/>
    <n v="4"/>
    <n v="0"/>
    <n v="117.0104"/>
  </r>
  <r>
    <s v="Standard Class"/>
    <x v="0"/>
    <s v="United States"/>
    <s v="San Bernardino"/>
    <x v="1"/>
    <n v="92404"/>
    <x v="1"/>
    <x v="1"/>
    <x v="8"/>
    <n v="17.568000000000001"/>
    <n v="2"/>
    <n v="0.2"/>
    <n v="6.3684000000000003"/>
  </r>
  <r>
    <s v="Standard Class"/>
    <x v="0"/>
    <s v="United States"/>
    <s v="San Bernardino"/>
    <x v="1"/>
    <n v="92404"/>
    <x v="1"/>
    <x v="1"/>
    <x v="2"/>
    <n v="14.62"/>
    <n v="2"/>
    <n v="0"/>
    <n v="6.8714000000000004"/>
  </r>
  <r>
    <s v="Standard Class"/>
    <x v="0"/>
    <s v="United States"/>
    <s v="San Bernardino"/>
    <x v="1"/>
    <n v="92404"/>
    <x v="1"/>
    <x v="1"/>
    <x v="14"/>
    <n v="33.36"/>
    <n v="4"/>
    <n v="0"/>
    <n v="8.6736000000000004"/>
  </r>
  <r>
    <s v="Standard Class"/>
    <x v="0"/>
    <s v="United States"/>
    <s v="San Bernardino"/>
    <x v="1"/>
    <n v="92404"/>
    <x v="1"/>
    <x v="1"/>
    <x v="10"/>
    <n v="40.14"/>
    <n v="6"/>
    <n v="0"/>
    <n v="19.668600000000001"/>
  </r>
  <r>
    <s v="First Class"/>
    <x v="2"/>
    <s v="United States"/>
    <s v="Providence"/>
    <x v="34"/>
    <n v="2908"/>
    <x v="3"/>
    <x v="1"/>
    <x v="4"/>
    <n v="1606.23"/>
    <n v="9"/>
    <n v="0"/>
    <n v="481.86900000000003"/>
  </r>
  <r>
    <s v="First Class"/>
    <x v="2"/>
    <s v="United States"/>
    <s v="Providence"/>
    <x v="34"/>
    <n v="2908"/>
    <x v="3"/>
    <x v="1"/>
    <x v="10"/>
    <n v="17.04"/>
    <n v="3"/>
    <n v="0"/>
    <n v="7.6680000000000001"/>
  </r>
  <r>
    <s v="First Class"/>
    <x v="2"/>
    <s v="United States"/>
    <s v="Providence"/>
    <x v="34"/>
    <n v="2908"/>
    <x v="3"/>
    <x v="1"/>
    <x v="8"/>
    <n v="49.53"/>
    <n v="3"/>
    <n v="0"/>
    <n v="23.7744"/>
  </r>
  <r>
    <s v="First Class"/>
    <x v="2"/>
    <s v="United States"/>
    <s v="Providence"/>
    <x v="34"/>
    <n v="2908"/>
    <x v="3"/>
    <x v="0"/>
    <x v="1"/>
    <n v="872.32"/>
    <n v="4"/>
    <n v="0"/>
    <n v="244.24959999999999"/>
  </r>
  <r>
    <s v="Second Class"/>
    <x v="0"/>
    <s v="United States"/>
    <s v="Fresno"/>
    <x v="1"/>
    <n v="93727"/>
    <x v="1"/>
    <x v="1"/>
    <x v="8"/>
    <n v="239.12"/>
    <n v="5"/>
    <n v="0.2"/>
    <n v="77.713999999999999"/>
  </r>
  <r>
    <s v="First Class"/>
    <x v="0"/>
    <s v="United States"/>
    <s v="Seattle"/>
    <x v="4"/>
    <n v="98103"/>
    <x v="1"/>
    <x v="0"/>
    <x v="0"/>
    <n v="141.96"/>
    <n v="2"/>
    <n v="0"/>
    <n v="39.748800000000003"/>
  </r>
  <r>
    <s v="Second Class"/>
    <x v="2"/>
    <s v="United States"/>
    <s v="Lancaster"/>
    <x v="1"/>
    <n v="93534"/>
    <x v="1"/>
    <x v="1"/>
    <x v="8"/>
    <n v="33.024000000000001"/>
    <n v="2"/>
    <n v="0.2"/>
    <n v="11.558400000000001"/>
  </r>
  <r>
    <s v="Second Class"/>
    <x v="2"/>
    <s v="United States"/>
    <s v="Lancaster"/>
    <x v="1"/>
    <n v="93534"/>
    <x v="1"/>
    <x v="1"/>
    <x v="8"/>
    <n v="67.135999999999996"/>
    <n v="4"/>
    <n v="0.2"/>
    <n v="23.497599999999998"/>
  </r>
  <r>
    <s v="Standard Class"/>
    <x v="1"/>
    <s v="United States"/>
    <s v="Leominster"/>
    <x v="31"/>
    <n v="1453"/>
    <x v="3"/>
    <x v="1"/>
    <x v="8"/>
    <n v="14.73"/>
    <n v="3"/>
    <n v="0"/>
    <n v="6.9230999999999998"/>
  </r>
  <r>
    <s v="Standard Class"/>
    <x v="1"/>
    <s v="United States"/>
    <s v="Leominster"/>
    <x v="31"/>
    <n v="1453"/>
    <x v="3"/>
    <x v="1"/>
    <x v="4"/>
    <n v="104.9"/>
    <n v="5"/>
    <n v="0"/>
    <n v="25.175999999999998"/>
  </r>
  <r>
    <s v="Standard Class"/>
    <x v="1"/>
    <s v="United States"/>
    <s v="Leominster"/>
    <x v="31"/>
    <n v="1453"/>
    <x v="3"/>
    <x v="1"/>
    <x v="8"/>
    <n v="61.04"/>
    <n v="4"/>
    <n v="0"/>
    <n v="30.52"/>
  </r>
  <r>
    <s v="Standard Class"/>
    <x v="1"/>
    <s v="United States"/>
    <s v="Leominster"/>
    <x v="31"/>
    <n v="1453"/>
    <x v="3"/>
    <x v="1"/>
    <x v="10"/>
    <n v="10.95"/>
    <n v="3"/>
    <n v="0"/>
    <n v="5.1464999999999996"/>
  </r>
  <r>
    <s v="Standard Class"/>
    <x v="1"/>
    <s v="United States"/>
    <s v="Fort Worth"/>
    <x v="5"/>
    <n v="76106"/>
    <x v="2"/>
    <x v="1"/>
    <x v="10"/>
    <n v="9.3919999999999995"/>
    <n v="2"/>
    <n v="0.2"/>
    <n v="3.2871999999999999"/>
  </r>
  <r>
    <s v="Standard Class"/>
    <x v="1"/>
    <s v="United States"/>
    <s v="Fort Worth"/>
    <x v="5"/>
    <n v="76106"/>
    <x v="2"/>
    <x v="1"/>
    <x v="6"/>
    <n v="9.3279999999999994"/>
    <n v="1"/>
    <n v="0.2"/>
    <n v="0.81620000000000004"/>
  </r>
  <r>
    <s v="Standard Class"/>
    <x v="0"/>
    <s v="United States"/>
    <s v="Rochester"/>
    <x v="11"/>
    <n v="55901"/>
    <x v="2"/>
    <x v="1"/>
    <x v="8"/>
    <n v="8.26"/>
    <n v="2"/>
    <n v="0"/>
    <n v="3.8822000000000001"/>
  </r>
  <r>
    <s v="Standard Class"/>
    <x v="0"/>
    <s v="United States"/>
    <s v="Rochester"/>
    <x v="11"/>
    <n v="55901"/>
    <x v="2"/>
    <x v="0"/>
    <x v="1"/>
    <n v="269.97000000000003"/>
    <n v="3"/>
    <n v="0"/>
    <n v="51.2943"/>
  </r>
  <r>
    <s v="Standard Class"/>
    <x v="2"/>
    <s v="United States"/>
    <s v="Bozeman"/>
    <x v="37"/>
    <n v="59715"/>
    <x v="1"/>
    <x v="1"/>
    <x v="10"/>
    <n v="29.04"/>
    <n v="3"/>
    <n v="0"/>
    <n v="13.9392"/>
  </r>
  <r>
    <s v="Standard Class"/>
    <x v="2"/>
    <s v="United States"/>
    <s v="Bozeman"/>
    <x v="37"/>
    <n v="59715"/>
    <x v="1"/>
    <x v="1"/>
    <x v="2"/>
    <n v="14.62"/>
    <n v="2"/>
    <n v="0"/>
    <n v="6.8714000000000004"/>
  </r>
  <r>
    <s v="Standard Class"/>
    <x v="2"/>
    <s v="United States"/>
    <s v="Peoria"/>
    <x v="16"/>
    <n v="85345"/>
    <x v="1"/>
    <x v="1"/>
    <x v="10"/>
    <n v="11.952"/>
    <n v="3"/>
    <n v="0.2"/>
    <n v="4.3326000000000002"/>
  </r>
  <r>
    <s v="Standard Class"/>
    <x v="2"/>
    <s v="United States"/>
    <s v="Peoria"/>
    <x v="16"/>
    <n v="85345"/>
    <x v="1"/>
    <x v="1"/>
    <x v="8"/>
    <n v="4.5359999999999996"/>
    <n v="7"/>
    <n v="0.7"/>
    <n v="-3.3264"/>
  </r>
  <r>
    <s v="Standard Class"/>
    <x v="2"/>
    <s v="United States"/>
    <s v="Peoria"/>
    <x v="16"/>
    <n v="85345"/>
    <x v="1"/>
    <x v="1"/>
    <x v="8"/>
    <n v="9.1560000000000006"/>
    <n v="2"/>
    <n v="0.7"/>
    <n v="-6.1040000000000001"/>
  </r>
  <r>
    <s v="Standard Class"/>
    <x v="2"/>
    <s v="United States"/>
    <s v="Peoria"/>
    <x v="16"/>
    <n v="85345"/>
    <x v="1"/>
    <x v="0"/>
    <x v="5"/>
    <n v="75.36"/>
    <n v="5"/>
    <n v="0.2"/>
    <n v="20.724"/>
  </r>
  <r>
    <s v="Standard Class"/>
    <x v="1"/>
    <s v="United States"/>
    <s v="San Diego"/>
    <x v="1"/>
    <n v="92105"/>
    <x v="1"/>
    <x v="1"/>
    <x v="8"/>
    <n v="57.503999999999998"/>
    <n v="6"/>
    <n v="0.2"/>
    <n v="20.1264"/>
  </r>
  <r>
    <s v="Standard Class"/>
    <x v="1"/>
    <s v="United States"/>
    <s v="Lakewood"/>
    <x v="24"/>
    <n v="44107"/>
    <x v="3"/>
    <x v="1"/>
    <x v="6"/>
    <n v="38.863999999999997"/>
    <n v="7"/>
    <n v="0.2"/>
    <n v="7.7728000000000002"/>
  </r>
  <r>
    <s v="Standard Class"/>
    <x v="1"/>
    <s v="United States"/>
    <s v="Houston"/>
    <x v="5"/>
    <n v="77095"/>
    <x v="2"/>
    <x v="1"/>
    <x v="10"/>
    <n v="15.552"/>
    <n v="3"/>
    <n v="0.2"/>
    <n v="5.4432"/>
  </r>
  <r>
    <s v="Standard Class"/>
    <x v="1"/>
    <s v="United States"/>
    <s v="Perth Amboy"/>
    <x v="30"/>
    <n v="8861"/>
    <x v="3"/>
    <x v="1"/>
    <x v="9"/>
    <n v="162.63999999999999"/>
    <n v="2"/>
    <n v="0"/>
    <n v="45.539200000000001"/>
  </r>
  <r>
    <s v="Standard Class"/>
    <x v="1"/>
    <s v="United States"/>
    <s v="Perth Amboy"/>
    <x v="30"/>
    <n v="8861"/>
    <x v="3"/>
    <x v="2"/>
    <x v="7"/>
    <n v="597"/>
    <n v="3"/>
    <n v="0"/>
    <n v="280.58999999999997"/>
  </r>
  <r>
    <s v="Standard Class"/>
    <x v="1"/>
    <s v="United States"/>
    <s v="Perth Amboy"/>
    <x v="30"/>
    <n v="8861"/>
    <x v="3"/>
    <x v="1"/>
    <x v="10"/>
    <n v="55.48"/>
    <n v="1"/>
    <n v="0"/>
    <n v="26.630400000000002"/>
  </r>
  <r>
    <s v="First Class"/>
    <x v="0"/>
    <s v="United States"/>
    <s v="Philadelphia"/>
    <x v="9"/>
    <n v="19134"/>
    <x v="3"/>
    <x v="0"/>
    <x v="5"/>
    <n v="289.8"/>
    <n v="7"/>
    <n v="0.2"/>
    <n v="36.225000000000001"/>
  </r>
  <r>
    <s v="First Class"/>
    <x v="0"/>
    <s v="United States"/>
    <s v="Philadelphia"/>
    <x v="9"/>
    <n v="19134"/>
    <x v="3"/>
    <x v="1"/>
    <x v="8"/>
    <n v="2.5019999999999998"/>
    <n v="3"/>
    <n v="0.7"/>
    <n v="-2.0015999999999998"/>
  </r>
  <r>
    <s v="First Class"/>
    <x v="0"/>
    <s v="United States"/>
    <s v="Philadelphia"/>
    <x v="9"/>
    <n v="19134"/>
    <x v="3"/>
    <x v="1"/>
    <x v="8"/>
    <n v="6.48"/>
    <n v="4"/>
    <n v="0.7"/>
    <n v="-4.7519999999999998"/>
  </r>
  <r>
    <s v="First Class"/>
    <x v="0"/>
    <s v="United States"/>
    <s v="Philadelphia"/>
    <x v="9"/>
    <n v="19134"/>
    <x v="3"/>
    <x v="0"/>
    <x v="1"/>
    <n v="341.488"/>
    <n v="8"/>
    <n v="0.3"/>
    <n v="-73.176000000000002"/>
  </r>
  <r>
    <s v="First Class"/>
    <x v="0"/>
    <s v="United States"/>
    <s v="Philadelphia"/>
    <x v="9"/>
    <n v="19134"/>
    <x v="3"/>
    <x v="1"/>
    <x v="6"/>
    <n v="11.12"/>
    <n v="5"/>
    <n v="0.2"/>
    <n v="0.83399999999999996"/>
  </r>
  <r>
    <s v="First Class"/>
    <x v="0"/>
    <s v="United States"/>
    <s v="Philadelphia"/>
    <x v="9"/>
    <n v="19134"/>
    <x v="3"/>
    <x v="0"/>
    <x v="5"/>
    <n v="25.344000000000001"/>
    <n v="6"/>
    <n v="0.2"/>
    <n v="3.4847999999999999"/>
  </r>
  <r>
    <s v="Standard Class"/>
    <x v="0"/>
    <s v="United States"/>
    <s v="Richmond"/>
    <x v="14"/>
    <n v="47374"/>
    <x v="2"/>
    <x v="0"/>
    <x v="5"/>
    <n v="17.309999999999999"/>
    <n v="3"/>
    <n v="0"/>
    <n v="5.1929999999999996"/>
  </r>
  <r>
    <s v="First Class"/>
    <x v="0"/>
    <s v="United States"/>
    <s v="Detroit"/>
    <x v="12"/>
    <n v="48227"/>
    <x v="2"/>
    <x v="2"/>
    <x v="11"/>
    <n v="199.95"/>
    <n v="5"/>
    <n v="0"/>
    <n v="63.984000000000002"/>
  </r>
  <r>
    <s v="First Class"/>
    <x v="0"/>
    <s v="United States"/>
    <s v="Detroit"/>
    <x v="12"/>
    <n v="48227"/>
    <x v="2"/>
    <x v="0"/>
    <x v="1"/>
    <n v="1586.69"/>
    <n v="7"/>
    <n v="0"/>
    <n v="412.5394"/>
  </r>
  <r>
    <s v="First Class"/>
    <x v="0"/>
    <s v="United States"/>
    <s v="Detroit"/>
    <x v="12"/>
    <n v="48227"/>
    <x v="2"/>
    <x v="2"/>
    <x v="11"/>
    <n v="84.99"/>
    <n v="1"/>
    <n v="0"/>
    <n v="30.596399999999999"/>
  </r>
  <r>
    <s v="First Class"/>
    <x v="0"/>
    <s v="United States"/>
    <s v="Detroit"/>
    <x v="12"/>
    <n v="48227"/>
    <x v="2"/>
    <x v="0"/>
    <x v="3"/>
    <n v="411.8"/>
    <n v="2"/>
    <n v="0"/>
    <n v="70.006"/>
  </r>
  <r>
    <s v="Standard Class"/>
    <x v="1"/>
    <s v="United States"/>
    <s v="Los Angeles"/>
    <x v="1"/>
    <n v="90049"/>
    <x v="1"/>
    <x v="1"/>
    <x v="13"/>
    <n v="11.34"/>
    <n v="3"/>
    <n v="0"/>
    <n v="5.2164000000000001"/>
  </r>
  <r>
    <s v="Standard Class"/>
    <x v="1"/>
    <s v="United States"/>
    <s v="Los Angeles"/>
    <x v="1"/>
    <n v="90049"/>
    <x v="1"/>
    <x v="1"/>
    <x v="4"/>
    <n v="80.3"/>
    <n v="5"/>
    <n v="0"/>
    <n v="20.878"/>
  </r>
  <r>
    <s v="Standard Class"/>
    <x v="1"/>
    <s v="United States"/>
    <s v="Los Angeles"/>
    <x v="1"/>
    <n v="90049"/>
    <x v="1"/>
    <x v="1"/>
    <x v="8"/>
    <n v="15.968"/>
    <n v="2"/>
    <n v="0.2"/>
    <n v="5.3891999999999998"/>
  </r>
  <r>
    <s v="Standard Class"/>
    <x v="1"/>
    <s v="United States"/>
    <s v="Los Angeles"/>
    <x v="1"/>
    <n v="90049"/>
    <x v="1"/>
    <x v="1"/>
    <x v="10"/>
    <n v="64.739999999999995"/>
    <n v="13"/>
    <n v="0"/>
    <n v="30.427800000000001"/>
  </r>
  <r>
    <s v="Standard Class"/>
    <x v="1"/>
    <s v="United States"/>
    <s v="Los Angeles"/>
    <x v="1"/>
    <n v="90049"/>
    <x v="1"/>
    <x v="1"/>
    <x v="8"/>
    <n v="19.295999999999999"/>
    <n v="3"/>
    <n v="0.2"/>
    <n v="6.03"/>
  </r>
  <r>
    <s v="Standard Class"/>
    <x v="1"/>
    <s v="United States"/>
    <s v="Los Angeles"/>
    <x v="1"/>
    <n v="90049"/>
    <x v="1"/>
    <x v="1"/>
    <x v="4"/>
    <n v="405.64"/>
    <n v="4"/>
    <n v="0"/>
    <n v="12.1692"/>
  </r>
  <r>
    <s v="Standard Class"/>
    <x v="1"/>
    <s v="United States"/>
    <s v="Los Angeles"/>
    <x v="1"/>
    <n v="90049"/>
    <x v="1"/>
    <x v="0"/>
    <x v="1"/>
    <n v="146.352"/>
    <n v="3"/>
    <n v="0.2"/>
    <n v="-9.1470000000000002"/>
  </r>
  <r>
    <s v="Standard Class"/>
    <x v="1"/>
    <s v="United States"/>
    <s v="Los Angeles"/>
    <x v="1"/>
    <n v="90049"/>
    <x v="1"/>
    <x v="2"/>
    <x v="11"/>
    <n v="251.91"/>
    <n v="9"/>
    <n v="0"/>
    <n v="47.862900000000003"/>
  </r>
  <r>
    <s v="Standard Class"/>
    <x v="1"/>
    <s v="United States"/>
    <s v="Los Angeles"/>
    <x v="1"/>
    <n v="90049"/>
    <x v="1"/>
    <x v="1"/>
    <x v="6"/>
    <n v="12.39"/>
    <n v="3"/>
    <n v="0"/>
    <n v="3.7170000000000001"/>
  </r>
  <r>
    <s v="Standard Class"/>
    <x v="0"/>
    <s v="United States"/>
    <s v="Pomona"/>
    <x v="1"/>
    <n v="91767"/>
    <x v="1"/>
    <x v="2"/>
    <x v="11"/>
    <n v="199.96"/>
    <n v="4"/>
    <n v="0"/>
    <n v="69.986000000000004"/>
  </r>
  <r>
    <s v="Standard Class"/>
    <x v="0"/>
    <s v="United States"/>
    <s v="Pomona"/>
    <x v="1"/>
    <n v="91767"/>
    <x v="1"/>
    <x v="0"/>
    <x v="3"/>
    <n v="710.83199999999999"/>
    <n v="3"/>
    <n v="0.2"/>
    <n v="-97.739400000000003"/>
  </r>
  <r>
    <s v="Second Class"/>
    <x v="1"/>
    <s v="United States"/>
    <s v="Philadelphia"/>
    <x v="9"/>
    <n v="19134"/>
    <x v="3"/>
    <x v="1"/>
    <x v="8"/>
    <n v="1.9410000000000001"/>
    <n v="1"/>
    <n v="0.7"/>
    <n v="-1.294"/>
  </r>
  <r>
    <s v="Standard Class"/>
    <x v="0"/>
    <s v="United States"/>
    <s v="Ontario"/>
    <x v="1"/>
    <n v="91761"/>
    <x v="1"/>
    <x v="0"/>
    <x v="1"/>
    <n v="283.92"/>
    <n v="5"/>
    <n v="0.2"/>
    <n v="-46.137"/>
  </r>
  <r>
    <s v="Standard Class"/>
    <x v="1"/>
    <s v="United States"/>
    <s v="Seattle"/>
    <x v="4"/>
    <n v="98105"/>
    <x v="1"/>
    <x v="1"/>
    <x v="8"/>
    <n v="7.3120000000000003"/>
    <n v="2"/>
    <n v="0.2"/>
    <n v="2.5592000000000001"/>
  </r>
  <r>
    <s v="Second Class"/>
    <x v="2"/>
    <s v="United States"/>
    <s v="Brentwood"/>
    <x v="1"/>
    <n v="94513"/>
    <x v="1"/>
    <x v="2"/>
    <x v="11"/>
    <n v="59.97"/>
    <n v="3"/>
    <n v="0"/>
    <n v="13.793100000000001"/>
  </r>
  <r>
    <s v="Second Class"/>
    <x v="2"/>
    <s v="United States"/>
    <s v="Brentwood"/>
    <x v="1"/>
    <n v="94513"/>
    <x v="1"/>
    <x v="2"/>
    <x v="7"/>
    <n v="761.54399999999998"/>
    <n v="7"/>
    <n v="0.2"/>
    <n v="66.635099999999994"/>
  </r>
  <r>
    <s v="Standard Class"/>
    <x v="0"/>
    <s v="United States"/>
    <s v="San Francisco"/>
    <x v="1"/>
    <n v="94122"/>
    <x v="1"/>
    <x v="0"/>
    <x v="5"/>
    <n v="58.2"/>
    <n v="3"/>
    <n v="0"/>
    <n v="28.518000000000001"/>
  </r>
  <r>
    <s v="First Class"/>
    <x v="0"/>
    <s v="United States"/>
    <s v="Baltimore"/>
    <x v="39"/>
    <n v="21215"/>
    <x v="3"/>
    <x v="1"/>
    <x v="10"/>
    <n v="39.9"/>
    <n v="5"/>
    <n v="0"/>
    <n v="19.95"/>
  </r>
  <r>
    <s v="First Class"/>
    <x v="0"/>
    <s v="United States"/>
    <s v="Baltimore"/>
    <x v="39"/>
    <n v="21215"/>
    <x v="3"/>
    <x v="1"/>
    <x v="9"/>
    <n v="90.86"/>
    <n v="7"/>
    <n v="0"/>
    <n v="26.349399999999999"/>
  </r>
  <r>
    <s v="First Class"/>
    <x v="0"/>
    <s v="United States"/>
    <s v="Baltimore"/>
    <x v="39"/>
    <n v="21215"/>
    <x v="3"/>
    <x v="1"/>
    <x v="10"/>
    <n v="94.85"/>
    <n v="5"/>
    <n v="0"/>
    <n v="45.527999999999999"/>
  </r>
  <r>
    <s v="Standard Class"/>
    <x v="0"/>
    <s v="United States"/>
    <s v="Phoenix"/>
    <x v="16"/>
    <n v="85023"/>
    <x v="1"/>
    <x v="1"/>
    <x v="10"/>
    <n v="106.232"/>
    <n v="7"/>
    <n v="0.2"/>
    <n v="37.181199999999997"/>
  </r>
  <r>
    <s v="Standard Class"/>
    <x v="0"/>
    <s v="United States"/>
    <s v="Phoenix"/>
    <x v="16"/>
    <n v="85023"/>
    <x v="1"/>
    <x v="2"/>
    <x v="7"/>
    <n v="111.98399999999999"/>
    <n v="2"/>
    <n v="0.2"/>
    <n v="11.198399999999999"/>
  </r>
  <r>
    <s v="Standard Class"/>
    <x v="0"/>
    <s v="United States"/>
    <s v="Phoenix"/>
    <x v="16"/>
    <n v="85023"/>
    <x v="1"/>
    <x v="0"/>
    <x v="5"/>
    <n v="7.7119999999999997"/>
    <n v="2"/>
    <n v="0.2"/>
    <n v="1.7352000000000001"/>
  </r>
  <r>
    <s v="Standard Class"/>
    <x v="0"/>
    <s v="United States"/>
    <s v="Los Angeles"/>
    <x v="1"/>
    <n v="90008"/>
    <x v="1"/>
    <x v="1"/>
    <x v="10"/>
    <n v="37.44"/>
    <n v="6"/>
    <n v="0"/>
    <n v="16.847999999999999"/>
  </r>
  <r>
    <s v="Standard Class"/>
    <x v="2"/>
    <s v="United States"/>
    <s v="Houston"/>
    <x v="5"/>
    <n v="77036"/>
    <x v="2"/>
    <x v="1"/>
    <x v="2"/>
    <n v="23.68"/>
    <n v="2"/>
    <n v="0.2"/>
    <n v="8.8800000000000008"/>
  </r>
  <r>
    <s v="Standard Class"/>
    <x v="0"/>
    <s v="United States"/>
    <s v="New York City"/>
    <x v="15"/>
    <n v="10009"/>
    <x v="3"/>
    <x v="1"/>
    <x v="2"/>
    <n v="122.12"/>
    <n v="4"/>
    <n v="0"/>
    <n v="56.175199999999997"/>
  </r>
  <r>
    <s v="Standard Class"/>
    <x v="0"/>
    <s v="United States"/>
    <s v="New York City"/>
    <x v="15"/>
    <n v="10009"/>
    <x v="3"/>
    <x v="1"/>
    <x v="2"/>
    <n v="18.45"/>
    <n v="5"/>
    <n v="0"/>
    <n v="8.6715"/>
  </r>
  <r>
    <s v="Standard Class"/>
    <x v="0"/>
    <s v="United States"/>
    <s v="New York City"/>
    <x v="15"/>
    <n v="10009"/>
    <x v="3"/>
    <x v="1"/>
    <x v="4"/>
    <n v="324.89999999999998"/>
    <n v="5"/>
    <n v="0"/>
    <n v="38.988"/>
  </r>
  <r>
    <s v="Standard Class"/>
    <x v="0"/>
    <s v="United States"/>
    <s v="New York City"/>
    <x v="15"/>
    <n v="10009"/>
    <x v="3"/>
    <x v="1"/>
    <x v="10"/>
    <n v="146.72999999999999"/>
    <n v="3"/>
    <n v="0"/>
    <n v="68.963099999999997"/>
  </r>
  <r>
    <s v="Standard Class"/>
    <x v="0"/>
    <s v="United States"/>
    <s v="New York City"/>
    <x v="15"/>
    <n v="10009"/>
    <x v="3"/>
    <x v="1"/>
    <x v="13"/>
    <n v="3.96"/>
    <n v="2"/>
    <n v="0"/>
    <n v="1.4652000000000001"/>
  </r>
  <r>
    <s v="Standard Class"/>
    <x v="1"/>
    <s v="United States"/>
    <s v="Rancho Cucamonga"/>
    <x v="1"/>
    <n v="91730"/>
    <x v="1"/>
    <x v="1"/>
    <x v="2"/>
    <n v="5.76"/>
    <n v="2"/>
    <n v="0"/>
    <n v="2.6496"/>
  </r>
  <r>
    <s v="Standard Class"/>
    <x v="0"/>
    <s v="United States"/>
    <s v="Wilmington"/>
    <x v="13"/>
    <n v="19805"/>
    <x v="3"/>
    <x v="1"/>
    <x v="8"/>
    <n v="26.55"/>
    <n v="3"/>
    <n v="0"/>
    <n v="13.009499999999999"/>
  </r>
  <r>
    <s v="Standard Class"/>
    <x v="0"/>
    <s v="United States"/>
    <s v="Wilmington"/>
    <x v="13"/>
    <n v="19805"/>
    <x v="3"/>
    <x v="0"/>
    <x v="3"/>
    <n v="310.44299999999998"/>
    <n v="3"/>
    <n v="0.3"/>
    <n v="-48.783900000000003"/>
  </r>
  <r>
    <s v="Standard Class"/>
    <x v="2"/>
    <s v="United States"/>
    <s v="Moorhead"/>
    <x v="11"/>
    <n v="56560"/>
    <x v="2"/>
    <x v="0"/>
    <x v="1"/>
    <n v="479.9"/>
    <n v="5"/>
    <n v="0"/>
    <n v="81.582999999999998"/>
  </r>
  <r>
    <s v="Second Class"/>
    <x v="0"/>
    <s v="United States"/>
    <s v="Farmington"/>
    <x v="27"/>
    <n v="87401"/>
    <x v="1"/>
    <x v="1"/>
    <x v="14"/>
    <n v="12.88"/>
    <n v="1"/>
    <n v="0"/>
    <n v="0.38640000000000002"/>
  </r>
  <r>
    <s v="Standard Class"/>
    <x v="0"/>
    <s v="United States"/>
    <s v="Wilmington"/>
    <x v="3"/>
    <n v="28403"/>
    <x v="0"/>
    <x v="1"/>
    <x v="6"/>
    <n v="13.12"/>
    <n v="5"/>
    <n v="0.2"/>
    <n v="1.476"/>
  </r>
  <r>
    <s v="Standard Class"/>
    <x v="2"/>
    <s v="United States"/>
    <s v="Jackson"/>
    <x v="35"/>
    <n v="39212"/>
    <x v="0"/>
    <x v="1"/>
    <x v="8"/>
    <n v="511.84"/>
    <n v="8"/>
    <n v="0"/>
    <n v="240.56479999999999"/>
  </r>
  <r>
    <s v="Standard Class"/>
    <x v="2"/>
    <s v="United States"/>
    <s v="Jackson"/>
    <x v="35"/>
    <n v="39212"/>
    <x v="0"/>
    <x v="1"/>
    <x v="6"/>
    <n v="91.96"/>
    <n v="4"/>
    <n v="0"/>
    <n v="25.748799999999999"/>
  </r>
  <r>
    <s v="Standard Class"/>
    <x v="2"/>
    <s v="United States"/>
    <s v="Jackson"/>
    <x v="35"/>
    <n v="39212"/>
    <x v="0"/>
    <x v="1"/>
    <x v="6"/>
    <n v="8.34"/>
    <n v="3"/>
    <n v="0"/>
    <n v="2.1684000000000001"/>
  </r>
  <r>
    <s v="Standard Class"/>
    <x v="0"/>
    <s v="United States"/>
    <s v="Portland"/>
    <x v="21"/>
    <n v="97206"/>
    <x v="1"/>
    <x v="1"/>
    <x v="4"/>
    <n v="37.68"/>
    <n v="3"/>
    <n v="0.2"/>
    <n v="2.355"/>
  </r>
  <r>
    <s v="Standard Class"/>
    <x v="0"/>
    <s v="United States"/>
    <s v="Portland"/>
    <x v="21"/>
    <n v="97206"/>
    <x v="1"/>
    <x v="2"/>
    <x v="11"/>
    <n v="279.94400000000002"/>
    <n v="7"/>
    <n v="0.2"/>
    <n v="80.483900000000006"/>
  </r>
  <r>
    <s v="Standard Class"/>
    <x v="0"/>
    <s v="United States"/>
    <s v="Denver"/>
    <x v="22"/>
    <n v="80219"/>
    <x v="1"/>
    <x v="1"/>
    <x v="4"/>
    <n v="636.40800000000002"/>
    <n v="3"/>
    <n v="0.2"/>
    <n v="-15.9102"/>
  </r>
  <r>
    <s v="Standard Class"/>
    <x v="0"/>
    <s v="United States"/>
    <s v="Denver"/>
    <x v="22"/>
    <n v="80219"/>
    <x v="1"/>
    <x v="1"/>
    <x v="6"/>
    <n v="83.168000000000006"/>
    <n v="4"/>
    <n v="0.2"/>
    <n v="9.3564000000000007"/>
  </r>
  <r>
    <s v="Same Day"/>
    <x v="2"/>
    <s v="United States"/>
    <s v="Tucson"/>
    <x v="16"/>
    <n v="85705"/>
    <x v="1"/>
    <x v="0"/>
    <x v="1"/>
    <n v="259.13600000000002"/>
    <n v="4"/>
    <n v="0.2"/>
    <n v="-25.913599999999999"/>
  </r>
  <r>
    <s v="Second Class"/>
    <x v="1"/>
    <s v="United States"/>
    <s v="New York City"/>
    <x v="15"/>
    <n v="10009"/>
    <x v="3"/>
    <x v="1"/>
    <x v="10"/>
    <n v="221.92"/>
    <n v="4"/>
    <n v="0"/>
    <n v="106.52160000000001"/>
  </r>
  <r>
    <s v="Second Class"/>
    <x v="1"/>
    <s v="United States"/>
    <s v="New York City"/>
    <x v="15"/>
    <n v="10009"/>
    <x v="3"/>
    <x v="2"/>
    <x v="11"/>
    <n v="26"/>
    <n v="2"/>
    <n v="0"/>
    <n v="11.7"/>
  </r>
  <r>
    <s v="Standard Class"/>
    <x v="0"/>
    <s v="United States"/>
    <s v="Boynton Beach"/>
    <x v="2"/>
    <n v="33437"/>
    <x v="0"/>
    <x v="1"/>
    <x v="10"/>
    <n v="15.552"/>
    <n v="3"/>
    <n v="0.2"/>
    <n v="5.4432"/>
  </r>
  <r>
    <s v="Same Day"/>
    <x v="1"/>
    <s v="United States"/>
    <s v="Mesquite"/>
    <x v="5"/>
    <n v="75150"/>
    <x v="2"/>
    <x v="1"/>
    <x v="8"/>
    <n v="0.876"/>
    <n v="1"/>
    <n v="0.8"/>
    <n v="-1.4016"/>
  </r>
  <r>
    <s v="Same Day"/>
    <x v="0"/>
    <s v="United States"/>
    <s v="Redlands"/>
    <x v="1"/>
    <n v="92374"/>
    <x v="1"/>
    <x v="1"/>
    <x v="10"/>
    <n v="19.98"/>
    <n v="1"/>
    <n v="0"/>
    <n v="9.3905999999999992"/>
  </r>
  <r>
    <s v="Same Day"/>
    <x v="0"/>
    <s v="United States"/>
    <s v="Redlands"/>
    <x v="1"/>
    <n v="92374"/>
    <x v="1"/>
    <x v="1"/>
    <x v="8"/>
    <n v="398.35199999999998"/>
    <n v="3"/>
    <n v="0.2"/>
    <n v="124.485"/>
  </r>
  <r>
    <s v="Same Day"/>
    <x v="0"/>
    <s v="United States"/>
    <s v="Redlands"/>
    <x v="1"/>
    <n v="92374"/>
    <x v="1"/>
    <x v="1"/>
    <x v="6"/>
    <n v="5.04"/>
    <n v="3"/>
    <n v="0"/>
    <n v="1.26"/>
  </r>
  <r>
    <s v="Same Day"/>
    <x v="0"/>
    <s v="United States"/>
    <s v="Redlands"/>
    <x v="1"/>
    <n v="92374"/>
    <x v="1"/>
    <x v="1"/>
    <x v="13"/>
    <n v="17.45"/>
    <n v="5"/>
    <n v="0"/>
    <n v="8.0269999999999992"/>
  </r>
  <r>
    <s v="Same Day"/>
    <x v="0"/>
    <s v="United States"/>
    <s v="Redlands"/>
    <x v="1"/>
    <n v="92374"/>
    <x v="1"/>
    <x v="0"/>
    <x v="1"/>
    <n v="323.13600000000002"/>
    <n v="4"/>
    <n v="0.2"/>
    <n v="20.196000000000002"/>
  </r>
  <r>
    <s v="Same Day"/>
    <x v="0"/>
    <s v="United States"/>
    <s v="Redlands"/>
    <x v="1"/>
    <n v="92374"/>
    <x v="1"/>
    <x v="1"/>
    <x v="14"/>
    <n v="29.7"/>
    <n v="3"/>
    <n v="0"/>
    <n v="8.0190000000000001"/>
  </r>
  <r>
    <s v="Same Day"/>
    <x v="0"/>
    <s v="United States"/>
    <s v="Redlands"/>
    <x v="1"/>
    <n v="92374"/>
    <x v="1"/>
    <x v="2"/>
    <x v="7"/>
    <n v="1295.8399999999999"/>
    <n v="4"/>
    <n v="0.2"/>
    <n v="145.78200000000001"/>
  </r>
  <r>
    <s v="Same Day"/>
    <x v="0"/>
    <s v="United States"/>
    <s v="Redlands"/>
    <x v="1"/>
    <n v="92374"/>
    <x v="1"/>
    <x v="1"/>
    <x v="4"/>
    <n v="46.84"/>
    <n v="2"/>
    <n v="0"/>
    <n v="12.646800000000001"/>
  </r>
  <r>
    <s v="Same Day"/>
    <x v="0"/>
    <s v="United States"/>
    <s v="Redlands"/>
    <x v="1"/>
    <n v="92374"/>
    <x v="1"/>
    <x v="0"/>
    <x v="0"/>
    <n v="425.83300000000003"/>
    <n v="1"/>
    <n v="0.15"/>
    <n v="20.039200000000001"/>
  </r>
  <r>
    <s v="Second Class"/>
    <x v="0"/>
    <s v="United States"/>
    <s v="Rochester"/>
    <x v="15"/>
    <n v="14609"/>
    <x v="3"/>
    <x v="0"/>
    <x v="3"/>
    <n v="209.67"/>
    <n v="1"/>
    <n v="0.4"/>
    <n v="-13.978"/>
  </r>
  <r>
    <s v="Standard Class"/>
    <x v="0"/>
    <s v="United States"/>
    <s v="Stockton"/>
    <x v="1"/>
    <n v="95207"/>
    <x v="1"/>
    <x v="1"/>
    <x v="10"/>
    <n v="159.88"/>
    <n v="7"/>
    <n v="0"/>
    <n v="73.544799999999995"/>
  </r>
  <r>
    <s v="First Class"/>
    <x v="1"/>
    <s v="United States"/>
    <s v="Seattle"/>
    <x v="4"/>
    <n v="98105"/>
    <x v="1"/>
    <x v="1"/>
    <x v="10"/>
    <n v="5.28"/>
    <n v="1"/>
    <n v="0"/>
    <n v="2.3759999999999999"/>
  </r>
  <r>
    <s v="First Class"/>
    <x v="1"/>
    <s v="United States"/>
    <s v="Seattle"/>
    <x v="4"/>
    <n v="98105"/>
    <x v="1"/>
    <x v="1"/>
    <x v="8"/>
    <n v="895.92"/>
    <n v="5"/>
    <n v="0.2"/>
    <n v="302.37299999999999"/>
  </r>
  <r>
    <s v="Standard Class"/>
    <x v="0"/>
    <s v="United States"/>
    <s v="Ormond Beach"/>
    <x v="2"/>
    <n v="32174"/>
    <x v="0"/>
    <x v="1"/>
    <x v="8"/>
    <n v="2.8079999999999998"/>
    <n v="3"/>
    <n v="0.7"/>
    <n v="-1.9656"/>
  </r>
  <r>
    <s v="First Class"/>
    <x v="1"/>
    <s v="United States"/>
    <s v="Sunnyvale"/>
    <x v="1"/>
    <n v="94086"/>
    <x v="1"/>
    <x v="0"/>
    <x v="1"/>
    <n v="215.976"/>
    <n v="3"/>
    <n v="0.2"/>
    <n v="-2.6997"/>
  </r>
  <r>
    <s v="Second Class"/>
    <x v="2"/>
    <s v="United States"/>
    <s v="Lansing"/>
    <x v="12"/>
    <n v="48911"/>
    <x v="2"/>
    <x v="0"/>
    <x v="0"/>
    <n v="241.96"/>
    <n v="2"/>
    <n v="0"/>
    <n v="41.133200000000002"/>
  </r>
  <r>
    <s v="Second Class"/>
    <x v="2"/>
    <s v="United States"/>
    <s v="Lansing"/>
    <x v="12"/>
    <n v="48911"/>
    <x v="2"/>
    <x v="1"/>
    <x v="2"/>
    <n v="27.72"/>
    <n v="9"/>
    <n v="0"/>
    <n v="13.3056"/>
  </r>
  <r>
    <s v="Standard Class"/>
    <x v="2"/>
    <s v="United States"/>
    <s v="Philadelphia"/>
    <x v="9"/>
    <n v="19143"/>
    <x v="3"/>
    <x v="1"/>
    <x v="12"/>
    <n v="104.68"/>
    <n v="5"/>
    <n v="0.2"/>
    <n v="35.329500000000003"/>
  </r>
  <r>
    <s v="Standard Class"/>
    <x v="2"/>
    <s v="United States"/>
    <s v="Philadelphia"/>
    <x v="9"/>
    <n v="19143"/>
    <x v="3"/>
    <x v="2"/>
    <x v="7"/>
    <n v="62.957999999999998"/>
    <n v="7"/>
    <n v="0.4"/>
    <n v="9.4436999999999998"/>
  </r>
  <r>
    <s v="Standard Class"/>
    <x v="0"/>
    <s v="United States"/>
    <s v="Philadelphia"/>
    <x v="9"/>
    <n v="19143"/>
    <x v="3"/>
    <x v="2"/>
    <x v="11"/>
    <n v="86.376000000000005"/>
    <n v="3"/>
    <n v="0.2"/>
    <n v="1.0797000000000001"/>
  </r>
  <r>
    <s v="Standard Class"/>
    <x v="2"/>
    <s v="United States"/>
    <s v="Philadelphia"/>
    <x v="9"/>
    <n v="19134"/>
    <x v="3"/>
    <x v="0"/>
    <x v="5"/>
    <n v="64.944000000000003"/>
    <n v="3"/>
    <n v="0.2"/>
    <n v="6.4943999999999997"/>
  </r>
  <r>
    <s v="Standard Class"/>
    <x v="2"/>
    <s v="United States"/>
    <s v="Philadelphia"/>
    <x v="9"/>
    <n v="19134"/>
    <x v="3"/>
    <x v="1"/>
    <x v="10"/>
    <n v="20.736000000000001"/>
    <n v="4"/>
    <n v="0.2"/>
    <n v="7.2576000000000001"/>
  </r>
  <r>
    <s v="Second Class"/>
    <x v="1"/>
    <s v="United States"/>
    <s v="Dover"/>
    <x v="38"/>
    <n v="3820"/>
    <x v="3"/>
    <x v="1"/>
    <x v="9"/>
    <n v="33.28"/>
    <n v="4"/>
    <n v="0"/>
    <n v="9.3184000000000005"/>
  </r>
  <r>
    <s v="Second Class"/>
    <x v="1"/>
    <s v="United States"/>
    <s v="Dover"/>
    <x v="38"/>
    <n v="3820"/>
    <x v="3"/>
    <x v="1"/>
    <x v="6"/>
    <n v="38.520000000000003"/>
    <n v="9"/>
    <n v="0"/>
    <n v="11.9412"/>
  </r>
  <r>
    <s v="Second Class"/>
    <x v="1"/>
    <s v="United States"/>
    <s v="Dover"/>
    <x v="38"/>
    <n v="3820"/>
    <x v="3"/>
    <x v="0"/>
    <x v="5"/>
    <n v="139.86000000000001"/>
    <n v="7"/>
    <n v="0"/>
    <n v="60.139800000000001"/>
  </r>
  <r>
    <s v="Standard Class"/>
    <x v="0"/>
    <s v="United States"/>
    <s v="New York City"/>
    <x v="15"/>
    <n v="10011"/>
    <x v="3"/>
    <x v="1"/>
    <x v="10"/>
    <n v="19.649999999999999"/>
    <n v="3"/>
    <n v="0"/>
    <n v="9.0389999999999997"/>
  </r>
  <r>
    <s v="Standard Class"/>
    <x v="0"/>
    <s v="United States"/>
    <s v="Philadelphia"/>
    <x v="9"/>
    <n v="19134"/>
    <x v="3"/>
    <x v="1"/>
    <x v="8"/>
    <n v="152.99100000000001"/>
    <n v="3"/>
    <n v="0.7"/>
    <n v="-122.39279999999999"/>
  </r>
  <r>
    <s v="Standard Class"/>
    <x v="0"/>
    <s v="United States"/>
    <s v="Philadelphia"/>
    <x v="9"/>
    <n v="19134"/>
    <x v="3"/>
    <x v="1"/>
    <x v="13"/>
    <n v="10.584"/>
    <n v="7"/>
    <n v="0.2"/>
    <n v="-2.3814000000000002"/>
  </r>
  <r>
    <s v="Standard Class"/>
    <x v="0"/>
    <s v="United States"/>
    <s v="Philadelphia"/>
    <x v="9"/>
    <n v="19134"/>
    <x v="3"/>
    <x v="2"/>
    <x v="7"/>
    <n v="94.92"/>
    <n v="4"/>
    <n v="0.4"/>
    <n v="15.82"/>
  </r>
  <r>
    <s v="Standard Class"/>
    <x v="0"/>
    <s v="United States"/>
    <s v="Grand Prairie"/>
    <x v="5"/>
    <n v="75051"/>
    <x v="2"/>
    <x v="0"/>
    <x v="5"/>
    <n v="14.76"/>
    <n v="5"/>
    <n v="0.6"/>
    <n v="-11.439"/>
  </r>
  <r>
    <s v="Standard Class"/>
    <x v="0"/>
    <s v="United States"/>
    <s v="Grand Prairie"/>
    <x v="5"/>
    <n v="75051"/>
    <x v="2"/>
    <x v="1"/>
    <x v="8"/>
    <n v="3.6560000000000001"/>
    <n v="4"/>
    <n v="0.8"/>
    <n v="-5.8495999999999997"/>
  </r>
  <r>
    <s v="Same Day"/>
    <x v="0"/>
    <s v="United States"/>
    <s v="New York City"/>
    <x v="15"/>
    <n v="10009"/>
    <x v="3"/>
    <x v="1"/>
    <x v="10"/>
    <n v="146.82"/>
    <n v="3"/>
    <n v="0"/>
    <n v="73.41"/>
  </r>
  <r>
    <s v="Standard Class"/>
    <x v="1"/>
    <s v="United States"/>
    <s v="Long Beach"/>
    <x v="15"/>
    <n v="11561"/>
    <x v="3"/>
    <x v="1"/>
    <x v="8"/>
    <n v="149.54400000000001"/>
    <n v="9"/>
    <n v="0.2"/>
    <n v="50.4711"/>
  </r>
  <r>
    <s v="Standard Class"/>
    <x v="1"/>
    <s v="United States"/>
    <s v="Long Beach"/>
    <x v="15"/>
    <n v="11561"/>
    <x v="3"/>
    <x v="1"/>
    <x v="14"/>
    <n v="17.14"/>
    <n v="2"/>
    <n v="0"/>
    <n v="4.4564000000000004"/>
  </r>
  <r>
    <s v="Standard Class"/>
    <x v="1"/>
    <s v="United States"/>
    <s v="Long Beach"/>
    <x v="15"/>
    <n v="11561"/>
    <x v="3"/>
    <x v="0"/>
    <x v="3"/>
    <n v="991.76400000000001"/>
    <n v="3"/>
    <n v="0.4"/>
    <n v="-347.11739999999998"/>
  </r>
  <r>
    <s v="Standard Class"/>
    <x v="1"/>
    <s v="United States"/>
    <s v="Philadelphia"/>
    <x v="9"/>
    <n v="19140"/>
    <x v="3"/>
    <x v="1"/>
    <x v="10"/>
    <n v="30.48"/>
    <n v="6"/>
    <n v="0.2"/>
    <n v="9.9060000000000006"/>
  </r>
  <r>
    <s v="Standard Class"/>
    <x v="1"/>
    <s v="United States"/>
    <s v="Philadelphia"/>
    <x v="9"/>
    <n v="19140"/>
    <x v="3"/>
    <x v="2"/>
    <x v="7"/>
    <n v="23.988"/>
    <n v="2"/>
    <n v="0.4"/>
    <n v="-4.7976000000000001"/>
  </r>
  <r>
    <s v="Standard Class"/>
    <x v="1"/>
    <s v="United States"/>
    <s v="Philadelphia"/>
    <x v="9"/>
    <n v="19140"/>
    <x v="3"/>
    <x v="1"/>
    <x v="13"/>
    <n v="16.687999999999999"/>
    <n v="7"/>
    <n v="0.2"/>
    <n v="5.4236000000000004"/>
  </r>
  <r>
    <s v="Standard Class"/>
    <x v="1"/>
    <s v="United States"/>
    <s v="York"/>
    <x v="9"/>
    <n v="17403"/>
    <x v="3"/>
    <x v="0"/>
    <x v="1"/>
    <n v="422.05799999999999"/>
    <n v="3"/>
    <n v="0.3"/>
    <n v="-18.088200000000001"/>
  </r>
  <r>
    <s v="Standard Class"/>
    <x v="1"/>
    <s v="United States"/>
    <s v="York"/>
    <x v="9"/>
    <n v="17403"/>
    <x v="3"/>
    <x v="1"/>
    <x v="8"/>
    <n v="38.088000000000001"/>
    <n v="4"/>
    <n v="0.7"/>
    <n v="-27.9312"/>
  </r>
  <r>
    <s v="Standard Class"/>
    <x v="1"/>
    <s v="United States"/>
    <s v="York"/>
    <x v="9"/>
    <n v="17403"/>
    <x v="3"/>
    <x v="1"/>
    <x v="4"/>
    <n v="254.352"/>
    <n v="6"/>
    <n v="0.2"/>
    <n v="-50.870399999999997"/>
  </r>
  <r>
    <s v="Standard Class"/>
    <x v="0"/>
    <s v="United States"/>
    <s v="Concord"/>
    <x v="1"/>
    <n v="94521"/>
    <x v="1"/>
    <x v="0"/>
    <x v="5"/>
    <n v="43.31"/>
    <n v="1"/>
    <n v="0"/>
    <n v="4.3310000000000004"/>
  </r>
  <r>
    <s v="Standard Class"/>
    <x v="0"/>
    <s v="United States"/>
    <s v="New York City"/>
    <x v="15"/>
    <n v="10035"/>
    <x v="3"/>
    <x v="2"/>
    <x v="7"/>
    <n v="84.95"/>
    <n v="5"/>
    <n v="0"/>
    <n v="22.087"/>
  </r>
  <r>
    <s v="Standard Class"/>
    <x v="0"/>
    <s v="United States"/>
    <s v="College Station"/>
    <x v="5"/>
    <n v="77840"/>
    <x v="2"/>
    <x v="0"/>
    <x v="1"/>
    <n v="233.05799999999999"/>
    <n v="3"/>
    <n v="0.3"/>
    <n v="-53.270400000000002"/>
  </r>
  <r>
    <s v="Second Class"/>
    <x v="0"/>
    <s v="United States"/>
    <s v="Saint Louis"/>
    <x v="25"/>
    <n v="63116"/>
    <x v="2"/>
    <x v="2"/>
    <x v="11"/>
    <n v="111.79"/>
    <n v="7"/>
    <n v="0"/>
    <n v="43.598100000000002"/>
  </r>
  <r>
    <s v="Standard Class"/>
    <x v="0"/>
    <s v="United States"/>
    <s v="Quincy"/>
    <x v="31"/>
    <n v="2169"/>
    <x v="3"/>
    <x v="1"/>
    <x v="10"/>
    <n v="14.94"/>
    <n v="3"/>
    <n v="0"/>
    <n v="7.0217999999999998"/>
  </r>
  <r>
    <s v="Standard Class"/>
    <x v="1"/>
    <s v="United States"/>
    <s v="New York City"/>
    <x v="15"/>
    <n v="10009"/>
    <x v="3"/>
    <x v="1"/>
    <x v="8"/>
    <n v="14.16"/>
    <n v="2"/>
    <n v="0.2"/>
    <n v="5.133"/>
  </r>
  <r>
    <s v="Standard Class"/>
    <x v="2"/>
    <s v="United States"/>
    <s v="Dallas"/>
    <x v="5"/>
    <n v="75081"/>
    <x v="2"/>
    <x v="0"/>
    <x v="5"/>
    <n v="22.608000000000001"/>
    <n v="3"/>
    <n v="0.6"/>
    <n v="-10.1736"/>
  </r>
  <r>
    <s v="Second Class"/>
    <x v="0"/>
    <s v="United States"/>
    <s v="Los Angeles"/>
    <x v="1"/>
    <n v="90032"/>
    <x v="1"/>
    <x v="1"/>
    <x v="13"/>
    <n v="21.48"/>
    <n v="6"/>
    <n v="0"/>
    <n v="10.74"/>
  </r>
  <r>
    <s v="First Class"/>
    <x v="0"/>
    <s v="United States"/>
    <s v="Minneapolis"/>
    <x v="11"/>
    <n v="55407"/>
    <x v="2"/>
    <x v="1"/>
    <x v="4"/>
    <n v="501.81"/>
    <n v="3"/>
    <n v="0"/>
    <n v="0"/>
  </r>
  <r>
    <s v="First Class"/>
    <x v="0"/>
    <s v="United States"/>
    <s v="Minneapolis"/>
    <x v="11"/>
    <n v="55407"/>
    <x v="2"/>
    <x v="1"/>
    <x v="4"/>
    <n v="161.94"/>
    <n v="3"/>
    <n v="0"/>
    <n v="9.7164000000000001"/>
  </r>
  <r>
    <s v="Standard Class"/>
    <x v="2"/>
    <s v="United States"/>
    <s v="Deltona"/>
    <x v="2"/>
    <n v="32725"/>
    <x v="0"/>
    <x v="1"/>
    <x v="6"/>
    <n v="17.856000000000002"/>
    <n v="4"/>
    <n v="0.2"/>
    <n v="2.0087999999999999"/>
  </r>
  <r>
    <s v="Standard Class"/>
    <x v="0"/>
    <s v="United States"/>
    <s v="Chicago"/>
    <x v="10"/>
    <n v="60610"/>
    <x v="2"/>
    <x v="1"/>
    <x v="8"/>
    <n v="8.8079999999999998"/>
    <n v="3"/>
    <n v="0.8"/>
    <n v="-14.973599999999999"/>
  </r>
  <r>
    <s v="Same Day"/>
    <x v="0"/>
    <s v="United States"/>
    <s v="Cincinnati"/>
    <x v="24"/>
    <n v="45231"/>
    <x v="3"/>
    <x v="0"/>
    <x v="5"/>
    <n v="79.384"/>
    <n v="1"/>
    <n v="0.2"/>
    <n v="29.768999999999998"/>
  </r>
  <r>
    <s v="Standard Class"/>
    <x v="2"/>
    <s v="United States"/>
    <s v="Oakland"/>
    <x v="1"/>
    <n v="94601"/>
    <x v="1"/>
    <x v="1"/>
    <x v="6"/>
    <n v="34.58"/>
    <n v="1"/>
    <n v="0"/>
    <n v="10.0282"/>
  </r>
  <r>
    <s v="Standard Class"/>
    <x v="2"/>
    <s v="United States"/>
    <s v="Manteca"/>
    <x v="1"/>
    <n v="95336"/>
    <x v="1"/>
    <x v="1"/>
    <x v="10"/>
    <n v="314.55"/>
    <n v="3"/>
    <n v="0"/>
    <n v="150.98400000000001"/>
  </r>
  <r>
    <s v="Standard Class"/>
    <x v="0"/>
    <s v="United States"/>
    <s v="Laredo"/>
    <x v="5"/>
    <n v="78041"/>
    <x v="2"/>
    <x v="2"/>
    <x v="11"/>
    <n v="191.976"/>
    <n v="3"/>
    <n v="0.2"/>
    <n v="23.997"/>
  </r>
  <r>
    <s v="Standard Class"/>
    <x v="0"/>
    <s v="United States"/>
    <s v="Laredo"/>
    <x v="5"/>
    <n v="78041"/>
    <x v="2"/>
    <x v="1"/>
    <x v="10"/>
    <n v="8.2880000000000003"/>
    <n v="2"/>
    <n v="0.2"/>
    <n v="3.0044"/>
  </r>
  <r>
    <s v="Standard Class"/>
    <x v="0"/>
    <s v="United States"/>
    <s v="Laredo"/>
    <x v="5"/>
    <n v="78041"/>
    <x v="2"/>
    <x v="0"/>
    <x v="5"/>
    <n v="139.91999999999999"/>
    <n v="5"/>
    <n v="0.6"/>
    <n v="-150.41399999999999"/>
  </r>
  <r>
    <s v="Standard Class"/>
    <x v="0"/>
    <s v="United States"/>
    <s v="Laredo"/>
    <x v="5"/>
    <n v="78041"/>
    <x v="2"/>
    <x v="1"/>
    <x v="6"/>
    <n v="15.872"/>
    <n v="1"/>
    <n v="0.2"/>
    <n v="1.1903999999999999"/>
  </r>
  <r>
    <s v="Standard Class"/>
    <x v="0"/>
    <s v="United States"/>
    <s v="Laredo"/>
    <x v="5"/>
    <n v="78041"/>
    <x v="2"/>
    <x v="1"/>
    <x v="8"/>
    <n v="6.2859999999999996"/>
    <n v="7"/>
    <n v="0.8"/>
    <n v="-11.000500000000001"/>
  </r>
  <r>
    <s v="Second Class"/>
    <x v="0"/>
    <s v="United States"/>
    <s v="Kent"/>
    <x v="24"/>
    <n v="44240"/>
    <x v="3"/>
    <x v="1"/>
    <x v="6"/>
    <n v="14.016"/>
    <n v="3"/>
    <n v="0.2"/>
    <n v="1.752"/>
  </r>
  <r>
    <s v="Second Class"/>
    <x v="0"/>
    <s v="United States"/>
    <s v="Kent"/>
    <x v="24"/>
    <n v="44240"/>
    <x v="3"/>
    <x v="2"/>
    <x v="11"/>
    <n v="71.975999999999999"/>
    <n v="3"/>
    <n v="0.2"/>
    <n v="-8.9969999999999999"/>
  </r>
  <r>
    <s v="Second Class"/>
    <x v="0"/>
    <s v="United States"/>
    <s v="Kent"/>
    <x v="24"/>
    <n v="44240"/>
    <x v="3"/>
    <x v="2"/>
    <x v="7"/>
    <n v="107.982"/>
    <n v="3"/>
    <n v="0.4"/>
    <n v="-26.9955"/>
  </r>
  <r>
    <s v="Standard Class"/>
    <x v="1"/>
    <s v="United States"/>
    <s v="San Angelo"/>
    <x v="5"/>
    <n v="76903"/>
    <x v="2"/>
    <x v="0"/>
    <x v="1"/>
    <n v="305.31200000000001"/>
    <n v="2"/>
    <n v="0.3"/>
    <n v="-8.7232000000000003"/>
  </r>
  <r>
    <s v="First Class"/>
    <x v="0"/>
    <s v="United States"/>
    <s v="San Francisco"/>
    <x v="1"/>
    <n v="94122"/>
    <x v="1"/>
    <x v="1"/>
    <x v="8"/>
    <n v="19.751999999999999"/>
    <n v="3"/>
    <n v="0.2"/>
    <n v="6.9131999999999998"/>
  </r>
  <r>
    <s v="Standard Class"/>
    <x v="2"/>
    <s v="United States"/>
    <s v="Houston"/>
    <x v="5"/>
    <n v="77070"/>
    <x v="2"/>
    <x v="1"/>
    <x v="8"/>
    <n v="9.2639999999999993"/>
    <n v="3"/>
    <n v="0.8"/>
    <n v="-13.896000000000001"/>
  </r>
  <r>
    <s v="Second Class"/>
    <x v="1"/>
    <s v="United States"/>
    <s v="Houston"/>
    <x v="5"/>
    <n v="77041"/>
    <x v="2"/>
    <x v="1"/>
    <x v="4"/>
    <n v="61.792000000000002"/>
    <n v="4"/>
    <n v="0.2"/>
    <n v="6.1791999999999998"/>
  </r>
  <r>
    <s v="Standard Class"/>
    <x v="2"/>
    <s v="United States"/>
    <s v="Salt Lake City"/>
    <x v="7"/>
    <n v="84106"/>
    <x v="1"/>
    <x v="1"/>
    <x v="10"/>
    <n v="45.68"/>
    <n v="2"/>
    <n v="0"/>
    <n v="21.012799999999999"/>
  </r>
  <r>
    <s v="Standard Class"/>
    <x v="2"/>
    <s v="United States"/>
    <s v="Salt Lake City"/>
    <x v="7"/>
    <n v="84106"/>
    <x v="1"/>
    <x v="1"/>
    <x v="10"/>
    <n v="60.12"/>
    <n v="9"/>
    <n v="0"/>
    <n v="28.857600000000001"/>
  </r>
  <r>
    <s v="Standard Class"/>
    <x v="2"/>
    <s v="United States"/>
    <s v="Salt Lake City"/>
    <x v="7"/>
    <n v="84106"/>
    <x v="1"/>
    <x v="1"/>
    <x v="8"/>
    <n v="41.72"/>
    <n v="5"/>
    <n v="0.2"/>
    <n v="13.0375"/>
  </r>
  <r>
    <s v="Standard Class"/>
    <x v="2"/>
    <s v="United States"/>
    <s v="Salt Lake City"/>
    <x v="7"/>
    <n v="84106"/>
    <x v="1"/>
    <x v="1"/>
    <x v="10"/>
    <n v="71.599999999999994"/>
    <n v="8"/>
    <n v="0"/>
    <n v="32.936"/>
  </r>
  <r>
    <s v="Standard Class"/>
    <x v="0"/>
    <s v="United States"/>
    <s v="New York City"/>
    <x v="15"/>
    <n v="10009"/>
    <x v="3"/>
    <x v="1"/>
    <x v="8"/>
    <n v="85.231999999999999"/>
    <n v="7"/>
    <n v="0.2"/>
    <n v="30.896599999999999"/>
  </r>
  <r>
    <s v="Standard Class"/>
    <x v="0"/>
    <s v="United States"/>
    <s v="New York City"/>
    <x v="15"/>
    <n v="10009"/>
    <x v="3"/>
    <x v="1"/>
    <x v="2"/>
    <n v="44.4"/>
    <n v="3"/>
    <n v="0"/>
    <n v="22.2"/>
  </r>
  <r>
    <s v="Standard Class"/>
    <x v="0"/>
    <s v="United States"/>
    <s v="New York City"/>
    <x v="15"/>
    <n v="10009"/>
    <x v="3"/>
    <x v="0"/>
    <x v="1"/>
    <n v="442.76400000000001"/>
    <n v="4"/>
    <n v="0.1"/>
    <n v="59.035200000000003"/>
  </r>
  <r>
    <s v="Standard Class"/>
    <x v="0"/>
    <s v="United States"/>
    <s v="New York City"/>
    <x v="15"/>
    <n v="10009"/>
    <x v="3"/>
    <x v="2"/>
    <x v="15"/>
    <n v="3999.95"/>
    <n v="5"/>
    <n v="0"/>
    <n v="1159.9855"/>
  </r>
  <r>
    <s v="Standard Class"/>
    <x v="0"/>
    <s v="United States"/>
    <s v="New York City"/>
    <x v="15"/>
    <n v="10009"/>
    <x v="3"/>
    <x v="2"/>
    <x v="11"/>
    <n v="199.95"/>
    <n v="5"/>
    <n v="0"/>
    <n v="21.994499999999999"/>
  </r>
  <r>
    <s v="Standard Class"/>
    <x v="0"/>
    <s v="United States"/>
    <s v="New York City"/>
    <x v="15"/>
    <n v="10009"/>
    <x v="3"/>
    <x v="0"/>
    <x v="5"/>
    <n v="63.68"/>
    <n v="8"/>
    <n v="0"/>
    <n v="28.019200000000001"/>
  </r>
  <r>
    <s v="Second Class"/>
    <x v="1"/>
    <s v="United States"/>
    <s v="Salinas"/>
    <x v="1"/>
    <n v="93905"/>
    <x v="1"/>
    <x v="1"/>
    <x v="8"/>
    <n v="54.896000000000001"/>
    <n v="2"/>
    <n v="0.2"/>
    <n v="18.5274"/>
  </r>
  <r>
    <s v="Same Day"/>
    <x v="0"/>
    <s v="United States"/>
    <s v="Huntsville"/>
    <x v="19"/>
    <n v="35810"/>
    <x v="0"/>
    <x v="2"/>
    <x v="11"/>
    <n v="29"/>
    <n v="2"/>
    <n v="0"/>
    <n v="7.25"/>
  </r>
  <r>
    <s v="Standard Class"/>
    <x v="0"/>
    <s v="United States"/>
    <s v="Columbus"/>
    <x v="14"/>
    <n v="47201"/>
    <x v="2"/>
    <x v="1"/>
    <x v="12"/>
    <n v="70.08"/>
    <n v="6"/>
    <n v="0"/>
    <n v="35.04"/>
  </r>
  <r>
    <s v="Standard Class"/>
    <x v="0"/>
    <s v="United States"/>
    <s v="Columbus"/>
    <x v="14"/>
    <n v="47201"/>
    <x v="2"/>
    <x v="0"/>
    <x v="5"/>
    <n v="121.3"/>
    <n v="2"/>
    <n v="0"/>
    <n v="25.472999999999999"/>
  </r>
  <r>
    <s v="Standard Class"/>
    <x v="0"/>
    <s v="United States"/>
    <s v="Columbus"/>
    <x v="14"/>
    <n v="47201"/>
    <x v="2"/>
    <x v="2"/>
    <x v="7"/>
    <n v="1454.49"/>
    <n v="9"/>
    <n v="0"/>
    <n v="378.16739999999999"/>
  </r>
  <r>
    <s v="Standard Class"/>
    <x v="0"/>
    <s v="United States"/>
    <s v="Los Angeles"/>
    <x v="1"/>
    <n v="90049"/>
    <x v="1"/>
    <x v="1"/>
    <x v="9"/>
    <n v="60.81"/>
    <n v="3"/>
    <n v="0"/>
    <n v="17.026800000000001"/>
  </r>
  <r>
    <s v="Standard Class"/>
    <x v="0"/>
    <s v="United States"/>
    <s v="Seattle"/>
    <x v="4"/>
    <n v="98105"/>
    <x v="1"/>
    <x v="1"/>
    <x v="8"/>
    <n v="153.55199999999999"/>
    <n v="3"/>
    <n v="0.2"/>
    <n v="51.823799999999999"/>
  </r>
  <r>
    <s v="Standard Class"/>
    <x v="0"/>
    <s v="United States"/>
    <s v="Seattle"/>
    <x v="4"/>
    <n v="98105"/>
    <x v="1"/>
    <x v="1"/>
    <x v="9"/>
    <n v="65.34"/>
    <n v="3"/>
    <n v="0"/>
    <n v="22.869"/>
  </r>
  <r>
    <s v="Standard Class"/>
    <x v="0"/>
    <s v="United States"/>
    <s v="Seattle"/>
    <x v="4"/>
    <n v="98105"/>
    <x v="1"/>
    <x v="1"/>
    <x v="10"/>
    <n v="123.92"/>
    <n v="4"/>
    <n v="0"/>
    <n v="55.764000000000003"/>
  </r>
  <r>
    <s v="Standard Class"/>
    <x v="0"/>
    <s v="United States"/>
    <s v="Seattle"/>
    <x v="4"/>
    <n v="98105"/>
    <x v="1"/>
    <x v="1"/>
    <x v="9"/>
    <n v="35.1"/>
    <n v="3"/>
    <n v="0"/>
    <n v="12.285"/>
  </r>
  <r>
    <s v="Standard Class"/>
    <x v="0"/>
    <s v="United States"/>
    <s v="Seattle"/>
    <x v="4"/>
    <n v="98105"/>
    <x v="1"/>
    <x v="2"/>
    <x v="11"/>
    <n v="44.75"/>
    <n v="5"/>
    <n v="0"/>
    <n v="8.5024999999999995"/>
  </r>
  <r>
    <s v="Standard Class"/>
    <x v="0"/>
    <s v="United States"/>
    <s v="Knoxville"/>
    <x v="18"/>
    <n v="37918"/>
    <x v="0"/>
    <x v="1"/>
    <x v="6"/>
    <n v="4.7039999999999997"/>
    <n v="2"/>
    <n v="0.2"/>
    <n v="0.41160000000000002"/>
  </r>
  <r>
    <s v="Standard Class"/>
    <x v="0"/>
    <s v="United States"/>
    <s v="Montgomery"/>
    <x v="19"/>
    <n v="36116"/>
    <x v="0"/>
    <x v="1"/>
    <x v="6"/>
    <n v="14.67"/>
    <n v="3"/>
    <n v="0"/>
    <n v="3.9609000000000001"/>
  </r>
  <r>
    <s v="Standard Class"/>
    <x v="0"/>
    <s v="United States"/>
    <s v="Philadelphia"/>
    <x v="9"/>
    <n v="19120"/>
    <x v="3"/>
    <x v="1"/>
    <x v="10"/>
    <n v="15.552"/>
    <n v="3"/>
    <n v="0.2"/>
    <n v="5.4432"/>
  </r>
  <r>
    <s v="Standard Class"/>
    <x v="0"/>
    <s v="United States"/>
    <s v="Philadelphia"/>
    <x v="9"/>
    <n v="19120"/>
    <x v="3"/>
    <x v="1"/>
    <x v="10"/>
    <n v="5.2320000000000002"/>
    <n v="1"/>
    <n v="0.2"/>
    <n v="1.7003999999999999"/>
  </r>
  <r>
    <s v="Standard Class"/>
    <x v="0"/>
    <s v="United States"/>
    <s v="Little Rock"/>
    <x v="36"/>
    <n v="72209"/>
    <x v="0"/>
    <x v="0"/>
    <x v="5"/>
    <n v="22.2"/>
    <n v="6"/>
    <n v="0"/>
    <n v="9.1020000000000003"/>
  </r>
  <r>
    <s v="Standard Class"/>
    <x v="0"/>
    <s v="United States"/>
    <s v="Little Rock"/>
    <x v="36"/>
    <n v="72209"/>
    <x v="0"/>
    <x v="2"/>
    <x v="7"/>
    <n v="881.93"/>
    <n v="7"/>
    <n v="0"/>
    <n v="229.30179999999999"/>
  </r>
  <r>
    <s v="Standard Class"/>
    <x v="2"/>
    <s v="United States"/>
    <s v="Seattle"/>
    <x v="4"/>
    <n v="98103"/>
    <x v="1"/>
    <x v="1"/>
    <x v="8"/>
    <n v="6.0960000000000001"/>
    <n v="2"/>
    <n v="0.2"/>
    <n v="2.1335999999999999"/>
  </r>
  <r>
    <s v="Standard Class"/>
    <x v="2"/>
    <s v="United States"/>
    <s v="Seattle"/>
    <x v="4"/>
    <n v="98103"/>
    <x v="1"/>
    <x v="0"/>
    <x v="5"/>
    <n v="191.82"/>
    <n v="3"/>
    <n v="0"/>
    <n v="74.809799999999996"/>
  </r>
  <r>
    <s v="Standard Class"/>
    <x v="0"/>
    <s v="United States"/>
    <s v="Lancaster"/>
    <x v="9"/>
    <n v="17602"/>
    <x v="3"/>
    <x v="0"/>
    <x v="5"/>
    <n v="20.103999999999999"/>
    <n v="1"/>
    <n v="0.2"/>
    <n v="1.7591000000000001"/>
  </r>
  <r>
    <s v="Second Class"/>
    <x v="2"/>
    <s v="United States"/>
    <s v="Bristol"/>
    <x v="18"/>
    <n v="37620"/>
    <x v="0"/>
    <x v="1"/>
    <x v="6"/>
    <n v="67.56"/>
    <n v="3"/>
    <n v="0.2"/>
    <n v="8.4450000000000003"/>
  </r>
  <r>
    <s v="Standard Class"/>
    <x v="2"/>
    <s v="United States"/>
    <s v="Aurora"/>
    <x v="10"/>
    <n v="60505"/>
    <x v="2"/>
    <x v="1"/>
    <x v="8"/>
    <n v="29.931999999999999"/>
    <n v="7"/>
    <n v="0.8"/>
    <n v="-46.394599999999997"/>
  </r>
  <r>
    <s v="Standard Class"/>
    <x v="2"/>
    <s v="United States"/>
    <s v="Aurora"/>
    <x v="10"/>
    <n v="60505"/>
    <x v="2"/>
    <x v="2"/>
    <x v="7"/>
    <n v="38.271999999999998"/>
    <n v="4"/>
    <n v="0.2"/>
    <n v="3.8271999999999999"/>
  </r>
  <r>
    <s v="Standard Class"/>
    <x v="2"/>
    <s v="United States"/>
    <s v="New York City"/>
    <x v="15"/>
    <n v="10009"/>
    <x v="3"/>
    <x v="1"/>
    <x v="6"/>
    <n v="16.52"/>
    <n v="4"/>
    <n v="0"/>
    <n v="7.5991999999999997"/>
  </r>
  <r>
    <s v="Second Class"/>
    <x v="0"/>
    <s v="United States"/>
    <s v="Fairfield"/>
    <x v="29"/>
    <n v="6824"/>
    <x v="3"/>
    <x v="2"/>
    <x v="7"/>
    <n v="832.93"/>
    <n v="7"/>
    <n v="0"/>
    <n v="233.22040000000001"/>
  </r>
  <r>
    <s v="Second Class"/>
    <x v="0"/>
    <s v="United States"/>
    <s v="Fairfield"/>
    <x v="29"/>
    <n v="6824"/>
    <x v="3"/>
    <x v="1"/>
    <x v="8"/>
    <n v="43.8"/>
    <n v="10"/>
    <n v="0"/>
    <n v="21.024000000000001"/>
  </r>
  <r>
    <s v="First Class"/>
    <x v="1"/>
    <s v="United States"/>
    <s v="Lincoln Park"/>
    <x v="12"/>
    <n v="48146"/>
    <x v="2"/>
    <x v="1"/>
    <x v="9"/>
    <n v="167.292"/>
    <n v="6"/>
    <n v="0.1"/>
    <n v="29.7408"/>
  </r>
  <r>
    <s v="Standard Class"/>
    <x v="0"/>
    <s v="United States"/>
    <s v="New York City"/>
    <x v="15"/>
    <n v="10035"/>
    <x v="3"/>
    <x v="0"/>
    <x v="5"/>
    <n v="27.42"/>
    <n v="1"/>
    <n v="0"/>
    <n v="11.2422"/>
  </r>
  <r>
    <s v="First Class"/>
    <x v="0"/>
    <s v="United States"/>
    <s v="San Jose"/>
    <x v="1"/>
    <n v="95123"/>
    <x v="1"/>
    <x v="1"/>
    <x v="8"/>
    <n v="1.44"/>
    <n v="1"/>
    <n v="0.2"/>
    <n v="0.504"/>
  </r>
  <r>
    <s v="First Class"/>
    <x v="0"/>
    <s v="United States"/>
    <s v="San Jose"/>
    <x v="1"/>
    <n v="95123"/>
    <x v="1"/>
    <x v="1"/>
    <x v="8"/>
    <n v="61.776000000000003"/>
    <n v="13"/>
    <n v="0.2"/>
    <n v="20.849399999999999"/>
  </r>
  <r>
    <s v="First Class"/>
    <x v="0"/>
    <s v="United States"/>
    <s v="San Jose"/>
    <x v="1"/>
    <n v="95123"/>
    <x v="1"/>
    <x v="1"/>
    <x v="9"/>
    <n v="241.96"/>
    <n v="2"/>
    <n v="0"/>
    <n v="60.49"/>
  </r>
  <r>
    <s v="First Class"/>
    <x v="0"/>
    <s v="United States"/>
    <s v="San Jose"/>
    <x v="1"/>
    <n v="95123"/>
    <x v="1"/>
    <x v="0"/>
    <x v="1"/>
    <n v="108.608"/>
    <n v="4"/>
    <n v="0.2"/>
    <n v="9.5031999999999996"/>
  </r>
  <r>
    <s v="Standard Class"/>
    <x v="1"/>
    <s v="United States"/>
    <s v="Jacksonville"/>
    <x v="2"/>
    <n v="32216"/>
    <x v="0"/>
    <x v="1"/>
    <x v="6"/>
    <n v="2.8159999999999998"/>
    <n v="2"/>
    <n v="0.2"/>
    <n v="0.98560000000000003"/>
  </r>
  <r>
    <s v="Standard Class"/>
    <x v="1"/>
    <s v="United States"/>
    <s v="San Francisco"/>
    <x v="1"/>
    <n v="94110"/>
    <x v="1"/>
    <x v="1"/>
    <x v="8"/>
    <n v="9.984"/>
    <n v="4"/>
    <n v="0.2"/>
    <n v="3.6192000000000002"/>
  </r>
  <r>
    <s v="Standard Class"/>
    <x v="1"/>
    <s v="United States"/>
    <s v="San Francisco"/>
    <x v="1"/>
    <n v="94110"/>
    <x v="1"/>
    <x v="1"/>
    <x v="4"/>
    <n v="14.98"/>
    <n v="1"/>
    <n v="0"/>
    <n v="4.1943999999999999"/>
  </r>
  <r>
    <s v="Standard Class"/>
    <x v="1"/>
    <s v="United States"/>
    <s v="San Francisco"/>
    <x v="1"/>
    <n v="94110"/>
    <x v="1"/>
    <x v="2"/>
    <x v="7"/>
    <n v="1145.5999999999999"/>
    <n v="4"/>
    <n v="0.2"/>
    <n v="100.24"/>
  </r>
  <r>
    <s v="Same Day"/>
    <x v="0"/>
    <s v="United States"/>
    <s v="Marion"/>
    <x v="24"/>
    <n v="43302"/>
    <x v="3"/>
    <x v="2"/>
    <x v="7"/>
    <n v="485.94"/>
    <n v="2"/>
    <n v="0.4"/>
    <n v="-89.088999999999999"/>
  </r>
  <r>
    <s v="Same Day"/>
    <x v="0"/>
    <s v="United States"/>
    <s v="Marion"/>
    <x v="24"/>
    <n v="43302"/>
    <x v="3"/>
    <x v="1"/>
    <x v="6"/>
    <n v="37.375999999999998"/>
    <n v="8"/>
    <n v="0.2"/>
    <n v="4.6719999999999997"/>
  </r>
  <r>
    <s v="Same Day"/>
    <x v="0"/>
    <s v="United States"/>
    <s v="Marion"/>
    <x v="24"/>
    <n v="43302"/>
    <x v="3"/>
    <x v="0"/>
    <x v="1"/>
    <n v="70.686000000000007"/>
    <n v="1"/>
    <n v="0.3"/>
    <n v="-24.235199999999999"/>
  </r>
  <r>
    <s v="Standard Class"/>
    <x v="1"/>
    <s v="United States"/>
    <s v="Philadelphia"/>
    <x v="9"/>
    <n v="19134"/>
    <x v="3"/>
    <x v="1"/>
    <x v="10"/>
    <n v="54.816000000000003"/>
    <n v="3"/>
    <n v="0.2"/>
    <n v="17.815200000000001"/>
  </r>
  <r>
    <s v="Second Class"/>
    <x v="0"/>
    <s v="United States"/>
    <s v="Littleton"/>
    <x v="22"/>
    <n v="80122"/>
    <x v="1"/>
    <x v="0"/>
    <x v="0"/>
    <n v="72.293999999999997"/>
    <n v="1"/>
    <n v="0.7"/>
    <n v="-98.8018"/>
  </r>
  <r>
    <s v="Standard Class"/>
    <x v="1"/>
    <s v="United States"/>
    <s v="Austin"/>
    <x v="5"/>
    <n v="78745"/>
    <x v="2"/>
    <x v="1"/>
    <x v="13"/>
    <n v="2.8959999999999999"/>
    <n v="2"/>
    <n v="0.2"/>
    <n v="0.47060000000000002"/>
  </r>
  <r>
    <s v="Standard Class"/>
    <x v="1"/>
    <s v="United States"/>
    <s v="Austin"/>
    <x v="5"/>
    <n v="78745"/>
    <x v="2"/>
    <x v="2"/>
    <x v="7"/>
    <n v="124.792"/>
    <n v="1"/>
    <n v="0.2"/>
    <n v="15.599"/>
  </r>
  <r>
    <s v="Standard Class"/>
    <x v="0"/>
    <s v="United States"/>
    <s v="New York City"/>
    <x v="15"/>
    <n v="10024"/>
    <x v="3"/>
    <x v="0"/>
    <x v="3"/>
    <n v="330.58800000000002"/>
    <n v="1"/>
    <n v="0.4"/>
    <n v="-115.7058"/>
  </r>
  <r>
    <s v="Standard Class"/>
    <x v="0"/>
    <s v="United States"/>
    <s v="San Francisco"/>
    <x v="1"/>
    <n v="94122"/>
    <x v="1"/>
    <x v="1"/>
    <x v="8"/>
    <n v="673.56799999999998"/>
    <n v="2"/>
    <n v="0.2"/>
    <n v="252.58799999999999"/>
  </r>
  <r>
    <s v="Standard Class"/>
    <x v="0"/>
    <s v="United States"/>
    <s v="San Francisco"/>
    <x v="1"/>
    <n v="94122"/>
    <x v="1"/>
    <x v="1"/>
    <x v="9"/>
    <n v="52.98"/>
    <n v="2"/>
    <n v="0"/>
    <n v="14.8344"/>
  </r>
  <r>
    <s v="Standard Class"/>
    <x v="0"/>
    <s v="United States"/>
    <s v="La Porte"/>
    <x v="14"/>
    <n v="46350"/>
    <x v="2"/>
    <x v="0"/>
    <x v="5"/>
    <n v="526.45000000000005"/>
    <n v="5"/>
    <n v="0"/>
    <n v="31.587"/>
  </r>
  <r>
    <s v="Standard Class"/>
    <x v="0"/>
    <s v="United States"/>
    <s v="Chicago"/>
    <x v="10"/>
    <n v="60610"/>
    <x v="2"/>
    <x v="1"/>
    <x v="4"/>
    <n v="228.92"/>
    <n v="5"/>
    <n v="0.2"/>
    <n v="14.307499999999999"/>
  </r>
  <r>
    <s v="Second Class"/>
    <x v="0"/>
    <s v="United States"/>
    <s v="Portland"/>
    <x v="21"/>
    <n v="97206"/>
    <x v="1"/>
    <x v="2"/>
    <x v="7"/>
    <n v="319.96800000000002"/>
    <n v="4"/>
    <n v="0.2"/>
    <n v="35.996400000000001"/>
  </r>
  <r>
    <s v="Standard Class"/>
    <x v="1"/>
    <s v="United States"/>
    <s v="Burlington"/>
    <x v="42"/>
    <n v="5408"/>
    <x v="3"/>
    <x v="2"/>
    <x v="11"/>
    <n v="205.03"/>
    <n v="7"/>
    <n v="0"/>
    <n v="67.659899999999993"/>
  </r>
  <r>
    <s v="Second Class"/>
    <x v="0"/>
    <s v="United States"/>
    <s v="Indianapolis"/>
    <x v="14"/>
    <n v="46203"/>
    <x v="2"/>
    <x v="1"/>
    <x v="4"/>
    <n v="190.86"/>
    <n v="2"/>
    <n v="0"/>
    <n v="11.451599999999999"/>
  </r>
  <r>
    <s v="Second Class"/>
    <x v="0"/>
    <s v="United States"/>
    <s v="Indianapolis"/>
    <x v="14"/>
    <n v="46203"/>
    <x v="2"/>
    <x v="1"/>
    <x v="6"/>
    <n v="24.32"/>
    <n v="8"/>
    <n v="0"/>
    <n v="8.2688000000000006"/>
  </r>
  <r>
    <s v="Standard Class"/>
    <x v="2"/>
    <s v="United States"/>
    <s v="Provo"/>
    <x v="7"/>
    <n v="84604"/>
    <x v="1"/>
    <x v="1"/>
    <x v="14"/>
    <n v="44.4"/>
    <n v="5"/>
    <n v="0"/>
    <n v="12.432"/>
  </r>
  <r>
    <s v="Standard Class"/>
    <x v="2"/>
    <s v="United States"/>
    <s v="Chicago"/>
    <x v="10"/>
    <n v="60610"/>
    <x v="2"/>
    <x v="0"/>
    <x v="5"/>
    <n v="44.4"/>
    <n v="2"/>
    <n v="0.6"/>
    <n v="-52.17"/>
  </r>
  <r>
    <s v="Second Class"/>
    <x v="0"/>
    <s v="United States"/>
    <s v="Los Angeles"/>
    <x v="1"/>
    <n v="90049"/>
    <x v="1"/>
    <x v="1"/>
    <x v="8"/>
    <n v="1016.792"/>
    <n v="1"/>
    <n v="0.2"/>
    <n v="381.29700000000003"/>
  </r>
  <r>
    <s v="Second Class"/>
    <x v="0"/>
    <s v="United States"/>
    <s v="Los Angeles"/>
    <x v="1"/>
    <n v="90049"/>
    <x v="1"/>
    <x v="1"/>
    <x v="8"/>
    <n v="38.136000000000003"/>
    <n v="7"/>
    <n v="0.2"/>
    <n v="13.3476"/>
  </r>
  <r>
    <s v="Standard Class"/>
    <x v="0"/>
    <s v="United States"/>
    <s v="Philadelphia"/>
    <x v="9"/>
    <n v="19134"/>
    <x v="3"/>
    <x v="2"/>
    <x v="7"/>
    <n v="494.98200000000003"/>
    <n v="3"/>
    <n v="0.4"/>
    <n v="-115.4958"/>
  </r>
  <r>
    <s v="Standard Class"/>
    <x v="2"/>
    <s v="United States"/>
    <s v="Pasadena"/>
    <x v="1"/>
    <n v="91104"/>
    <x v="1"/>
    <x v="1"/>
    <x v="4"/>
    <n v="56.56"/>
    <n v="2"/>
    <n v="0"/>
    <n v="15.2712"/>
  </r>
  <r>
    <s v="Standard Class"/>
    <x v="2"/>
    <s v="United States"/>
    <s v="Pasadena"/>
    <x v="1"/>
    <n v="91104"/>
    <x v="1"/>
    <x v="1"/>
    <x v="6"/>
    <n v="5.56"/>
    <n v="2"/>
    <n v="0"/>
    <n v="1.4456"/>
  </r>
  <r>
    <s v="Standard Class"/>
    <x v="2"/>
    <s v="United States"/>
    <s v="Pasadena"/>
    <x v="1"/>
    <n v="91104"/>
    <x v="1"/>
    <x v="1"/>
    <x v="13"/>
    <n v="9.02"/>
    <n v="2"/>
    <n v="0"/>
    <n v="3.5177999999999998"/>
  </r>
  <r>
    <s v="Standard Class"/>
    <x v="2"/>
    <s v="United States"/>
    <s v="Pasadena"/>
    <x v="1"/>
    <n v="91104"/>
    <x v="1"/>
    <x v="1"/>
    <x v="9"/>
    <n v="8.6199999999999992"/>
    <n v="1"/>
    <n v="0"/>
    <n v="2.2412000000000001"/>
  </r>
  <r>
    <s v="Standard Class"/>
    <x v="2"/>
    <s v="United States"/>
    <s v="Pasadena"/>
    <x v="1"/>
    <n v="91104"/>
    <x v="1"/>
    <x v="2"/>
    <x v="7"/>
    <n v="659.976"/>
    <n v="3"/>
    <n v="0.2"/>
    <n v="49.498199999999997"/>
  </r>
  <r>
    <s v="Second Class"/>
    <x v="0"/>
    <s v="United States"/>
    <s v="Los Angeles"/>
    <x v="1"/>
    <n v="90004"/>
    <x v="1"/>
    <x v="1"/>
    <x v="10"/>
    <n v="13.36"/>
    <n v="2"/>
    <n v="0"/>
    <n v="6.4127999999999998"/>
  </r>
  <r>
    <s v="Second Class"/>
    <x v="0"/>
    <s v="United States"/>
    <s v="Los Angeles"/>
    <x v="1"/>
    <n v="90004"/>
    <x v="1"/>
    <x v="1"/>
    <x v="8"/>
    <n v="41.72"/>
    <n v="5"/>
    <n v="0.2"/>
    <n v="13.0375"/>
  </r>
  <r>
    <s v="Second Class"/>
    <x v="0"/>
    <s v="United States"/>
    <s v="Los Angeles"/>
    <x v="1"/>
    <n v="90004"/>
    <x v="1"/>
    <x v="1"/>
    <x v="8"/>
    <n v="11.52"/>
    <n v="5"/>
    <n v="0.2"/>
    <n v="4.1760000000000002"/>
  </r>
  <r>
    <s v="Second Class"/>
    <x v="0"/>
    <s v="United States"/>
    <s v="Los Angeles"/>
    <x v="1"/>
    <n v="90004"/>
    <x v="1"/>
    <x v="1"/>
    <x v="9"/>
    <n v="541.44000000000005"/>
    <n v="6"/>
    <n v="0"/>
    <n v="157.01759999999999"/>
  </r>
  <r>
    <s v="Second Class"/>
    <x v="0"/>
    <s v="United States"/>
    <s v="Los Angeles"/>
    <x v="1"/>
    <n v="90004"/>
    <x v="1"/>
    <x v="1"/>
    <x v="10"/>
    <n v="19.440000000000001"/>
    <n v="3"/>
    <n v="0"/>
    <n v="9.3312000000000008"/>
  </r>
  <r>
    <s v="Second Class"/>
    <x v="2"/>
    <s v="United States"/>
    <s v="San Diego"/>
    <x v="1"/>
    <n v="92105"/>
    <x v="1"/>
    <x v="1"/>
    <x v="10"/>
    <n v="143.69999999999999"/>
    <n v="3"/>
    <n v="0"/>
    <n v="68.975999999999999"/>
  </r>
  <r>
    <s v="First Class"/>
    <x v="1"/>
    <s v="United States"/>
    <s v="San Francisco"/>
    <x v="1"/>
    <n v="94110"/>
    <x v="1"/>
    <x v="1"/>
    <x v="9"/>
    <n v="43.26"/>
    <n v="3"/>
    <n v="0"/>
    <n v="14.2758"/>
  </r>
  <r>
    <s v="First Class"/>
    <x v="1"/>
    <s v="United States"/>
    <s v="San Francisco"/>
    <x v="1"/>
    <n v="94110"/>
    <x v="1"/>
    <x v="1"/>
    <x v="9"/>
    <n v="43.56"/>
    <n v="2"/>
    <n v="0"/>
    <n v="15.246"/>
  </r>
  <r>
    <s v="Standard Class"/>
    <x v="1"/>
    <s v="United States"/>
    <s v="Bangor"/>
    <x v="43"/>
    <n v="4401"/>
    <x v="3"/>
    <x v="2"/>
    <x v="7"/>
    <n v="437.85"/>
    <n v="3"/>
    <n v="0"/>
    <n v="131.35499999999999"/>
  </r>
  <r>
    <s v="Standard Class"/>
    <x v="1"/>
    <s v="United States"/>
    <s v="Bangor"/>
    <x v="43"/>
    <n v="4401"/>
    <x v="3"/>
    <x v="0"/>
    <x v="5"/>
    <n v="109.48"/>
    <n v="2"/>
    <n v="0"/>
    <n v="33.938800000000001"/>
  </r>
  <r>
    <s v="First Class"/>
    <x v="0"/>
    <s v="United States"/>
    <s v="San Francisco"/>
    <x v="1"/>
    <n v="94122"/>
    <x v="1"/>
    <x v="0"/>
    <x v="1"/>
    <n v="1212.96"/>
    <n v="7"/>
    <n v="0.2"/>
    <n v="90.971999999999994"/>
  </r>
  <r>
    <s v="First Class"/>
    <x v="0"/>
    <s v="United States"/>
    <s v="San Francisco"/>
    <x v="1"/>
    <n v="94122"/>
    <x v="1"/>
    <x v="1"/>
    <x v="10"/>
    <n v="18.54"/>
    <n v="2"/>
    <n v="0"/>
    <n v="8.7138000000000009"/>
  </r>
  <r>
    <s v="Second Class"/>
    <x v="2"/>
    <s v="United States"/>
    <s v="San Diego"/>
    <x v="1"/>
    <n v="92024"/>
    <x v="1"/>
    <x v="1"/>
    <x v="13"/>
    <n v="5"/>
    <n v="1"/>
    <n v="0"/>
    <n v="2.4"/>
  </r>
  <r>
    <s v="Second Class"/>
    <x v="2"/>
    <s v="United States"/>
    <s v="San Diego"/>
    <x v="1"/>
    <n v="92024"/>
    <x v="1"/>
    <x v="2"/>
    <x v="11"/>
    <n v="371.97"/>
    <n v="3"/>
    <n v="0"/>
    <n v="66.954599999999999"/>
  </r>
  <r>
    <s v="Same Day"/>
    <x v="0"/>
    <s v="United States"/>
    <s v="New York City"/>
    <x v="15"/>
    <n v="10035"/>
    <x v="3"/>
    <x v="2"/>
    <x v="11"/>
    <n v="166.24"/>
    <n v="1"/>
    <n v="0"/>
    <n v="24.936"/>
  </r>
  <r>
    <s v="First Class"/>
    <x v="0"/>
    <s v="United States"/>
    <s v="Arlington"/>
    <x v="17"/>
    <n v="22204"/>
    <x v="0"/>
    <x v="0"/>
    <x v="0"/>
    <n v="359.97"/>
    <n v="3"/>
    <n v="0"/>
    <n v="79.193399999999997"/>
  </r>
  <r>
    <s v="Second Class"/>
    <x v="0"/>
    <s v="United States"/>
    <s v="Atlanta"/>
    <x v="32"/>
    <n v="30318"/>
    <x v="0"/>
    <x v="2"/>
    <x v="11"/>
    <n v="499.98"/>
    <n v="2"/>
    <n v="0"/>
    <n v="114.9954"/>
  </r>
  <r>
    <s v="Second Class"/>
    <x v="0"/>
    <s v="United States"/>
    <s v="Atlanta"/>
    <x v="32"/>
    <n v="30318"/>
    <x v="0"/>
    <x v="1"/>
    <x v="10"/>
    <n v="5.28"/>
    <n v="1"/>
    <n v="0"/>
    <n v="2.3759999999999999"/>
  </r>
  <r>
    <s v="Second Class"/>
    <x v="0"/>
    <s v="United States"/>
    <s v="Atlanta"/>
    <x v="32"/>
    <n v="30318"/>
    <x v="0"/>
    <x v="1"/>
    <x v="8"/>
    <n v="8.26"/>
    <n v="2"/>
    <n v="0"/>
    <n v="3.8822000000000001"/>
  </r>
  <r>
    <s v="Same Day"/>
    <x v="2"/>
    <s v="United States"/>
    <s v="Monroe"/>
    <x v="3"/>
    <n v="28110"/>
    <x v="0"/>
    <x v="1"/>
    <x v="10"/>
    <n v="7.968"/>
    <n v="2"/>
    <n v="0.2"/>
    <n v="2.6892"/>
  </r>
  <r>
    <s v="Same Day"/>
    <x v="0"/>
    <s v="United States"/>
    <s v="Seattle"/>
    <x v="4"/>
    <n v="98115"/>
    <x v="1"/>
    <x v="1"/>
    <x v="10"/>
    <n v="12.96"/>
    <n v="2"/>
    <n v="0"/>
    <n v="6.3503999999999996"/>
  </r>
  <r>
    <s v="Standard Class"/>
    <x v="1"/>
    <s v="United States"/>
    <s v="Rochester"/>
    <x v="15"/>
    <n v="14609"/>
    <x v="3"/>
    <x v="1"/>
    <x v="10"/>
    <n v="6.48"/>
    <n v="1"/>
    <n v="0"/>
    <n v="3.1103999999999998"/>
  </r>
  <r>
    <s v="Standard Class"/>
    <x v="1"/>
    <s v="United States"/>
    <s v="Rochester"/>
    <x v="15"/>
    <n v="14609"/>
    <x v="3"/>
    <x v="1"/>
    <x v="8"/>
    <n v="6.984"/>
    <n v="1"/>
    <n v="0.2"/>
    <n v="2.3571"/>
  </r>
  <r>
    <s v="Standard Class"/>
    <x v="1"/>
    <s v="United States"/>
    <s v="Miami"/>
    <x v="2"/>
    <n v="33180"/>
    <x v="0"/>
    <x v="1"/>
    <x v="6"/>
    <n v="47.96"/>
    <n v="5"/>
    <n v="0.2"/>
    <n v="4.1965000000000003"/>
  </r>
  <r>
    <s v="Standard Class"/>
    <x v="0"/>
    <s v="United States"/>
    <s v="Seattle"/>
    <x v="4"/>
    <n v="98105"/>
    <x v="1"/>
    <x v="1"/>
    <x v="4"/>
    <n v="199.74"/>
    <n v="6"/>
    <n v="0"/>
    <n v="47.937600000000003"/>
  </r>
  <r>
    <s v="Standard Class"/>
    <x v="0"/>
    <s v="United States"/>
    <s v="San Francisco"/>
    <x v="1"/>
    <n v="94122"/>
    <x v="1"/>
    <x v="0"/>
    <x v="5"/>
    <n v="435.26"/>
    <n v="7"/>
    <n v="0"/>
    <n v="95.757199999999997"/>
  </r>
  <r>
    <s v="Standard Class"/>
    <x v="0"/>
    <s v="United States"/>
    <s v="San Francisco"/>
    <x v="1"/>
    <n v="94122"/>
    <x v="1"/>
    <x v="2"/>
    <x v="16"/>
    <n v="1119.9839999999999"/>
    <n v="2"/>
    <n v="0.2"/>
    <n v="377.99459999999999"/>
  </r>
  <r>
    <s v="Second Class"/>
    <x v="1"/>
    <s v="United States"/>
    <s v="Los Angeles"/>
    <x v="1"/>
    <n v="90036"/>
    <x v="1"/>
    <x v="0"/>
    <x v="3"/>
    <n v="143.43199999999999"/>
    <n v="1"/>
    <n v="0.2"/>
    <n v="3.5857999999999999"/>
  </r>
  <r>
    <s v="Second Class"/>
    <x v="1"/>
    <s v="United States"/>
    <s v="Los Angeles"/>
    <x v="1"/>
    <n v="90036"/>
    <x v="1"/>
    <x v="0"/>
    <x v="1"/>
    <n v="122.352"/>
    <n v="3"/>
    <n v="0.2"/>
    <n v="13.7646"/>
  </r>
  <r>
    <s v="Standard Class"/>
    <x v="0"/>
    <s v="United States"/>
    <s v="Southaven"/>
    <x v="35"/>
    <n v="38671"/>
    <x v="0"/>
    <x v="1"/>
    <x v="4"/>
    <n v="306.2"/>
    <n v="5"/>
    <n v="0"/>
    <n v="0"/>
  </r>
  <r>
    <s v="Standard Class"/>
    <x v="0"/>
    <s v="United States"/>
    <s v="Southaven"/>
    <x v="35"/>
    <n v="38671"/>
    <x v="0"/>
    <x v="0"/>
    <x v="3"/>
    <n v="85.98"/>
    <n v="1"/>
    <n v="0"/>
    <n v="22.354800000000001"/>
  </r>
  <r>
    <s v="Standard Class"/>
    <x v="0"/>
    <s v="United States"/>
    <s v="Southaven"/>
    <x v="35"/>
    <n v="38671"/>
    <x v="0"/>
    <x v="2"/>
    <x v="11"/>
    <n v="223.96"/>
    <n v="4"/>
    <n v="0"/>
    <n v="53.750399999999999"/>
  </r>
  <r>
    <s v="First Class"/>
    <x v="0"/>
    <s v="United States"/>
    <s v="Seattle"/>
    <x v="4"/>
    <n v="98115"/>
    <x v="1"/>
    <x v="0"/>
    <x v="1"/>
    <n v="97.567999999999998"/>
    <n v="2"/>
    <n v="0.2"/>
    <n v="-6.0979999999999999"/>
  </r>
  <r>
    <s v="First Class"/>
    <x v="0"/>
    <s v="United States"/>
    <s v="Seattle"/>
    <x v="4"/>
    <n v="98115"/>
    <x v="1"/>
    <x v="0"/>
    <x v="1"/>
    <n v="614.27200000000005"/>
    <n v="8"/>
    <n v="0.2"/>
    <n v="-23.0352"/>
  </r>
  <r>
    <s v="First Class"/>
    <x v="0"/>
    <s v="United States"/>
    <s v="Seattle"/>
    <x v="4"/>
    <n v="98115"/>
    <x v="1"/>
    <x v="0"/>
    <x v="0"/>
    <n v="199.98"/>
    <n v="2"/>
    <n v="0"/>
    <n v="37.996200000000002"/>
  </r>
  <r>
    <s v="First Class"/>
    <x v="1"/>
    <s v="United States"/>
    <s v="Middletown"/>
    <x v="29"/>
    <n v="6457"/>
    <x v="3"/>
    <x v="1"/>
    <x v="10"/>
    <n v="48.16"/>
    <n v="7"/>
    <n v="0"/>
    <n v="22.153600000000001"/>
  </r>
  <r>
    <s v="Standard Class"/>
    <x v="0"/>
    <s v="United States"/>
    <s v="New Castle"/>
    <x v="14"/>
    <n v="47362"/>
    <x v="2"/>
    <x v="2"/>
    <x v="7"/>
    <n v="23.92"/>
    <n v="2"/>
    <n v="0"/>
    <n v="6.6976000000000004"/>
  </r>
  <r>
    <s v="Standard Class"/>
    <x v="0"/>
    <s v="United States"/>
    <s v="New Castle"/>
    <x v="14"/>
    <n v="47362"/>
    <x v="2"/>
    <x v="1"/>
    <x v="9"/>
    <n v="60.69"/>
    <n v="7"/>
    <n v="0"/>
    <n v="16.386299999999999"/>
  </r>
  <r>
    <s v="First Class"/>
    <x v="1"/>
    <s v="United States"/>
    <s v="Murfreesboro"/>
    <x v="18"/>
    <n v="37130"/>
    <x v="0"/>
    <x v="1"/>
    <x v="10"/>
    <n v="14.352"/>
    <n v="3"/>
    <n v="0.2"/>
    <n v="5.2026000000000003"/>
  </r>
  <r>
    <s v="Standard Class"/>
    <x v="0"/>
    <s v="United States"/>
    <s v="Salem"/>
    <x v="17"/>
    <n v="24153"/>
    <x v="0"/>
    <x v="1"/>
    <x v="9"/>
    <n v="35.04"/>
    <n v="2"/>
    <n v="0"/>
    <n v="12.263999999999999"/>
  </r>
  <r>
    <s v="Second Class"/>
    <x v="1"/>
    <s v="United States"/>
    <s v="Toledo"/>
    <x v="24"/>
    <n v="43615"/>
    <x v="3"/>
    <x v="1"/>
    <x v="9"/>
    <n v="17.48"/>
    <n v="5"/>
    <n v="0.2"/>
    <n v="1.3109999999999999"/>
  </r>
  <r>
    <s v="First Class"/>
    <x v="0"/>
    <s v="United States"/>
    <s v="Los Angeles"/>
    <x v="1"/>
    <n v="90032"/>
    <x v="1"/>
    <x v="1"/>
    <x v="6"/>
    <n v="16.399999999999999"/>
    <n v="5"/>
    <n v="0"/>
    <n v="4.7560000000000002"/>
  </r>
  <r>
    <s v="First Class"/>
    <x v="1"/>
    <s v="United States"/>
    <s v="Seattle"/>
    <x v="4"/>
    <n v="98115"/>
    <x v="1"/>
    <x v="0"/>
    <x v="3"/>
    <n v="892.98"/>
    <n v="2"/>
    <n v="0"/>
    <n v="80.368200000000002"/>
  </r>
  <r>
    <s v="Standard Class"/>
    <x v="1"/>
    <s v="United States"/>
    <s v="Columbus"/>
    <x v="32"/>
    <n v="31907"/>
    <x v="0"/>
    <x v="2"/>
    <x v="7"/>
    <n v="287.97000000000003"/>
    <n v="3"/>
    <n v="0"/>
    <n v="77.751900000000006"/>
  </r>
  <r>
    <s v="Standard Class"/>
    <x v="1"/>
    <s v="United States"/>
    <s v="Columbus"/>
    <x v="32"/>
    <n v="31907"/>
    <x v="0"/>
    <x v="0"/>
    <x v="5"/>
    <n v="595.38"/>
    <n v="6"/>
    <n v="0"/>
    <n v="297.69"/>
  </r>
  <r>
    <s v="Standard Class"/>
    <x v="1"/>
    <s v="United States"/>
    <s v="Columbus"/>
    <x v="32"/>
    <n v="31907"/>
    <x v="0"/>
    <x v="1"/>
    <x v="10"/>
    <n v="12.96"/>
    <n v="2"/>
    <n v="0"/>
    <n v="6.2207999999999997"/>
  </r>
  <r>
    <s v="Standard Class"/>
    <x v="1"/>
    <s v="United States"/>
    <s v="New York City"/>
    <x v="15"/>
    <n v="10009"/>
    <x v="3"/>
    <x v="2"/>
    <x v="7"/>
    <n v="4.95"/>
    <n v="1"/>
    <n v="0"/>
    <n v="1.3365"/>
  </r>
  <r>
    <s v="Standard Class"/>
    <x v="1"/>
    <s v="United States"/>
    <s v="Middletown"/>
    <x v="29"/>
    <n v="6457"/>
    <x v="3"/>
    <x v="0"/>
    <x v="5"/>
    <n v="181.95"/>
    <n v="3"/>
    <n v="0"/>
    <n v="38.209499999999998"/>
  </r>
  <r>
    <s v="Standard Class"/>
    <x v="0"/>
    <s v="United States"/>
    <s v="New York City"/>
    <x v="15"/>
    <n v="10011"/>
    <x v="3"/>
    <x v="1"/>
    <x v="10"/>
    <n v="13.52"/>
    <n v="4"/>
    <n v="0"/>
    <n v="6.2191999999999998"/>
  </r>
  <r>
    <s v="Standard Class"/>
    <x v="0"/>
    <s v="United States"/>
    <s v="New York City"/>
    <x v="15"/>
    <n v="10011"/>
    <x v="3"/>
    <x v="0"/>
    <x v="5"/>
    <n v="259.7"/>
    <n v="5"/>
    <n v="0"/>
    <n v="106.477"/>
  </r>
  <r>
    <s v="Standard Class"/>
    <x v="0"/>
    <s v="United States"/>
    <s v="New York City"/>
    <x v="15"/>
    <n v="10011"/>
    <x v="3"/>
    <x v="2"/>
    <x v="7"/>
    <n v="42.95"/>
    <n v="1"/>
    <n v="0"/>
    <n v="1.2885"/>
  </r>
  <r>
    <s v="Standard Class"/>
    <x v="0"/>
    <s v="United States"/>
    <s v="New York City"/>
    <x v="15"/>
    <n v="10011"/>
    <x v="3"/>
    <x v="2"/>
    <x v="11"/>
    <n v="1399.93"/>
    <n v="7"/>
    <n v="0"/>
    <n v="601.96990000000005"/>
  </r>
  <r>
    <s v="Standard Class"/>
    <x v="0"/>
    <s v="United States"/>
    <s v="New York City"/>
    <x v="15"/>
    <n v="10011"/>
    <x v="3"/>
    <x v="2"/>
    <x v="7"/>
    <n v="503.96"/>
    <n v="4"/>
    <n v="0"/>
    <n v="125.99"/>
  </r>
  <r>
    <s v="Standard Class"/>
    <x v="0"/>
    <s v="United States"/>
    <s v="Midland"/>
    <x v="12"/>
    <n v="48640"/>
    <x v="2"/>
    <x v="1"/>
    <x v="8"/>
    <n v="12.72"/>
    <n v="3"/>
    <n v="0"/>
    <n v="6.36"/>
  </r>
  <r>
    <s v="Standard Class"/>
    <x v="0"/>
    <s v="United States"/>
    <s v="Midland"/>
    <x v="12"/>
    <n v="48640"/>
    <x v="2"/>
    <x v="1"/>
    <x v="8"/>
    <n v="11.52"/>
    <n v="4"/>
    <n v="0"/>
    <n v="5.6448"/>
  </r>
  <r>
    <s v="Standard Class"/>
    <x v="1"/>
    <s v="United States"/>
    <s v="Columbus"/>
    <x v="32"/>
    <n v="31907"/>
    <x v="0"/>
    <x v="2"/>
    <x v="11"/>
    <n v="316"/>
    <n v="4"/>
    <n v="0"/>
    <n v="31.6"/>
  </r>
  <r>
    <s v="Second Class"/>
    <x v="2"/>
    <s v="United States"/>
    <s v="Roswell"/>
    <x v="32"/>
    <n v="30076"/>
    <x v="0"/>
    <x v="0"/>
    <x v="1"/>
    <n v="723.92"/>
    <n v="4"/>
    <n v="0"/>
    <n v="188.2192"/>
  </r>
  <r>
    <s v="Second Class"/>
    <x v="2"/>
    <s v="United States"/>
    <s v="Roswell"/>
    <x v="32"/>
    <n v="30076"/>
    <x v="0"/>
    <x v="1"/>
    <x v="10"/>
    <n v="106.32"/>
    <n v="3"/>
    <n v="0"/>
    <n v="49.970399999999998"/>
  </r>
  <r>
    <s v="First Class"/>
    <x v="1"/>
    <s v="United States"/>
    <s v="Chicago"/>
    <x v="10"/>
    <n v="60623"/>
    <x v="2"/>
    <x v="0"/>
    <x v="0"/>
    <n v="141.37200000000001"/>
    <n v="2"/>
    <n v="0.3"/>
    <n v="-14.1372"/>
  </r>
  <r>
    <s v="First Class"/>
    <x v="1"/>
    <s v="United States"/>
    <s v="Houston"/>
    <x v="5"/>
    <n v="77041"/>
    <x v="2"/>
    <x v="1"/>
    <x v="10"/>
    <n v="27.216000000000001"/>
    <n v="3"/>
    <n v="0.2"/>
    <n v="9.8658000000000001"/>
  </r>
  <r>
    <s v="Standard Class"/>
    <x v="0"/>
    <s v="United States"/>
    <s v="New York City"/>
    <x v="15"/>
    <n v="10009"/>
    <x v="3"/>
    <x v="2"/>
    <x v="11"/>
    <n v="390.75"/>
    <n v="5"/>
    <n v="0"/>
    <n v="171.93"/>
  </r>
  <r>
    <s v="First Class"/>
    <x v="2"/>
    <s v="United States"/>
    <s v="Peoria"/>
    <x v="16"/>
    <n v="85345"/>
    <x v="1"/>
    <x v="0"/>
    <x v="1"/>
    <n v="280.79199999999997"/>
    <n v="1"/>
    <n v="0.2"/>
    <n v="35.098999999999997"/>
  </r>
  <r>
    <s v="First Class"/>
    <x v="2"/>
    <s v="United States"/>
    <s v="Peoria"/>
    <x v="16"/>
    <n v="85345"/>
    <x v="1"/>
    <x v="1"/>
    <x v="4"/>
    <n v="68.447999999999993"/>
    <n v="4"/>
    <n v="0.2"/>
    <n v="7.7004000000000001"/>
  </r>
  <r>
    <s v="First Class"/>
    <x v="2"/>
    <s v="United States"/>
    <s v="Peoria"/>
    <x v="16"/>
    <n v="85345"/>
    <x v="1"/>
    <x v="1"/>
    <x v="6"/>
    <n v="88.04"/>
    <n v="5"/>
    <n v="0.2"/>
    <n v="6.6029999999999998"/>
  </r>
  <r>
    <s v="First Class"/>
    <x v="2"/>
    <s v="United States"/>
    <s v="Peoria"/>
    <x v="16"/>
    <n v="85345"/>
    <x v="1"/>
    <x v="1"/>
    <x v="6"/>
    <n v="15.872"/>
    <n v="1"/>
    <n v="0.2"/>
    <n v="1.984"/>
  </r>
  <r>
    <s v="First Class"/>
    <x v="2"/>
    <s v="United States"/>
    <s v="Peoria"/>
    <x v="16"/>
    <n v="85345"/>
    <x v="1"/>
    <x v="1"/>
    <x v="4"/>
    <n v="215.59200000000001"/>
    <n v="3"/>
    <n v="0.2"/>
    <n v="-48.508200000000002"/>
  </r>
  <r>
    <s v="Standard Class"/>
    <x v="1"/>
    <s v="United States"/>
    <s v="Sioux Falls"/>
    <x v="44"/>
    <n v="57103"/>
    <x v="2"/>
    <x v="1"/>
    <x v="2"/>
    <n v="14.62"/>
    <n v="2"/>
    <n v="0"/>
    <n v="6.8714000000000004"/>
  </r>
  <r>
    <s v="Standard Class"/>
    <x v="1"/>
    <s v="United States"/>
    <s v="Sioux Falls"/>
    <x v="44"/>
    <n v="57103"/>
    <x v="2"/>
    <x v="1"/>
    <x v="9"/>
    <n v="416.32"/>
    <n v="2"/>
    <n v="0"/>
    <n v="112.4064"/>
  </r>
  <r>
    <s v="Standard Class"/>
    <x v="1"/>
    <s v="United States"/>
    <s v="Sioux Falls"/>
    <x v="44"/>
    <n v="57103"/>
    <x v="2"/>
    <x v="1"/>
    <x v="8"/>
    <n v="43"/>
    <n v="5"/>
    <n v="0"/>
    <n v="20.21"/>
  </r>
  <r>
    <s v="Standard Class"/>
    <x v="1"/>
    <s v="United States"/>
    <s v="Sioux Falls"/>
    <x v="44"/>
    <n v="57103"/>
    <x v="2"/>
    <x v="0"/>
    <x v="1"/>
    <n v="182.94"/>
    <n v="3"/>
    <n v="0"/>
    <n v="27.440999999999999"/>
  </r>
  <r>
    <s v="Standard Class"/>
    <x v="1"/>
    <s v="United States"/>
    <s v="Sioux Falls"/>
    <x v="44"/>
    <n v="57103"/>
    <x v="2"/>
    <x v="1"/>
    <x v="8"/>
    <n v="60.83"/>
    <n v="7"/>
    <n v="0"/>
    <n v="30.414999999999999"/>
  </r>
  <r>
    <s v="Standard Class"/>
    <x v="1"/>
    <s v="United States"/>
    <s v="Sioux Falls"/>
    <x v="44"/>
    <n v="57103"/>
    <x v="2"/>
    <x v="2"/>
    <x v="11"/>
    <n v="389.97"/>
    <n v="3"/>
    <n v="0"/>
    <n v="132.5898"/>
  </r>
  <r>
    <s v="First Class"/>
    <x v="0"/>
    <s v="United States"/>
    <s v="Richmond"/>
    <x v="17"/>
    <n v="23223"/>
    <x v="0"/>
    <x v="1"/>
    <x v="9"/>
    <n v="194.32"/>
    <n v="4"/>
    <n v="0"/>
    <n v="56.352800000000002"/>
  </r>
  <r>
    <s v="Standard Class"/>
    <x v="1"/>
    <s v="United States"/>
    <s v="Seattle"/>
    <x v="4"/>
    <n v="98115"/>
    <x v="1"/>
    <x v="2"/>
    <x v="11"/>
    <n v="265.93"/>
    <n v="7"/>
    <n v="0"/>
    <n v="63.8232"/>
  </r>
  <r>
    <s v="Second Class"/>
    <x v="1"/>
    <s v="United States"/>
    <s v="Henderson"/>
    <x v="0"/>
    <n v="42420"/>
    <x v="0"/>
    <x v="1"/>
    <x v="8"/>
    <n v="94.74"/>
    <n v="3"/>
    <n v="0"/>
    <n v="44.527799999999999"/>
  </r>
  <r>
    <s v="Second Class"/>
    <x v="1"/>
    <s v="United States"/>
    <s v="Henderson"/>
    <x v="0"/>
    <n v="42420"/>
    <x v="0"/>
    <x v="1"/>
    <x v="8"/>
    <n v="60.64"/>
    <n v="4"/>
    <n v="0"/>
    <n v="27.894400000000001"/>
  </r>
  <r>
    <s v="Second Class"/>
    <x v="1"/>
    <s v="United States"/>
    <s v="Henderson"/>
    <x v="0"/>
    <n v="42420"/>
    <x v="0"/>
    <x v="1"/>
    <x v="8"/>
    <n v="76.3"/>
    <n v="5"/>
    <n v="0"/>
    <n v="38.15"/>
  </r>
  <r>
    <s v="Second Class"/>
    <x v="1"/>
    <s v="United States"/>
    <s v="Henderson"/>
    <x v="0"/>
    <n v="42420"/>
    <x v="0"/>
    <x v="1"/>
    <x v="8"/>
    <n v="364.8"/>
    <n v="12"/>
    <n v="0"/>
    <n v="167.80799999999999"/>
  </r>
  <r>
    <s v="Second Class"/>
    <x v="1"/>
    <s v="United States"/>
    <s v="New York City"/>
    <x v="15"/>
    <n v="10035"/>
    <x v="3"/>
    <x v="1"/>
    <x v="8"/>
    <n v="79.872"/>
    <n v="3"/>
    <n v="0.2"/>
    <n v="29.952000000000002"/>
  </r>
  <r>
    <s v="Second Class"/>
    <x v="1"/>
    <s v="United States"/>
    <s v="New York City"/>
    <x v="15"/>
    <n v="10035"/>
    <x v="3"/>
    <x v="0"/>
    <x v="0"/>
    <n v="46.384"/>
    <n v="1"/>
    <n v="0.2"/>
    <n v="1.1596"/>
  </r>
  <r>
    <s v="Second Class"/>
    <x v="1"/>
    <s v="United States"/>
    <s v="New York City"/>
    <x v="15"/>
    <n v="10035"/>
    <x v="3"/>
    <x v="1"/>
    <x v="10"/>
    <n v="12.96"/>
    <n v="2"/>
    <n v="0"/>
    <n v="6.2207999999999997"/>
  </r>
  <r>
    <s v="First Class"/>
    <x v="2"/>
    <s v="United States"/>
    <s v="Fort Collins"/>
    <x v="22"/>
    <n v="80525"/>
    <x v="1"/>
    <x v="1"/>
    <x v="12"/>
    <n v="14.352"/>
    <n v="3"/>
    <n v="0.2"/>
    <n v="5.2026000000000003"/>
  </r>
  <r>
    <s v="Standard Class"/>
    <x v="1"/>
    <s v="United States"/>
    <s v="Philadelphia"/>
    <x v="9"/>
    <n v="19140"/>
    <x v="3"/>
    <x v="0"/>
    <x v="5"/>
    <n v="547.13599999999997"/>
    <n v="4"/>
    <n v="0.2"/>
    <n v="-68.391999999999996"/>
  </r>
  <r>
    <s v="Second Class"/>
    <x v="1"/>
    <s v="United States"/>
    <s v="Los Angeles"/>
    <x v="1"/>
    <n v="90004"/>
    <x v="1"/>
    <x v="1"/>
    <x v="4"/>
    <n v="41.96"/>
    <n v="2"/>
    <n v="0"/>
    <n v="2.9371999999999998"/>
  </r>
  <r>
    <s v="Second Class"/>
    <x v="1"/>
    <s v="United States"/>
    <s v="Los Angeles"/>
    <x v="1"/>
    <n v="90004"/>
    <x v="1"/>
    <x v="1"/>
    <x v="10"/>
    <n v="41.7"/>
    <n v="5"/>
    <n v="0"/>
    <n v="20.85"/>
  </r>
  <r>
    <s v="Standard Class"/>
    <x v="0"/>
    <s v="United States"/>
    <s v="Lafayette"/>
    <x v="14"/>
    <n v="47905"/>
    <x v="2"/>
    <x v="1"/>
    <x v="10"/>
    <n v="277.39999999999998"/>
    <n v="5"/>
    <n v="0"/>
    <n v="133.15199999999999"/>
  </r>
  <r>
    <s v="Standard Class"/>
    <x v="0"/>
    <s v="United States"/>
    <s v="Lafayette"/>
    <x v="14"/>
    <n v="47905"/>
    <x v="2"/>
    <x v="1"/>
    <x v="10"/>
    <n v="5.78"/>
    <n v="1"/>
    <n v="0"/>
    <n v="2.8321999999999998"/>
  </r>
  <r>
    <s v="Standard Class"/>
    <x v="0"/>
    <s v="United States"/>
    <s v="Clarksville"/>
    <x v="18"/>
    <n v="37042"/>
    <x v="0"/>
    <x v="1"/>
    <x v="9"/>
    <n v="69.215999999999994"/>
    <n v="6"/>
    <n v="0.2"/>
    <n v="11.2476"/>
  </r>
  <r>
    <s v="Same Day"/>
    <x v="0"/>
    <s v="United States"/>
    <s v="Fairfield"/>
    <x v="29"/>
    <n v="6824"/>
    <x v="3"/>
    <x v="1"/>
    <x v="12"/>
    <n v="10.86"/>
    <n v="3"/>
    <n v="0"/>
    <n v="5.1041999999999996"/>
  </r>
  <r>
    <s v="Same Day"/>
    <x v="0"/>
    <s v="United States"/>
    <s v="Fairfield"/>
    <x v="29"/>
    <n v="6824"/>
    <x v="3"/>
    <x v="1"/>
    <x v="9"/>
    <n v="426.79"/>
    <n v="7"/>
    <n v="0"/>
    <n v="123.76909999999999"/>
  </r>
  <r>
    <s v="Same Day"/>
    <x v="0"/>
    <s v="United States"/>
    <s v="New York City"/>
    <x v="15"/>
    <n v="10009"/>
    <x v="3"/>
    <x v="1"/>
    <x v="10"/>
    <n v="25.92"/>
    <n v="4"/>
    <n v="0"/>
    <n v="12.441599999999999"/>
  </r>
  <r>
    <s v="Same Day"/>
    <x v="0"/>
    <s v="United States"/>
    <s v="New York City"/>
    <x v="15"/>
    <n v="10009"/>
    <x v="3"/>
    <x v="1"/>
    <x v="10"/>
    <n v="45.92"/>
    <n v="4"/>
    <n v="0"/>
    <n v="22.500800000000002"/>
  </r>
  <r>
    <s v="Standard Class"/>
    <x v="0"/>
    <s v="United States"/>
    <s v="Columbus"/>
    <x v="24"/>
    <n v="43229"/>
    <x v="3"/>
    <x v="1"/>
    <x v="6"/>
    <n v="10.72"/>
    <n v="2"/>
    <n v="0.2"/>
    <n v="1.742"/>
  </r>
  <r>
    <s v="Standard Class"/>
    <x v="0"/>
    <s v="United States"/>
    <s v="Warner Robins"/>
    <x v="32"/>
    <n v="31088"/>
    <x v="0"/>
    <x v="1"/>
    <x v="6"/>
    <n v="41.86"/>
    <n v="7"/>
    <n v="0"/>
    <n v="10.465"/>
  </r>
  <r>
    <s v="First Class"/>
    <x v="2"/>
    <s v="United States"/>
    <s v="Franklin"/>
    <x v="31"/>
    <n v="2038"/>
    <x v="3"/>
    <x v="0"/>
    <x v="5"/>
    <n v="63.2"/>
    <n v="5"/>
    <n v="0"/>
    <n v="23.384"/>
  </r>
  <r>
    <s v="First Class"/>
    <x v="2"/>
    <s v="United States"/>
    <s v="Franklin"/>
    <x v="31"/>
    <n v="2038"/>
    <x v="3"/>
    <x v="2"/>
    <x v="11"/>
    <n v="113.97"/>
    <n v="3"/>
    <n v="0"/>
    <n v="27.352799999999998"/>
  </r>
  <r>
    <s v="Second Class"/>
    <x v="0"/>
    <s v="United States"/>
    <s v="Chicago"/>
    <x v="10"/>
    <n v="60623"/>
    <x v="2"/>
    <x v="1"/>
    <x v="4"/>
    <n v="123.55200000000001"/>
    <n v="3"/>
    <n v="0.2"/>
    <n v="-29.343599999999999"/>
  </r>
  <r>
    <s v="Standard Class"/>
    <x v="2"/>
    <s v="United States"/>
    <s v="Milwaukee"/>
    <x v="6"/>
    <n v="53209"/>
    <x v="2"/>
    <x v="1"/>
    <x v="9"/>
    <n v="490.32"/>
    <n v="9"/>
    <n v="0"/>
    <n v="137.28960000000001"/>
  </r>
  <r>
    <s v="Standard Class"/>
    <x v="0"/>
    <s v="United States"/>
    <s v="San Antonio"/>
    <x v="5"/>
    <n v="78207"/>
    <x v="2"/>
    <x v="1"/>
    <x v="10"/>
    <n v="70.08"/>
    <n v="5"/>
    <n v="0.2"/>
    <n v="24.527999999999999"/>
  </r>
  <r>
    <s v="Standard Class"/>
    <x v="0"/>
    <s v="United States"/>
    <s v="San Antonio"/>
    <x v="5"/>
    <n v="78207"/>
    <x v="2"/>
    <x v="1"/>
    <x v="8"/>
    <n v="1.272"/>
    <n v="2"/>
    <n v="0.8"/>
    <n v="-2.1623999999999999"/>
  </r>
  <r>
    <s v="Standard Class"/>
    <x v="0"/>
    <s v="United States"/>
    <s v="San Antonio"/>
    <x v="5"/>
    <n v="78207"/>
    <x v="2"/>
    <x v="0"/>
    <x v="3"/>
    <n v="557.58500000000004"/>
    <n v="5"/>
    <n v="0.3"/>
    <n v="0"/>
  </r>
  <r>
    <s v="Same Day"/>
    <x v="1"/>
    <s v="United States"/>
    <s v="Los Angeles"/>
    <x v="1"/>
    <n v="90032"/>
    <x v="1"/>
    <x v="1"/>
    <x v="8"/>
    <n v="9.0239999999999991"/>
    <n v="6"/>
    <n v="0.2"/>
    <n v="3.1583999999999999"/>
  </r>
  <r>
    <s v="Same Day"/>
    <x v="1"/>
    <s v="United States"/>
    <s v="Los Angeles"/>
    <x v="1"/>
    <n v="90032"/>
    <x v="1"/>
    <x v="1"/>
    <x v="8"/>
    <n v="69.456000000000003"/>
    <n v="2"/>
    <n v="0.2"/>
    <n v="22.5732"/>
  </r>
  <r>
    <s v="Same Day"/>
    <x v="1"/>
    <s v="United States"/>
    <s v="Los Angeles"/>
    <x v="1"/>
    <n v="90032"/>
    <x v="1"/>
    <x v="1"/>
    <x v="10"/>
    <n v="10.86"/>
    <n v="2"/>
    <n v="0"/>
    <n v="5.3213999999999997"/>
  </r>
  <r>
    <s v="Same Day"/>
    <x v="1"/>
    <s v="United States"/>
    <s v="Los Angeles"/>
    <x v="1"/>
    <n v="90032"/>
    <x v="1"/>
    <x v="1"/>
    <x v="9"/>
    <n v="79.47"/>
    <n v="3"/>
    <n v="0"/>
    <n v="22.2516"/>
  </r>
  <r>
    <s v="Same Day"/>
    <x v="1"/>
    <s v="United States"/>
    <s v="Los Angeles"/>
    <x v="1"/>
    <n v="90032"/>
    <x v="1"/>
    <x v="1"/>
    <x v="6"/>
    <n v="10.08"/>
    <n v="6"/>
    <n v="0"/>
    <n v="5.04"/>
  </r>
  <r>
    <s v="First Class"/>
    <x v="1"/>
    <s v="United States"/>
    <s v="San Francisco"/>
    <x v="1"/>
    <n v="94122"/>
    <x v="1"/>
    <x v="0"/>
    <x v="0"/>
    <n v="1552.8309999999999"/>
    <n v="7"/>
    <n v="0.15"/>
    <n v="200.9546"/>
  </r>
  <r>
    <s v="First Class"/>
    <x v="1"/>
    <s v="United States"/>
    <s v="San Francisco"/>
    <x v="1"/>
    <n v="94122"/>
    <x v="1"/>
    <x v="1"/>
    <x v="8"/>
    <n v="137.24"/>
    <n v="5"/>
    <n v="0.2"/>
    <n v="46.3185"/>
  </r>
  <r>
    <s v="First Class"/>
    <x v="1"/>
    <s v="United States"/>
    <s v="San Francisco"/>
    <x v="1"/>
    <n v="94122"/>
    <x v="1"/>
    <x v="2"/>
    <x v="11"/>
    <n v="36.51"/>
    <n v="1"/>
    <n v="0"/>
    <n v="15.699299999999999"/>
  </r>
  <r>
    <s v="First Class"/>
    <x v="1"/>
    <s v="United States"/>
    <s v="San Francisco"/>
    <x v="1"/>
    <n v="94122"/>
    <x v="1"/>
    <x v="2"/>
    <x v="15"/>
    <n v="239.976"/>
    <n v="3"/>
    <n v="0.2"/>
    <n v="80.991900000000001"/>
  </r>
  <r>
    <s v="Standard Class"/>
    <x v="1"/>
    <s v="United States"/>
    <s v="New York City"/>
    <x v="15"/>
    <n v="10024"/>
    <x v="3"/>
    <x v="0"/>
    <x v="3"/>
    <n v="1579.7460000000001"/>
    <n v="7"/>
    <n v="0.4"/>
    <n v="-447.59469999999999"/>
  </r>
  <r>
    <s v="Standard Class"/>
    <x v="1"/>
    <s v="United States"/>
    <s v="New York City"/>
    <x v="15"/>
    <n v="10024"/>
    <x v="3"/>
    <x v="0"/>
    <x v="3"/>
    <n v="1071.576"/>
    <n v="4"/>
    <n v="0.4"/>
    <n v="-553.64760000000001"/>
  </r>
  <r>
    <s v="Standard Class"/>
    <x v="1"/>
    <s v="United States"/>
    <s v="New York City"/>
    <x v="15"/>
    <n v="10024"/>
    <x v="3"/>
    <x v="0"/>
    <x v="3"/>
    <n v="613.90800000000002"/>
    <n v="3"/>
    <n v="0.4"/>
    <n v="-122.7816"/>
  </r>
  <r>
    <s v="Standard Class"/>
    <x v="1"/>
    <s v="United States"/>
    <s v="New York City"/>
    <x v="15"/>
    <n v="10024"/>
    <x v="3"/>
    <x v="1"/>
    <x v="10"/>
    <n v="34.86"/>
    <n v="7"/>
    <n v="0"/>
    <n v="16.3842"/>
  </r>
  <r>
    <s v="Standard Class"/>
    <x v="1"/>
    <s v="United States"/>
    <s v="New York City"/>
    <x v="15"/>
    <n v="10024"/>
    <x v="3"/>
    <x v="1"/>
    <x v="10"/>
    <n v="155.04"/>
    <n v="4"/>
    <n v="0"/>
    <n v="75.9696"/>
  </r>
  <r>
    <s v="Standard Class"/>
    <x v="0"/>
    <s v="United States"/>
    <s v="Columbus"/>
    <x v="24"/>
    <n v="43229"/>
    <x v="3"/>
    <x v="1"/>
    <x v="8"/>
    <n v="13.71"/>
    <n v="5"/>
    <n v="0.7"/>
    <n v="-10.054"/>
  </r>
  <r>
    <s v="Standard Class"/>
    <x v="2"/>
    <s v="United States"/>
    <s v="Waynesboro"/>
    <x v="17"/>
    <n v="22980"/>
    <x v="0"/>
    <x v="0"/>
    <x v="5"/>
    <n v="127.88"/>
    <n v="2"/>
    <n v="0"/>
    <n v="40.921599999999998"/>
  </r>
  <r>
    <s v="Standard Class"/>
    <x v="2"/>
    <s v="United States"/>
    <s v="Waynesboro"/>
    <x v="17"/>
    <n v="22980"/>
    <x v="0"/>
    <x v="1"/>
    <x v="9"/>
    <n v="160.32"/>
    <n v="2"/>
    <n v="0"/>
    <n v="44.889600000000002"/>
  </r>
  <r>
    <s v="Standard Class"/>
    <x v="2"/>
    <s v="United States"/>
    <s v="Waynesboro"/>
    <x v="17"/>
    <n v="22980"/>
    <x v="0"/>
    <x v="1"/>
    <x v="8"/>
    <n v="46"/>
    <n v="4"/>
    <n v="0"/>
    <n v="20.7"/>
  </r>
  <r>
    <s v="Second Class"/>
    <x v="0"/>
    <s v="United States"/>
    <s v="Sacramento"/>
    <x v="1"/>
    <n v="95823"/>
    <x v="1"/>
    <x v="0"/>
    <x v="1"/>
    <n v="120.712"/>
    <n v="1"/>
    <n v="0.2"/>
    <n v="-18.1068"/>
  </r>
  <r>
    <s v="First Class"/>
    <x v="0"/>
    <s v="United States"/>
    <s v="Clinton"/>
    <x v="39"/>
    <n v="20735"/>
    <x v="3"/>
    <x v="1"/>
    <x v="10"/>
    <n v="23.12"/>
    <n v="4"/>
    <n v="0"/>
    <n v="11.328799999999999"/>
  </r>
  <r>
    <s v="Standard Class"/>
    <x v="1"/>
    <s v="United States"/>
    <s v="Fairfield"/>
    <x v="24"/>
    <n v="45014"/>
    <x v="3"/>
    <x v="0"/>
    <x v="5"/>
    <n v="532.70399999999995"/>
    <n v="6"/>
    <n v="0.2"/>
    <n v="-26.635200000000001"/>
  </r>
  <r>
    <s v="Standard Class"/>
    <x v="1"/>
    <s v="United States"/>
    <s v="Fairfield"/>
    <x v="24"/>
    <n v="45014"/>
    <x v="3"/>
    <x v="1"/>
    <x v="6"/>
    <n v="4.9119999999999999"/>
    <n v="2"/>
    <n v="0.2"/>
    <n v="0.307"/>
  </r>
  <r>
    <s v="Second Class"/>
    <x v="1"/>
    <s v="United States"/>
    <s v="Warwick"/>
    <x v="34"/>
    <n v="2886"/>
    <x v="3"/>
    <x v="2"/>
    <x v="11"/>
    <n v="252"/>
    <n v="4"/>
    <n v="0"/>
    <n v="93.24"/>
  </r>
  <r>
    <s v="Second Class"/>
    <x v="1"/>
    <s v="United States"/>
    <s v="Aurora"/>
    <x v="10"/>
    <n v="60505"/>
    <x v="2"/>
    <x v="0"/>
    <x v="5"/>
    <n v="60.287999999999997"/>
    <n v="8"/>
    <n v="0.6"/>
    <n v="-27.1296"/>
  </r>
  <r>
    <s v="Second Class"/>
    <x v="1"/>
    <s v="United States"/>
    <s v="Aurora"/>
    <x v="10"/>
    <n v="60505"/>
    <x v="2"/>
    <x v="1"/>
    <x v="13"/>
    <n v="2.6320000000000001"/>
    <n v="1"/>
    <n v="0.2"/>
    <n v="0.82250000000000001"/>
  </r>
  <r>
    <s v="Second Class"/>
    <x v="1"/>
    <s v="United States"/>
    <s v="Aurora"/>
    <x v="10"/>
    <n v="60505"/>
    <x v="2"/>
    <x v="1"/>
    <x v="10"/>
    <n v="23.687999999999999"/>
    <n v="9"/>
    <n v="0.2"/>
    <n v="7.6985999999999999"/>
  </r>
  <r>
    <s v="Second Class"/>
    <x v="1"/>
    <s v="United States"/>
    <s v="Aurora"/>
    <x v="10"/>
    <n v="60505"/>
    <x v="2"/>
    <x v="0"/>
    <x v="1"/>
    <n v="253.37200000000001"/>
    <n v="2"/>
    <n v="0.3"/>
    <n v="-14.478400000000001"/>
  </r>
  <r>
    <s v="Standard Class"/>
    <x v="0"/>
    <s v="United States"/>
    <s v="Smyrna"/>
    <x v="32"/>
    <n v="30080"/>
    <x v="0"/>
    <x v="1"/>
    <x v="13"/>
    <n v="5.67"/>
    <n v="3"/>
    <n v="0"/>
    <n v="0.1134"/>
  </r>
  <r>
    <s v="Second Class"/>
    <x v="0"/>
    <s v="United States"/>
    <s v="Columbus"/>
    <x v="24"/>
    <n v="43229"/>
    <x v="3"/>
    <x v="1"/>
    <x v="8"/>
    <n v="76.775999999999996"/>
    <n v="4"/>
    <n v="0.7"/>
    <n v="-58.861600000000003"/>
  </r>
  <r>
    <s v="Second Class"/>
    <x v="0"/>
    <s v="United States"/>
    <s v="Columbus"/>
    <x v="24"/>
    <n v="43229"/>
    <x v="3"/>
    <x v="1"/>
    <x v="14"/>
    <n v="9.1839999999999993"/>
    <n v="2"/>
    <n v="0.2"/>
    <n v="1.1479999999999999"/>
  </r>
  <r>
    <s v="Standard Class"/>
    <x v="2"/>
    <s v="United States"/>
    <s v="Thousand Oaks"/>
    <x v="1"/>
    <n v="91360"/>
    <x v="1"/>
    <x v="1"/>
    <x v="10"/>
    <n v="32.75"/>
    <n v="5"/>
    <n v="0"/>
    <n v="15.065"/>
  </r>
  <r>
    <s v="Standard Class"/>
    <x v="2"/>
    <s v="United States"/>
    <s v="Lorain"/>
    <x v="24"/>
    <n v="44052"/>
    <x v="3"/>
    <x v="1"/>
    <x v="13"/>
    <n v="7.2160000000000002"/>
    <n v="2"/>
    <n v="0.2"/>
    <n v="1.7138"/>
  </r>
  <r>
    <s v="Standard Class"/>
    <x v="2"/>
    <s v="United States"/>
    <s v="Lorain"/>
    <x v="24"/>
    <n v="44052"/>
    <x v="3"/>
    <x v="1"/>
    <x v="10"/>
    <n v="49.567999999999998"/>
    <n v="2"/>
    <n v="0.2"/>
    <n v="15.49"/>
  </r>
  <r>
    <s v="Standard Class"/>
    <x v="2"/>
    <s v="United States"/>
    <s v="Lorain"/>
    <x v="24"/>
    <n v="44052"/>
    <x v="3"/>
    <x v="0"/>
    <x v="5"/>
    <n v="54.712000000000003"/>
    <n v="7"/>
    <n v="0.2"/>
    <n v="11.626300000000001"/>
  </r>
  <r>
    <s v="First Class"/>
    <x v="0"/>
    <s v="United States"/>
    <s v="Fresno"/>
    <x v="1"/>
    <n v="93727"/>
    <x v="1"/>
    <x v="1"/>
    <x v="9"/>
    <n v="176.04"/>
    <n v="4"/>
    <n v="0"/>
    <n v="45.770400000000002"/>
  </r>
  <r>
    <s v="First Class"/>
    <x v="0"/>
    <s v="United States"/>
    <s v="Fresno"/>
    <x v="1"/>
    <n v="93727"/>
    <x v="1"/>
    <x v="1"/>
    <x v="6"/>
    <n v="16.02"/>
    <n v="9"/>
    <n v="0"/>
    <n v="4.4855999999999998"/>
  </r>
  <r>
    <s v="First Class"/>
    <x v="0"/>
    <s v="United States"/>
    <s v="Fresno"/>
    <x v="1"/>
    <n v="93727"/>
    <x v="1"/>
    <x v="1"/>
    <x v="8"/>
    <n v="185.92"/>
    <n v="4"/>
    <n v="0.2"/>
    <n v="62.747999999999998"/>
  </r>
  <r>
    <s v="First Class"/>
    <x v="0"/>
    <s v="United States"/>
    <s v="Fresno"/>
    <x v="1"/>
    <n v="93727"/>
    <x v="1"/>
    <x v="2"/>
    <x v="7"/>
    <n v="211.16800000000001"/>
    <n v="4"/>
    <n v="0.2"/>
    <n v="15.8376"/>
  </r>
  <r>
    <s v="First Class"/>
    <x v="0"/>
    <s v="United States"/>
    <s v="Fresno"/>
    <x v="1"/>
    <n v="93727"/>
    <x v="1"/>
    <x v="2"/>
    <x v="16"/>
    <n v="479.98399999999998"/>
    <n v="2"/>
    <n v="0.2"/>
    <n v="59.997999999999998"/>
  </r>
  <r>
    <s v="First Class"/>
    <x v="0"/>
    <s v="United States"/>
    <s v="San Diego"/>
    <x v="1"/>
    <n v="92105"/>
    <x v="1"/>
    <x v="1"/>
    <x v="13"/>
    <n v="7.86"/>
    <n v="2"/>
    <n v="0"/>
    <n v="3.6156000000000001"/>
  </r>
  <r>
    <s v="First Class"/>
    <x v="0"/>
    <s v="United States"/>
    <s v="San Diego"/>
    <x v="1"/>
    <n v="92105"/>
    <x v="1"/>
    <x v="1"/>
    <x v="8"/>
    <n v="24.448"/>
    <n v="2"/>
    <n v="0.2"/>
    <n v="8.8623999999999992"/>
  </r>
  <r>
    <s v="Standard Class"/>
    <x v="0"/>
    <s v="United States"/>
    <s v="New York City"/>
    <x v="15"/>
    <n v="10009"/>
    <x v="3"/>
    <x v="1"/>
    <x v="10"/>
    <n v="6.48"/>
    <n v="1"/>
    <n v="0"/>
    <n v="3.1103999999999998"/>
  </r>
  <r>
    <s v="Standard Class"/>
    <x v="0"/>
    <s v="United States"/>
    <s v="New York City"/>
    <x v="15"/>
    <n v="10009"/>
    <x v="3"/>
    <x v="1"/>
    <x v="10"/>
    <n v="41.86"/>
    <n v="7"/>
    <n v="0"/>
    <n v="20.511399999999998"/>
  </r>
  <r>
    <s v="Standard Class"/>
    <x v="0"/>
    <s v="United States"/>
    <s v="New York City"/>
    <x v="15"/>
    <n v="10009"/>
    <x v="3"/>
    <x v="2"/>
    <x v="11"/>
    <n v="1619.91"/>
    <n v="9"/>
    <n v="0"/>
    <n v="97.194599999999994"/>
  </r>
  <r>
    <s v="Standard Class"/>
    <x v="0"/>
    <s v="United States"/>
    <s v="New York City"/>
    <x v="15"/>
    <n v="10009"/>
    <x v="3"/>
    <x v="0"/>
    <x v="5"/>
    <n v="113.92"/>
    <n v="4"/>
    <n v="0"/>
    <n v="42.150399999999998"/>
  </r>
  <r>
    <s v="Standard Class"/>
    <x v="0"/>
    <s v="United States"/>
    <s v="Malden"/>
    <x v="31"/>
    <n v="2148"/>
    <x v="3"/>
    <x v="1"/>
    <x v="6"/>
    <n v="39.68"/>
    <n v="2"/>
    <n v="0"/>
    <n v="10.316800000000001"/>
  </r>
  <r>
    <s v="Standard Class"/>
    <x v="1"/>
    <s v="United States"/>
    <s v="New York City"/>
    <x v="15"/>
    <n v="10035"/>
    <x v="3"/>
    <x v="2"/>
    <x v="11"/>
    <n v="37.6"/>
    <n v="2"/>
    <n v="0"/>
    <n v="2.2559999999999998"/>
  </r>
  <r>
    <s v="Standard Class"/>
    <x v="1"/>
    <s v="United States"/>
    <s v="New York City"/>
    <x v="15"/>
    <n v="10035"/>
    <x v="3"/>
    <x v="2"/>
    <x v="11"/>
    <n v="59.9"/>
    <n v="2"/>
    <n v="0"/>
    <n v="23.96"/>
  </r>
  <r>
    <s v="Standard Class"/>
    <x v="1"/>
    <s v="United States"/>
    <s v="New York City"/>
    <x v="15"/>
    <n v="10035"/>
    <x v="3"/>
    <x v="1"/>
    <x v="10"/>
    <n v="37"/>
    <n v="5"/>
    <n v="0"/>
    <n v="16.649999999999999"/>
  </r>
  <r>
    <s v="Second Class"/>
    <x v="0"/>
    <s v="United States"/>
    <s v="San Francisco"/>
    <x v="1"/>
    <n v="94109"/>
    <x v="1"/>
    <x v="1"/>
    <x v="2"/>
    <n v="5.76"/>
    <n v="2"/>
    <n v="0"/>
    <n v="2.8224"/>
  </r>
  <r>
    <s v="Second Class"/>
    <x v="0"/>
    <s v="United States"/>
    <s v="San Francisco"/>
    <x v="1"/>
    <n v="94109"/>
    <x v="1"/>
    <x v="1"/>
    <x v="6"/>
    <n v="16.68"/>
    <n v="6"/>
    <n v="0"/>
    <n v="4.3368000000000002"/>
  </r>
  <r>
    <s v="Standard Class"/>
    <x v="1"/>
    <s v="United States"/>
    <s v="Florence"/>
    <x v="20"/>
    <n v="29501"/>
    <x v="0"/>
    <x v="1"/>
    <x v="4"/>
    <n v="628.80999999999995"/>
    <n v="7"/>
    <n v="0"/>
    <n v="12.5762"/>
  </r>
  <r>
    <s v="Standard Class"/>
    <x v="1"/>
    <s v="United States"/>
    <s v="Florence"/>
    <x v="20"/>
    <n v="29501"/>
    <x v="0"/>
    <x v="1"/>
    <x v="4"/>
    <n v="56.45"/>
    <n v="5"/>
    <n v="0"/>
    <n v="14.677"/>
  </r>
  <r>
    <s v="Second Class"/>
    <x v="0"/>
    <s v="United States"/>
    <s v="Springfield"/>
    <x v="25"/>
    <n v="65807"/>
    <x v="2"/>
    <x v="1"/>
    <x v="4"/>
    <n v="94.2"/>
    <n v="6"/>
    <n v="0"/>
    <n v="23.55"/>
  </r>
  <r>
    <s v="Second Class"/>
    <x v="0"/>
    <s v="United States"/>
    <s v="Springfield"/>
    <x v="25"/>
    <n v="65807"/>
    <x v="2"/>
    <x v="1"/>
    <x v="12"/>
    <n v="28.4"/>
    <n v="5"/>
    <n v="0"/>
    <n v="13.348000000000001"/>
  </r>
  <r>
    <s v="Standard Class"/>
    <x v="1"/>
    <s v="United States"/>
    <s v="Huntsville"/>
    <x v="5"/>
    <n v="77340"/>
    <x v="2"/>
    <x v="0"/>
    <x v="0"/>
    <n v="956.66480000000001"/>
    <n v="7"/>
    <n v="0.32"/>
    <n v="-225.0976"/>
  </r>
  <r>
    <s v="Standard Class"/>
    <x v="0"/>
    <s v="United States"/>
    <s v="Los Angeles"/>
    <x v="1"/>
    <n v="90045"/>
    <x v="1"/>
    <x v="2"/>
    <x v="11"/>
    <n v="1115.9100000000001"/>
    <n v="9"/>
    <n v="0"/>
    <n v="200.8638"/>
  </r>
  <r>
    <s v="Standard Class"/>
    <x v="0"/>
    <s v="United States"/>
    <s v="Los Angeles"/>
    <x v="1"/>
    <n v="90045"/>
    <x v="1"/>
    <x v="2"/>
    <x v="7"/>
    <n v="128.744"/>
    <n v="7"/>
    <n v="0.2"/>
    <n v="-28.967400000000001"/>
  </r>
  <r>
    <s v="Standard Class"/>
    <x v="0"/>
    <s v="United States"/>
    <s v="Los Angeles"/>
    <x v="1"/>
    <n v="90045"/>
    <x v="1"/>
    <x v="2"/>
    <x v="7"/>
    <n v="79.92"/>
    <n v="10"/>
    <n v="0.2"/>
    <n v="26.972999999999999"/>
  </r>
  <r>
    <s v="Standard Class"/>
    <x v="0"/>
    <s v="United States"/>
    <s v="San Francisco"/>
    <x v="1"/>
    <n v="94122"/>
    <x v="1"/>
    <x v="1"/>
    <x v="6"/>
    <n v="24.2"/>
    <n v="5"/>
    <n v="0"/>
    <n v="7.9859999999999998"/>
  </r>
  <r>
    <s v="Standard Class"/>
    <x v="0"/>
    <s v="United States"/>
    <s v="San Francisco"/>
    <x v="1"/>
    <n v="94122"/>
    <x v="1"/>
    <x v="2"/>
    <x v="7"/>
    <n v="359.976"/>
    <n v="3"/>
    <n v="0.2"/>
    <n v="130.4913"/>
  </r>
  <r>
    <s v="First Class"/>
    <x v="2"/>
    <s v="United States"/>
    <s v="San Francisco"/>
    <x v="1"/>
    <n v="94122"/>
    <x v="1"/>
    <x v="0"/>
    <x v="5"/>
    <n v="211.84"/>
    <n v="8"/>
    <n v="0"/>
    <n v="76.2624"/>
  </r>
  <r>
    <s v="Standard Class"/>
    <x v="2"/>
    <s v="United States"/>
    <s v="Philadelphia"/>
    <x v="9"/>
    <n v="19120"/>
    <x v="3"/>
    <x v="1"/>
    <x v="13"/>
    <n v="5.68"/>
    <n v="2"/>
    <n v="0.2"/>
    <n v="1.917"/>
  </r>
  <r>
    <s v="Second Class"/>
    <x v="1"/>
    <s v="United States"/>
    <s v="Los Angeles"/>
    <x v="1"/>
    <n v="90036"/>
    <x v="1"/>
    <x v="1"/>
    <x v="8"/>
    <n v="7.52"/>
    <n v="5"/>
    <n v="0.2"/>
    <n v="2.6320000000000001"/>
  </r>
  <r>
    <s v="Standard Class"/>
    <x v="0"/>
    <s v="United States"/>
    <s v="Los Angeles"/>
    <x v="1"/>
    <n v="90045"/>
    <x v="1"/>
    <x v="1"/>
    <x v="10"/>
    <n v="11.96"/>
    <n v="2"/>
    <n v="0"/>
    <n v="5.8604000000000003"/>
  </r>
  <r>
    <s v="Standard Class"/>
    <x v="0"/>
    <s v="United States"/>
    <s v="Los Angeles"/>
    <x v="1"/>
    <n v="90045"/>
    <x v="1"/>
    <x v="0"/>
    <x v="3"/>
    <n v="629.06399999999996"/>
    <n v="3"/>
    <n v="0.2"/>
    <n v="31.453199999999999"/>
  </r>
  <r>
    <s v="Standard Class"/>
    <x v="0"/>
    <s v="United States"/>
    <s v="Milwaukee"/>
    <x v="6"/>
    <n v="53209"/>
    <x v="2"/>
    <x v="0"/>
    <x v="1"/>
    <n v="754.45"/>
    <n v="5"/>
    <n v="0"/>
    <n v="60.356000000000002"/>
  </r>
  <r>
    <s v="Standard Class"/>
    <x v="2"/>
    <s v="United States"/>
    <s v="Holyoke"/>
    <x v="31"/>
    <n v="1040"/>
    <x v="3"/>
    <x v="0"/>
    <x v="0"/>
    <n v="301.95999999999998"/>
    <n v="2"/>
    <n v="0"/>
    <n v="60.392000000000003"/>
  </r>
  <r>
    <s v="Standard Class"/>
    <x v="1"/>
    <s v="United States"/>
    <s v="Albuquerque"/>
    <x v="27"/>
    <n v="87105"/>
    <x v="1"/>
    <x v="2"/>
    <x v="11"/>
    <n v="595"/>
    <n v="5"/>
    <n v="0"/>
    <n v="95.2"/>
  </r>
  <r>
    <s v="Standard Class"/>
    <x v="1"/>
    <s v="United States"/>
    <s v="Albuquerque"/>
    <x v="27"/>
    <n v="87105"/>
    <x v="1"/>
    <x v="1"/>
    <x v="8"/>
    <n v="79.872"/>
    <n v="3"/>
    <n v="0.2"/>
    <n v="29.952000000000002"/>
  </r>
  <r>
    <s v="Standard Class"/>
    <x v="1"/>
    <s v="United States"/>
    <s v="Sparks"/>
    <x v="33"/>
    <n v="89431"/>
    <x v="1"/>
    <x v="2"/>
    <x v="15"/>
    <n v="2396.4"/>
    <n v="10"/>
    <n v="0.2"/>
    <n v="179.73"/>
  </r>
  <r>
    <s v="Standard Class"/>
    <x v="1"/>
    <s v="United States"/>
    <s v="Coachella"/>
    <x v="1"/>
    <n v="92236"/>
    <x v="1"/>
    <x v="1"/>
    <x v="4"/>
    <n v="63.56"/>
    <n v="2"/>
    <n v="0"/>
    <n v="3.1779999999999999"/>
  </r>
  <r>
    <s v="Standard Class"/>
    <x v="1"/>
    <s v="United States"/>
    <s v="Coachella"/>
    <x v="1"/>
    <n v="92236"/>
    <x v="1"/>
    <x v="2"/>
    <x v="11"/>
    <n v="99.99"/>
    <n v="1"/>
    <n v="0"/>
    <n v="43.995600000000003"/>
  </r>
  <r>
    <s v="Standard Class"/>
    <x v="2"/>
    <s v="United States"/>
    <s v="Elmhurst"/>
    <x v="10"/>
    <n v="60126"/>
    <x v="2"/>
    <x v="1"/>
    <x v="4"/>
    <n v="230.376"/>
    <n v="3"/>
    <n v="0.2"/>
    <n v="-48.954900000000002"/>
  </r>
  <r>
    <s v="Standard Class"/>
    <x v="2"/>
    <s v="United States"/>
    <s v="Elmhurst"/>
    <x v="10"/>
    <n v="60126"/>
    <x v="2"/>
    <x v="1"/>
    <x v="10"/>
    <n v="9.6639999999999997"/>
    <n v="2"/>
    <n v="0.2"/>
    <n v="3.2616000000000001"/>
  </r>
  <r>
    <s v="Standard Class"/>
    <x v="0"/>
    <s v="United States"/>
    <s v="Fairfield"/>
    <x v="24"/>
    <n v="45014"/>
    <x v="3"/>
    <x v="2"/>
    <x v="11"/>
    <n v="158.928"/>
    <n v="7"/>
    <n v="0.2"/>
    <n v="41.718600000000002"/>
  </r>
  <r>
    <s v="Standard Class"/>
    <x v="0"/>
    <s v="United States"/>
    <s v="Fairfield"/>
    <x v="24"/>
    <n v="45014"/>
    <x v="3"/>
    <x v="1"/>
    <x v="8"/>
    <n v="13.023"/>
    <n v="1"/>
    <n v="0.7"/>
    <n v="-10.4184"/>
  </r>
  <r>
    <s v="Standard Class"/>
    <x v="0"/>
    <s v="United States"/>
    <s v="Fairfield"/>
    <x v="24"/>
    <n v="45014"/>
    <x v="3"/>
    <x v="0"/>
    <x v="3"/>
    <n v="273.06"/>
    <n v="2"/>
    <n v="0.4"/>
    <n v="-104.673"/>
  </r>
  <r>
    <s v="Standard Class"/>
    <x v="0"/>
    <s v="United States"/>
    <s v="Fairfield"/>
    <x v="24"/>
    <n v="45014"/>
    <x v="3"/>
    <x v="1"/>
    <x v="13"/>
    <n v="39.311999999999998"/>
    <n v="13"/>
    <n v="0.2"/>
    <n v="12.776400000000001"/>
  </r>
  <r>
    <s v="Standard Class"/>
    <x v="1"/>
    <s v="United States"/>
    <s v="Arlington"/>
    <x v="5"/>
    <n v="76017"/>
    <x v="2"/>
    <x v="1"/>
    <x v="8"/>
    <n v="1.3440000000000001"/>
    <n v="4"/>
    <n v="0.8"/>
    <n v="-2.1503999999999999"/>
  </r>
  <r>
    <s v="Standard Class"/>
    <x v="1"/>
    <s v="United States"/>
    <s v="Arlington"/>
    <x v="5"/>
    <n v="76017"/>
    <x v="2"/>
    <x v="1"/>
    <x v="8"/>
    <n v="8.2720000000000002"/>
    <n v="4"/>
    <n v="0.8"/>
    <n v="-13.6488"/>
  </r>
  <r>
    <s v="Standard Class"/>
    <x v="1"/>
    <s v="United States"/>
    <s v="Arlington"/>
    <x v="5"/>
    <n v="76017"/>
    <x v="2"/>
    <x v="0"/>
    <x v="5"/>
    <n v="12.544"/>
    <n v="7"/>
    <n v="0.6"/>
    <n v="-9.0944000000000003"/>
  </r>
  <r>
    <s v="Standard Class"/>
    <x v="2"/>
    <s v="United States"/>
    <s v="San Francisco"/>
    <x v="1"/>
    <n v="94110"/>
    <x v="1"/>
    <x v="1"/>
    <x v="2"/>
    <n v="58.48"/>
    <n v="8"/>
    <n v="0"/>
    <n v="27.485600000000002"/>
  </r>
  <r>
    <s v="Standard Class"/>
    <x v="1"/>
    <s v="United States"/>
    <s v="Seattle"/>
    <x v="4"/>
    <n v="98103"/>
    <x v="1"/>
    <x v="0"/>
    <x v="5"/>
    <n v="7.4"/>
    <n v="2"/>
    <n v="0"/>
    <n v="3.0339999999999998"/>
  </r>
  <r>
    <s v="Standard Class"/>
    <x v="0"/>
    <s v="United States"/>
    <s v="New York City"/>
    <x v="15"/>
    <n v="10009"/>
    <x v="3"/>
    <x v="0"/>
    <x v="1"/>
    <n v="366.786"/>
    <n v="7"/>
    <n v="0.1"/>
    <n v="65.206400000000002"/>
  </r>
  <r>
    <s v="Standard Class"/>
    <x v="0"/>
    <s v="United States"/>
    <s v="Houston"/>
    <x v="5"/>
    <n v="77070"/>
    <x v="2"/>
    <x v="2"/>
    <x v="7"/>
    <n v="54.368000000000002"/>
    <n v="4"/>
    <n v="0.2"/>
    <n v="4.0776000000000003"/>
  </r>
  <r>
    <s v="First Class"/>
    <x v="1"/>
    <s v="United States"/>
    <s v="Springfield"/>
    <x v="17"/>
    <n v="22153"/>
    <x v="0"/>
    <x v="1"/>
    <x v="12"/>
    <n v="33.96"/>
    <n v="2"/>
    <n v="0"/>
    <n v="16.98"/>
  </r>
  <r>
    <s v="First Class"/>
    <x v="1"/>
    <s v="United States"/>
    <s v="Springfield"/>
    <x v="17"/>
    <n v="22153"/>
    <x v="0"/>
    <x v="1"/>
    <x v="9"/>
    <n v="826.11"/>
    <n v="3"/>
    <n v="0"/>
    <n v="322.18290000000002"/>
  </r>
  <r>
    <s v="Standard Class"/>
    <x v="0"/>
    <s v="United States"/>
    <s v="Farmington"/>
    <x v="27"/>
    <n v="87401"/>
    <x v="1"/>
    <x v="0"/>
    <x v="5"/>
    <n v="545.85"/>
    <n v="9"/>
    <n v="0"/>
    <n v="114.6285"/>
  </r>
  <r>
    <s v="Second Class"/>
    <x v="0"/>
    <s v="United States"/>
    <s v="Louisville"/>
    <x v="22"/>
    <n v="80027"/>
    <x v="1"/>
    <x v="0"/>
    <x v="3"/>
    <n v="145.97999999999999"/>
    <n v="2"/>
    <n v="0.5"/>
    <n v="-99.266400000000004"/>
  </r>
  <r>
    <s v="Second Class"/>
    <x v="0"/>
    <s v="United States"/>
    <s v="Louisville"/>
    <x v="22"/>
    <n v="80027"/>
    <x v="1"/>
    <x v="1"/>
    <x v="10"/>
    <n v="35.808"/>
    <n v="4"/>
    <n v="0.2"/>
    <n v="12.5328"/>
  </r>
  <r>
    <s v="Standard Class"/>
    <x v="0"/>
    <s v="United States"/>
    <s v="Tampa"/>
    <x v="2"/>
    <n v="33614"/>
    <x v="0"/>
    <x v="0"/>
    <x v="5"/>
    <n v="7.9039999999999999"/>
    <n v="2"/>
    <n v="0.2"/>
    <n v="2.1736"/>
  </r>
  <r>
    <s v="Standard Class"/>
    <x v="0"/>
    <s v="United States"/>
    <s v="Passaic"/>
    <x v="30"/>
    <n v="7055"/>
    <x v="3"/>
    <x v="2"/>
    <x v="7"/>
    <n v="345"/>
    <n v="5"/>
    <n v="0"/>
    <n v="86.25"/>
  </r>
  <r>
    <s v="Standard Class"/>
    <x v="0"/>
    <s v="United States"/>
    <s v="Passaic"/>
    <x v="30"/>
    <n v="7055"/>
    <x v="3"/>
    <x v="0"/>
    <x v="3"/>
    <n v="174.286"/>
    <n v="2"/>
    <n v="0.3"/>
    <n v="-19.918399999999998"/>
  </r>
  <r>
    <s v="Standard Class"/>
    <x v="0"/>
    <s v="United States"/>
    <s v="Passaic"/>
    <x v="30"/>
    <n v="7055"/>
    <x v="3"/>
    <x v="1"/>
    <x v="9"/>
    <n v="662.84"/>
    <n v="4"/>
    <n v="0"/>
    <n v="172.33840000000001"/>
  </r>
  <r>
    <s v="Standard Class"/>
    <x v="0"/>
    <s v="United States"/>
    <s v="Passaic"/>
    <x v="30"/>
    <n v="7055"/>
    <x v="3"/>
    <x v="2"/>
    <x v="11"/>
    <n v="95.1"/>
    <n v="5"/>
    <n v="0"/>
    <n v="30.431999999999999"/>
  </r>
  <r>
    <s v="Standard Class"/>
    <x v="0"/>
    <s v="United States"/>
    <s v="Passaic"/>
    <x v="30"/>
    <n v="7055"/>
    <x v="3"/>
    <x v="1"/>
    <x v="12"/>
    <n v="26.88"/>
    <n v="6"/>
    <n v="0"/>
    <n v="12.9024"/>
  </r>
  <r>
    <s v="Standard Class"/>
    <x v="0"/>
    <s v="United States"/>
    <s v="Passaic"/>
    <x v="30"/>
    <n v="7055"/>
    <x v="3"/>
    <x v="2"/>
    <x v="7"/>
    <n v="257.98"/>
    <n v="2"/>
    <n v="0"/>
    <n v="74.8142"/>
  </r>
  <r>
    <s v="Standard Class"/>
    <x v="0"/>
    <s v="United States"/>
    <s v="Los Angeles"/>
    <x v="1"/>
    <n v="90004"/>
    <x v="1"/>
    <x v="1"/>
    <x v="12"/>
    <n v="17.48"/>
    <n v="2"/>
    <n v="0"/>
    <n v="8.2156000000000002"/>
  </r>
  <r>
    <s v="Standard Class"/>
    <x v="0"/>
    <s v="United States"/>
    <s v="Philadelphia"/>
    <x v="9"/>
    <n v="19143"/>
    <x v="3"/>
    <x v="0"/>
    <x v="1"/>
    <n v="492.83499999999998"/>
    <n v="5"/>
    <n v="0.3"/>
    <n v="-14.081"/>
  </r>
  <r>
    <s v="Second Class"/>
    <x v="0"/>
    <s v="United States"/>
    <s v="North Charleston"/>
    <x v="20"/>
    <n v="29406"/>
    <x v="0"/>
    <x v="1"/>
    <x v="4"/>
    <n v="269.49"/>
    <n v="3"/>
    <n v="0"/>
    <n v="5.3898000000000001"/>
  </r>
  <r>
    <s v="Standard Class"/>
    <x v="2"/>
    <s v="United States"/>
    <s v="San Jose"/>
    <x v="1"/>
    <n v="95123"/>
    <x v="1"/>
    <x v="1"/>
    <x v="8"/>
    <n v="29.12"/>
    <n v="5"/>
    <n v="0.2"/>
    <n v="9.8279999999999994"/>
  </r>
  <r>
    <s v="Second Class"/>
    <x v="0"/>
    <s v="United States"/>
    <s v="New York City"/>
    <x v="15"/>
    <n v="10011"/>
    <x v="3"/>
    <x v="1"/>
    <x v="2"/>
    <n v="18.75"/>
    <n v="5"/>
    <n v="0"/>
    <n v="9"/>
  </r>
  <r>
    <s v="Second Class"/>
    <x v="0"/>
    <s v="United States"/>
    <s v="New York City"/>
    <x v="15"/>
    <n v="10011"/>
    <x v="3"/>
    <x v="2"/>
    <x v="7"/>
    <n v="119.7"/>
    <n v="6"/>
    <n v="0"/>
    <n v="31.122"/>
  </r>
  <r>
    <s v="Second Class"/>
    <x v="0"/>
    <s v="United States"/>
    <s v="New York City"/>
    <x v="15"/>
    <n v="10011"/>
    <x v="3"/>
    <x v="1"/>
    <x v="8"/>
    <n v="9.1440000000000001"/>
    <n v="3"/>
    <n v="0.2"/>
    <n v="3.0861000000000001"/>
  </r>
  <r>
    <s v="Second Class"/>
    <x v="0"/>
    <s v="United States"/>
    <s v="New York City"/>
    <x v="15"/>
    <n v="10011"/>
    <x v="3"/>
    <x v="2"/>
    <x v="11"/>
    <n v="57.06"/>
    <n v="3"/>
    <n v="0"/>
    <n v="18.2592"/>
  </r>
  <r>
    <s v="Second Class"/>
    <x v="0"/>
    <s v="United States"/>
    <s v="New York City"/>
    <x v="15"/>
    <n v="10011"/>
    <x v="3"/>
    <x v="2"/>
    <x v="11"/>
    <n v="71.599999999999994"/>
    <n v="8"/>
    <n v="0"/>
    <n v="13.603999999999999"/>
  </r>
  <r>
    <s v="Second Class"/>
    <x v="0"/>
    <s v="United States"/>
    <s v="New York City"/>
    <x v="15"/>
    <n v="10011"/>
    <x v="3"/>
    <x v="1"/>
    <x v="4"/>
    <n v="107.44"/>
    <n v="8"/>
    <n v="0"/>
    <n v="27.9344"/>
  </r>
  <r>
    <s v="Second Class"/>
    <x v="0"/>
    <s v="United States"/>
    <s v="New York City"/>
    <x v="15"/>
    <n v="10011"/>
    <x v="3"/>
    <x v="1"/>
    <x v="2"/>
    <n v="7.31"/>
    <n v="1"/>
    <n v="0"/>
    <n v="3.4357000000000002"/>
  </r>
  <r>
    <s v="Second Class"/>
    <x v="0"/>
    <s v="United States"/>
    <s v="New York City"/>
    <x v="15"/>
    <n v="10011"/>
    <x v="3"/>
    <x v="1"/>
    <x v="6"/>
    <n v="59.1"/>
    <n v="6"/>
    <n v="0"/>
    <n v="22.457999999999998"/>
  </r>
  <r>
    <s v="Second Class"/>
    <x v="0"/>
    <s v="United States"/>
    <s v="New York City"/>
    <x v="15"/>
    <n v="10011"/>
    <x v="3"/>
    <x v="1"/>
    <x v="4"/>
    <n v="46.53"/>
    <n v="3"/>
    <n v="0"/>
    <n v="12.097799999999999"/>
  </r>
  <r>
    <s v="Standard Class"/>
    <x v="0"/>
    <s v="United States"/>
    <s v="Plainfield"/>
    <x v="30"/>
    <n v="7060"/>
    <x v="3"/>
    <x v="1"/>
    <x v="9"/>
    <n v="97.84"/>
    <n v="2"/>
    <n v="0"/>
    <n v="25.438400000000001"/>
  </r>
  <r>
    <s v="Second Class"/>
    <x v="0"/>
    <s v="United States"/>
    <s v="Seattle"/>
    <x v="4"/>
    <n v="98115"/>
    <x v="1"/>
    <x v="1"/>
    <x v="10"/>
    <n v="29.97"/>
    <n v="3"/>
    <n v="0"/>
    <n v="13.486499999999999"/>
  </r>
  <r>
    <s v="Second Class"/>
    <x v="0"/>
    <s v="United States"/>
    <s v="Seattle"/>
    <x v="4"/>
    <n v="98115"/>
    <x v="1"/>
    <x v="1"/>
    <x v="8"/>
    <n v="98.352000000000004"/>
    <n v="3"/>
    <n v="0.2"/>
    <n v="34.423200000000001"/>
  </r>
  <r>
    <s v="Standard Class"/>
    <x v="0"/>
    <s v="United States"/>
    <s v="New York City"/>
    <x v="15"/>
    <n v="10009"/>
    <x v="3"/>
    <x v="1"/>
    <x v="8"/>
    <n v="83.92"/>
    <n v="5"/>
    <n v="0.2"/>
    <n v="29.372"/>
  </r>
  <r>
    <s v="Standard Class"/>
    <x v="0"/>
    <s v="United States"/>
    <s v="New York City"/>
    <x v="15"/>
    <n v="10009"/>
    <x v="3"/>
    <x v="1"/>
    <x v="8"/>
    <n v="14.624000000000001"/>
    <n v="2"/>
    <n v="0.2"/>
    <n v="5.1184000000000003"/>
  </r>
  <r>
    <s v="Standard Class"/>
    <x v="0"/>
    <s v="United States"/>
    <s v="New York City"/>
    <x v="15"/>
    <n v="10009"/>
    <x v="3"/>
    <x v="2"/>
    <x v="7"/>
    <n v="136.99"/>
    <n v="1"/>
    <n v="0"/>
    <n v="36.987299999999998"/>
  </r>
  <r>
    <s v="Standard Class"/>
    <x v="0"/>
    <s v="United States"/>
    <s v="New York City"/>
    <x v="15"/>
    <n v="10009"/>
    <x v="3"/>
    <x v="1"/>
    <x v="2"/>
    <n v="3.15"/>
    <n v="1"/>
    <n v="0"/>
    <n v="1.512"/>
  </r>
  <r>
    <s v="Standard Class"/>
    <x v="0"/>
    <s v="United States"/>
    <s v="Newport News"/>
    <x v="17"/>
    <n v="23602"/>
    <x v="0"/>
    <x v="1"/>
    <x v="10"/>
    <n v="9.11"/>
    <n v="1"/>
    <n v="0"/>
    <n v="4.0994999999999999"/>
  </r>
  <r>
    <s v="Standard Class"/>
    <x v="0"/>
    <s v="United States"/>
    <s v="Newport News"/>
    <x v="17"/>
    <n v="23602"/>
    <x v="0"/>
    <x v="1"/>
    <x v="4"/>
    <n v="571.44000000000005"/>
    <n v="4"/>
    <n v="0"/>
    <n v="165.7176"/>
  </r>
  <r>
    <s v="Standard Class"/>
    <x v="0"/>
    <s v="United States"/>
    <s v="Newport News"/>
    <x v="17"/>
    <n v="23602"/>
    <x v="0"/>
    <x v="1"/>
    <x v="10"/>
    <n v="32.4"/>
    <n v="5"/>
    <n v="0"/>
    <n v="15.552"/>
  </r>
  <r>
    <s v="Standard Class"/>
    <x v="0"/>
    <s v="United States"/>
    <s v="Newport News"/>
    <x v="17"/>
    <n v="23602"/>
    <x v="0"/>
    <x v="1"/>
    <x v="4"/>
    <n v="16.91"/>
    <n v="1"/>
    <n v="0"/>
    <n v="4.5656999999999996"/>
  </r>
  <r>
    <s v="Standard Class"/>
    <x v="0"/>
    <s v="United States"/>
    <s v="Fayetteville"/>
    <x v="3"/>
    <n v="28314"/>
    <x v="0"/>
    <x v="0"/>
    <x v="5"/>
    <n v="14.272"/>
    <n v="8"/>
    <n v="0.2"/>
    <n v="4.2816000000000001"/>
  </r>
  <r>
    <s v="Standard Class"/>
    <x v="0"/>
    <s v="United States"/>
    <s v="Fayetteville"/>
    <x v="3"/>
    <n v="28314"/>
    <x v="0"/>
    <x v="0"/>
    <x v="0"/>
    <n v="451.13600000000002"/>
    <n v="4"/>
    <n v="0.2"/>
    <n v="-67.670400000000001"/>
  </r>
  <r>
    <s v="Standard Class"/>
    <x v="0"/>
    <s v="United States"/>
    <s v="Fayetteville"/>
    <x v="3"/>
    <n v="28314"/>
    <x v="0"/>
    <x v="1"/>
    <x v="9"/>
    <n v="64.864000000000004"/>
    <n v="4"/>
    <n v="0.2"/>
    <n v="6.4863999999999997"/>
  </r>
  <r>
    <s v="First Class"/>
    <x v="0"/>
    <s v="United States"/>
    <s v="Los Angeles"/>
    <x v="1"/>
    <n v="90032"/>
    <x v="1"/>
    <x v="0"/>
    <x v="1"/>
    <n v="217.584"/>
    <n v="2"/>
    <n v="0.2"/>
    <n v="-29.9178"/>
  </r>
  <r>
    <s v="First Class"/>
    <x v="0"/>
    <s v="United States"/>
    <s v="Los Angeles"/>
    <x v="1"/>
    <n v="90032"/>
    <x v="1"/>
    <x v="2"/>
    <x v="11"/>
    <n v="82.95"/>
    <n v="5"/>
    <n v="0"/>
    <n v="29.032499999999999"/>
  </r>
  <r>
    <s v="First Class"/>
    <x v="0"/>
    <s v="United States"/>
    <s v="Los Angeles"/>
    <x v="1"/>
    <n v="90032"/>
    <x v="1"/>
    <x v="1"/>
    <x v="2"/>
    <n v="87.71"/>
    <n v="7"/>
    <n v="0"/>
    <n v="41.223700000000001"/>
  </r>
  <r>
    <s v="First Class"/>
    <x v="0"/>
    <s v="United States"/>
    <s v="Los Angeles"/>
    <x v="1"/>
    <n v="90032"/>
    <x v="1"/>
    <x v="1"/>
    <x v="9"/>
    <n v="1101.48"/>
    <n v="4"/>
    <n v="0"/>
    <n v="429.5772"/>
  </r>
  <r>
    <s v="Second Class"/>
    <x v="1"/>
    <s v="United States"/>
    <s v="Los Angeles"/>
    <x v="1"/>
    <n v="90036"/>
    <x v="1"/>
    <x v="0"/>
    <x v="3"/>
    <n v="1322.3520000000001"/>
    <n v="3"/>
    <n v="0.2"/>
    <n v="-99.176400000000001"/>
  </r>
  <r>
    <s v="Standard Class"/>
    <x v="0"/>
    <s v="United States"/>
    <s v="New York City"/>
    <x v="15"/>
    <n v="10011"/>
    <x v="3"/>
    <x v="1"/>
    <x v="6"/>
    <n v="5.46"/>
    <n v="3"/>
    <n v="0"/>
    <n v="1.4742"/>
  </r>
  <r>
    <s v="Standard Class"/>
    <x v="0"/>
    <s v="United States"/>
    <s v="Dallas"/>
    <x v="5"/>
    <n v="75220"/>
    <x v="2"/>
    <x v="1"/>
    <x v="14"/>
    <n v="11.183999999999999"/>
    <n v="1"/>
    <n v="0.2"/>
    <n v="0.83879999999999999"/>
  </r>
  <r>
    <s v="Standard Class"/>
    <x v="0"/>
    <s v="United States"/>
    <s v="Dallas"/>
    <x v="5"/>
    <n v="75220"/>
    <x v="2"/>
    <x v="1"/>
    <x v="4"/>
    <n v="153.584"/>
    <n v="2"/>
    <n v="0.2"/>
    <n v="-32.636600000000001"/>
  </r>
  <r>
    <s v="Standard Class"/>
    <x v="0"/>
    <s v="United States"/>
    <s v="Seattle"/>
    <x v="4"/>
    <n v="98105"/>
    <x v="1"/>
    <x v="1"/>
    <x v="4"/>
    <n v="1003.62"/>
    <n v="6"/>
    <n v="0"/>
    <n v="0"/>
  </r>
  <r>
    <s v="Standard Class"/>
    <x v="2"/>
    <s v="United States"/>
    <s v="Seattle"/>
    <x v="4"/>
    <n v="98105"/>
    <x v="1"/>
    <x v="2"/>
    <x v="7"/>
    <n v="35.167999999999999"/>
    <n v="4"/>
    <n v="0.2"/>
    <n v="11.429600000000001"/>
  </r>
  <r>
    <s v="Standard Class"/>
    <x v="2"/>
    <s v="United States"/>
    <s v="Seattle"/>
    <x v="4"/>
    <n v="98105"/>
    <x v="1"/>
    <x v="0"/>
    <x v="3"/>
    <n v="1137.75"/>
    <n v="5"/>
    <n v="0"/>
    <n v="250.30500000000001"/>
  </r>
  <r>
    <s v="Standard Class"/>
    <x v="2"/>
    <s v="United States"/>
    <s v="Seattle"/>
    <x v="4"/>
    <n v="98105"/>
    <x v="1"/>
    <x v="1"/>
    <x v="8"/>
    <n v="99.68"/>
    <n v="5"/>
    <n v="0.2"/>
    <n v="32.396000000000001"/>
  </r>
  <r>
    <s v="Standard Class"/>
    <x v="2"/>
    <s v="United States"/>
    <s v="Seattle"/>
    <x v="4"/>
    <n v="98105"/>
    <x v="1"/>
    <x v="1"/>
    <x v="6"/>
    <n v="5.56"/>
    <n v="2"/>
    <n v="0"/>
    <n v="1.4456"/>
  </r>
  <r>
    <s v="Second Class"/>
    <x v="1"/>
    <s v="United States"/>
    <s v="Newark"/>
    <x v="13"/>
    <n v="19711"/>
    <x v="3"/>
    <x v="1"/>
    <x v="4"/>
    <n v="85.52"/>
    <n v="2"/>
    <n v="0"/>
    <n v="22.235199999999999"/>
  </r>
  <r>
    <s v="Second Class"/>
    <x v="1"/>
    <s v="United States"/>
    <s v="Newark"/>
    <x v="13"/>
    <n v="19711"/>
    <x v="3"/>
    <x v="1"/>
    <x v="6"/>
    <n v="9.84"/>
    <n v="3"/>
    <n v="0"/>
    <n v="2.6568000000000001"/>
  </r>
  <r>
    <s v="Second Class"/>
    <x v="1"/>
    <s v="United States"/>
    <s v="Newark"/>
    <x v="13"/>
    <n v="19711"/>
    <x v="3"/>
    <x v="1"/>
    <x v="10"/>
    <n v="20.04"/>
    <n v="3"/>
    <n v="0"/>
    <n v="9.6191999999999993"/>
  </r>
  <r>
    <s v="Second Class"/>
    <x v="0"/>
    <s v="United States"/>
    <s v="New York City"/>
    <x v="15"/>
    <n v="10024"/>
    <x v="3"/>
    <x v="2"/>
    <x v="7"/>
    <n v="631.96"/>
    <n v="4"/>
    <n v="0"/>
    <n v="303.3408"/>
  </r>
  <r>
    <s v="Second Class"/>
    <x v="0"/>
    <s v="United States"/>
    <s v="New York City"/>
    <x v="15"/>
    <n v="10024"/>
    <x v="3"/>
    <x v="1"/>
    <x v="10"/>
    <n v="23.92"/>
    <n v="4"/>
    <n v="0"/>
    <n v="10.763999999999999"/>
  </r>
  <r>
    <s v="Second Class"/>
    <x v="0"/>
    <s v="United States"/>
    <s v="Los Angeles"/>
    <x v="1"/>
    <n v="90049"/>
    <x v="1"/>
    <x v="1"/>
    <x v="10"/>
    <n v="90.24"/>
    <n v="6"/>
    <n v="0"/>
    <n v="41.510399999999997"/>
  </r>
  <r>
    <s v="Standard Class"/>
    <x v="0"/>
    <s v="United States"/>
    <s v="Jamestown"/>
    <x v="15"/>
    <n v="14701"/>
    <x v="3"/>
    <x v="2"/>
    <x v="7"/>
    <n v="4548.8100000000004"/>
    <n v="7"/>
    <n v="0"/>
    <n v="1228.1786999999999"/>
  </r>
  <r>
    <s v="Second Class"/>
    <x v="0"/>
    <s v="United States"/>
    <s v="Houston"/>
    <x v="5"/>
    <n v="77095"/>
    <x v="2"/>
    <x v="0"/>
    <x v="3"/>
    <n v="300.93"/>
    <n v="5"/>
    <n v="0.3"/>
    <n v="-34.392000000000003"/>
  </r>
  <r>
    <s v="Second Class"/>
    <x v="0"/>
    <s v="United States"/>
    <s v="Houston"/>
    <x v="5"/>
    <n v="77095"/>
    <x v="2"/>
    <x v="2"/>
    <x v="7"/>
    <n v="719.96"/>
    <n v="5"/>
    <n v="0.2"/>
    <n v="53.997"/>
  </r>
  <r>
    <s v="Standard Class"/>
    <x v="0"/>
    <s v="United States"/>
    <s v="Mishawaka"/>
    <x v="14"/>
    <n v="46544"/>
    <x v="2"/>
    <x v="0"/>
    <x v="1"/>
    <n v="647.84"/>
    <n v="8"/>
    <n v="0"/>
    <n v="32.392000000000003"/>
  </r>
  <r>
    <s v="Standard Class"/>
    <x v="2"/>
    <s v="United States"/>
    <s v="San Diego"/>
    <x v="1"/>
    <n v="92037"/>
    <x v="1"/>
    <x v="1"/>
    <x v="4"/>
    <n v="64.17"/>
    <n v="3"/>
    <n v="0"/>
    <n v="18.609300000000001"/>
  </r>
  <r>
    <s v="Standard Class"/>
    <x v="2"/>
    <s v="United States"/>
    <s v="San Diego"/>
    <x v="1"/>
    <n v="92037"/>
    <x v="1"/>
    <x v="1"/>
    <x v="12"/>
    <n v="124.46"/>
    <n v="2"/>
    <n v="0"/>
    <n v="58.496200000000002"/>
  </r>
  <r>
    <s v="Standard Class"/>
    <x v="1"/>
    <s v="United States"/>
    <s v="San Francisco"/>
    <x v="1"/>
    <n v="94109"/>
    <x v="1"/>
    <x v="1"/>
    <x v="8"/>
    <n v="9.5839999999999996"/>
    <n v="1"/>
    <n v="0.2"/>
    <n v="3.3544"/>
  </r>
  <r>
    <s v="First Class"/>
    <x v="0"/>
    <s v="United States"/>
    <s v="Miami"/>
    <x v="2"/>
    <n v="33178"/>
    <x v="0"/>
    <x v="1"/>
    <x v="12"/>
    <n v="37.607999999999997"/>
    <n v="3"/>
    <n v="0.2"/>
    <n v="12.6927"/>
  </r>
  <r>
    <s v="First Class"/>
    <x v="1"/>
    <s v="United States"/>
    <s v="Skokie"/>
    <x v="10"/>
    <n v="60076"/>
    <x v="2"/>
    <x v="1"/>
    <x v="10"/>
    <n v="12.224"/>
    <n v="2"/>
    <n v="0.2"/>
    <n v="4.4311999999999996"/>
  </r>
  <r>
    <s v="First Class"/>
    <x v="1"/>
    <s v="United States"/>
    <s v="Skokie"/>
    <x v="10"/>
    <n v="60076"/>
    <x v="2"/>
    <x v="1"/>
    <x v="8"/>
    <n v="2.3039999999999998"/>
    <n v="4"/>
    <n v="0.8"/>
    <n v="-3.5712000000000002"/>
  </r>
  <r>
    <s v="First Class"/>
    <x v="1"/>
    <s v="United States"/>
    <s v="Skokie"/>
    <x v="10"/>
    <n v="60076"/>
    <x v="2"/>
    <x v="1"/>
    <x v="8"/>
    <n v="9.36"/>
    <n v="4"/>
    <n v="0.8"/>
    <n v="-16.38"/>
  </r>
  <r>
    <s v="Standard Class"/>
    <x v="0"/>
    <s v="United States"/>
    <s v="San Francisco"/>
    <x v="1"/>
    <n v="94110"/>
    <x v="1"/>
    <x v="1"/>
    <x v="2"/>
    <n v="7.38"/>
    <n v="2"/>
    <n v="0"/>
    <n v="3.4685999999999999"/>
  </r>
  <r>
    <s v="Second Class"/>
    <x v="0"/>
    <s v="United States"/>
    <s v="San Francisco"/>
    <x v="1"/>
    <n v="94122"/>
    <x v="1"/>
    <x v="1"/>
    <x v="4"/>
    <n v="53.72"/>
    <n v="4"/>
    <n v="0"/>
    <n v="15.041600000000001"/>
  </r>
  <r>
    <s v="Second Class"/>
    <x v="0"/>
    <s v="United States"/>
    <s v="San Francisco"/>
    <x v="1"/>
    <n v="94122"/>
    <x v="1"/>
    <x v="1"/>
    <x v="14"/>
    <n v="8187.65"/>
    <n v="5"/>
    <n v="0"/>
    <n v="327.50599999999997"/>
  </r>
  <r>
    <s v="Second Class"/>
    <x v="0"/>
    <s v="United States"/>
    <s v="San Francisco"/>
    <x v="1"/>
    <n v="94122"/>
    <x v="1"/>
    <x v="0"/>
    <x v="5"/>
    <n v="77.92"/>
    <n v="8"/>
    <n v="0"/>
    <n v="34.284799999999997"/>
  </r>
  <r>
    <s v="Same Day"/>
    <x v="0"/>
    <s v="United States"/>
    <s v="Houston"/>
    <x v="5"/>
    <n v="77070"/>
    <x v="2"/>
    <x v="1"/>
    <x v="9"/>
    <n v="32.783999999999999"/>
    <n v="4"/>
    <n v="0.8"/>
    <n v="-85.238399999999999"/>
  </r>
  <r>
    <s v="Standard Class"/>
    <x v="1"/>
    <s v="United States"/>
    <s v="Los Angeles"/>
    <x v="1"/>
    <n v="90045"/>
    <x v="1"/>
    <x v="2"/>
    <x v="7"/>
    <n v="196.77600000000001"/>
    <n v="3"/>
    <n v="0.2"/>
    <n v="14.7582"/>
  </r>
  <r>
    <s v="Standard Class"/>
    <x v="1"/>
    <s v="United States"/>
    <s v="Los Angeles"/>
    <x v="1"/>
    <n v="90045"/>
    <x v="1"/>
    <x v="2"/>
    <x v="11"/>
    <n v="479.94"/>
    <n v="6"/>
    <n v="0"/>
    <n v="52.793399999999998"/>
  </r>
  <r>
    <s v="Standard Class"/>
    <x v="2"/>
    <s v="United States"/>
    <s v="Oklahoma City"/>
    <x v="26"/>
    <n v="73120"/>
    <x v="2"/>
    <x v="1"/>
    <x v="4"/>
    <n v="1117.92"/>
    <n v="4"/>
    <n v="0"/>
    <n v="55.896000000000001"/>
  </r>
  <r>
    <s v="First Class"/>
    <x v="0"/>
    <s v="United States"/>
    <s v="Monroe"/>
    <x v="28"/>
    <n v="71203"/>
    <x v="0"/>
    <x v="2"/>
    <x v="11"/>
    <n v="106.5"/>
    <n v="6"/>
    <n v="0"/>
    <n v="41.534999999999997"/>
  </r>
  <r>
    <s v="Standard Class"/>
    <x v="2"/>
    <s v="United States"/>
    <s v="Tampa"/>
    <x v="2"/>
    <n v="33614"/>
    <x v="0"/>
    <x v="1"/>
    <x v="8"/>
    <n v="45.66"/>
    <n v="5"/>
    <n v="0.7"/>
    <n v="-33.484000000000002"/>
  </r>
  <r>
    <s v="Standard Class"/>
    <x v="1"/>
    <s v="United States"/>
    <s v="Chicago"/>
    <x v="10"/>
    <n v="60623"/>
    <x v="2"/>
    <x v="2"/>
    <x v="11"/>
    <n v="95.968000000000004"/>
    <n v="4"/>
    <n v="0.2"/>
    <n v="1.1996"/>
  </r>
  <r>
    <s v="Standard Class"/>
    <x v="1"/>
    <s v="United States"/>
    <s v="Chicago"/>
    <x v="10"/>
    <n v="60623"/>
    <x v="2"/>
    <x v="0"/>
    <x v="1"/>
    <n v="47.991999999999997"/>
    <n v="2"/>
    <n v="0.3"/>
    <n v="-2.0568"/>
  </r>
  <r>
    <s v="Standard Class"/>
    <x v="0"/>
    <s v="United States"/>
    <s v="Bowling Green"/>
    <x v="24"/>
    <n v="43402"/>
    <x v="3"/>
    <x v="1"/>
    <x v="4"/>
    <n v="264.32"/>
    <n v="2"/>
    <n v="0.2"/>
    <n v="19.824000000000002"/>
  </r>
  <r>
    <s v="Standard Class"/>
    <x v="0"/>
    <s v="United States"/>
    <s v="Houston"/>
    <x v="5"/>
    <n v="77095"/>
    <x v="2"/>
    <x v="1"/>
    <x v="12"/>
    <n v="604.65599999999995"/>
    <n v="9"/>
    <n v="0.2"/>
    <n v="204.07140000000001"/>
  </r>
  <r>
    <s v="Standard Class"/>
    <x v="1"/>
    <s v="United States"/>
    <s v="Westfield"/>
    <x v="30"/>
    <n v="7090"/>
    <x v="3"/>
    <x v="0"/>
    <x v="5"/>
    <n v="129.93"/>
    <n v="3"/>
    <n v="0"/>
    <n v="12.993"/>
  </r>
  <r>
    <s v="Standard Class"/>
    <x v="2"/>
    <s v="United States"/>
    <s v="Oklahoma City"/>
    <x v="26"/>
    <n v="73120"/>
    <x v="2"/>
    <x v="1"/>
    <x v="2"/>
    <n v="20.16"/>
    <n v="7"/>
    <n v="0"/>
    <n v="9.8783999999999992"/>
  </r>
  <r>
    <s v="Standard Class"/>
    <x v="2"/>
    <s v="United States"/>
    <s v="Oklahoma City"/>
    <x v="26"/>
    <n v="73120"/>
    <x v="2"/>
    <x v="1"/>
    <x v="2"/>
    <n v="29.46"/>
    <n v="6"/>
    <n v="0"/>
    <n v="14.4354"/>
  </r>
  <r>
    <s v="Standard Class"/>
    <x v="2"/>
    <s v="United States"/>
    <s v="Oklahoma City"/>
    <x v="26"/>
    <n v="73120"/>
    <x v="2"/>
    <x v="1"/>
    <x v="9"/>
    <n v="868.59"/>
    <n v="3"/>
    <n v="0"/>
    <n v="251.89109999999999"/>
  </r>
  <r>
    <s v="Standard Class"/>
    <x v="2"/>
    <s v="United States"/>
    <s v="Oklahoma City"/>
    <x v="26"/>
    <n v="73120"/>
    <x v="2"/>
    <x v="1"/>
    <x v="10"/>
    <n v="12.96"/>
    <n v="2"/>
    <n v="0"/>
    <n v="6.2207999999999997"/>
  </r>
  <r>
    <s v="Standard Class"/>
    <x v="2"/>
    <s v="United States"/>
    <s v="Oklahoma City"/>
    <x v="26"/>
    <n v="73120"/>
    <x v="2"/>
    <x v="2"/>
    <x v="7"/>
    <n v="5.5"/>
    <n v="1"/>
    <n v="0"/>
    <n v="1.375"/>
  </r>
  <r>
    <s v="Standard Class"/>
    <x v="2"/>
    <s v="United States"/>
    <s v="Oklahoma City"/>
    <x v="26"/>
    <n v="73120"/>
    <x v="2"/>
    <x v="1"/>
    <x v="8"/>
    <n v="121.6"/>
    <n v="4"/>
    <n v="0"/>
    <n v="55.936"/>
  </r>
  <r>
    <s v="Standard Class"/>
    <x v="0"/>
    <s v="United States"/>
    <s v="Houston"/>
    <x v="5"/>
    <n v="77041"/>
    <x v="2"/>
    <x v="1"/>
    <x v="6"/>
    <n v="42.048000000000002"/>
    <n v="9"/>
    <n v="0.2"/>
    <n v="5.2560000000000002"/>
  </r>
  <r>
    <s v="Standard Class"/>
    <x v="0"/>
    <s v="United States"/>
    <s v="Houston"/>
    <x v="5"/>
    <n v="77041"/>
    <x v="2"/>
    <x v="2"/>
    <x v="11"/>
    <n v="25.488"/>
    <n v="2"/>
    <n v="0.2"/>
    <n v="4.4603999999999999"/>
  </r>
  <r>
    <s v="Standard Class"/>
    <x v="0"/>
    <s v="United States"/>
    <s v="Houston"/>
    <x v="5"/>
    <n v="77041"/>
    <x v="2"/>
    <x v="1"/>
    <x v="8"/>
    <n v="6.9"/>
    <n v="3"/>
    <n v="0.8"/>
    <n v="-12.074999999999999"/>
  </r>
  <r>
    <s v="Standard Class"/>
    <x v="0"/>
    <s v="United States"/>
    <s v="Houston"/>
    <x v="5"/>
    <n v="77041"/>
    <x v="2"/>
    <x v="1"/>
    <x v="8"/>
    <n v="9.6479999999999997"/>
    <n v="6"/>
    <n v="0.8"/>
    <n v="-16.884"/>
  </r>
  <r>
    <s v="Standard Class"/>
    <x v="0"/>
    <s v="United States"/>
    <s v="Houston"/>
    <x v="5"/>
    <n v="77041"/>
    <x v="2"/>
    <x v="1"/>
    <x v="10"/>
    <n v="7.968"/>
    <n v="2"/>
    <n v="0.2"/>
    <n v="2.8883999999999999"/>
  </r>
  <r>
    <s v="Standard Class"/>
    <x v="2"/>
    <s v="United States"/>
    <s v="Fort Lauderdale"/>
    <x v="2"/>
    <n v="33311"/>
    <x v="0"/>
    <x v="1"/>
    <x v="10"/>
    <n v="10.368"/>
    <n v="2"/>
    <n v="0.2"/>
    <n v="3.6288"/>
  </r>
  <r>
    <s v="Standard Class"/>
    <x v="1"/>
    <s v="United States"/>
    <s v="Little Rock"/>
    <x v="36"/>
    <n v="72209"/>
    <x v="0"/>
    <x v="1"/>
    <x v="10"/>
    <n v="114.2"/>
    <n v="5"/>
    <n v="0"/>
    <n v="52.531999999999996"/>
  </r>
  <r>
    <s v="Standard Class"/>
    <x v="1"/>
    <s v="United States"/>
    <s v="Little Rock"/>
    <x v="36"/>
    <n v="72209"/>
    <x v="0"/>
    <x v="1"/>
    <x v="8"/>
    <n v="17.96"/>
    <n v="4"/>
    <n v="0"/>
    <n v="8.2615999999999996"/>
  </r>
  <r>
    <s v="Standard Class"/>
    <x v="1"/>
    <s v="United States"/>
    <s v="Little Rock"/>
    <x v="36"/>
    <n v="72209"/>
    <x v="0"/>
    <x v="1"/>
    <x v="13"/>
    <n v="12.67"/>
    <n v="7"/>
    <n v="0"/>
    <n v="4.5612000000000004"/>
  </r>
  <r>
    <s v="Standard Class"/>
    <x v="1"/>
    <s v="United States"/>
    <s v="Little Rock"/>
    <x v="36"/>
    <n v="72209"/>
    <x v="0"/>
    <x v="2"/>
    <x v="11"/>
    <n v="339.96"/>
    <n v="4"/>
    <n v="0"/>
    <n v="122.3856"/>
  </r>
  <r>
    <s v="Second Class"/>
    <x v="1"/>
    <s v="United States"/>
    <s v="Philadelphia"/>
    <x v="9"/>
    <n v="19120"/>
    <x v="3"/>
    <x v="1"/>
    <x v="4"/>
    <n v="1801.6320000000001"/>
    <n v="6"/>
    <n v="0.2"/>
    <n v="-337.80599999999998"/>
  </r>
  <r>
    <s v="First Class"/>
    <x v="1"/>
    <s v="United States"/>
    <s v="La Quinta"/>
    <x v="1"/>
    <n v="92253"/>
    <x v="1"/>
    <x v="2"/>
    <x v="11"/>
    <n v="46.32"/>
    <n v="4"/>
    <n v="0"/>
    <n v="18.064800000000002"/>
  </r>
  <r>
    <s v="Second Class"/>
    <x v="0"/>
    <s v="United States"/>
    <s v="Cleveland"/>
    <x v="24"/>
    <n v="44105"/>
    <x v="3"/>
    <x v="0"/>
    <x v="1"/>
    <n v="181.98599999999999"/>
    <n v="2"/>
    <n v="0.3"/>
    <n v="-54.595799999999997"/>
  </r>
  <r>
    <s v="Second Class"/>
    <x v="0"/>
    <s v="United States"/>
    <s v="Cleveland"/>
    <x v="24"/>
    <n v="44105"/>
    <x v="3"/>
    <x v="2"/>
    <x v="7"/>
    <n v="431.976"/>
    <n v="4"/>
    <n v="0.4"/>
    <n v="-100.7944"/>
  </r>
  <r>
    <s v="Second Class"/>
    <x v="0"/>
    <s v="United States"/>
    <s v="Cleveland"/>
    <x v="24"/>
    <n v="44105"/>
    <x v="3"/>
    <x v="2"/>
    <x v="7"/>
    <n v="155.37"/>
    <n v="1"/>
    <n v="0.4"/>
    <n v="-36.253"/>
  </r>
  <r>
    <s v="Same Day"/>
    <x v="1"/>
    <s v="United States"/>
    <s v="San Francisco"/>
    <x v="1"/>
    <n v="94122"/>
    <x v="1"/>
    <x v="0"/>
    <x v="1"/>
    <n v="1348.704"/>
    <n v="6"/>
    <n v="0.2"/>
    <n v="-219.1644"/>
  </r>
  <r>
    <s v="Same Day"/>
    <x v="1"/>
    <s v="United States"/>
    <s v="San Francisco"/>
    <x v="1"/>
    <n v="94122"/>
    <x v="1"/>
    <x v="0"/>
    <x v="1"/>
    <n v="700.15200000000004"/>
    <n v="3"/>
    <n v="0.2"/>
    <n v="78.767099999999999"/>
  </r>
  <r>
    <s v="Standard Class"/>
    <x v="1"/>
    <s v="United States"/>
    <s v="Scottsdale"/>
    <x v="16"/>
    <n v="85254"/>
    <x v="1"/>
    <x v="0"/>
    <x v="5"/>
    <n v="111.88800000000001"/>
    <n v="7"/>
    <n v="0.2"/>
    <n v="22.377600000000001"/>
  </r>
  <r>
    <s v="Second Class"/>
    <x v="1"/>
    <s v="United States"/>
    <s v="Philadelphia"/>
    <x v="9"/>
    <n v="19134"/>
    <x v="3"/>
    <x v="1"/>
    <x v="9"/>
    <n v="143.952"/>
    <n v="3"/>
    <n v="0.2"/>
    <n v="14.395200000000001"/>
  </r>
  <r>
    <s v="Standard Class"/>
    <x v="2"/>
    <s v="United States"/>
    <s v="Malden"/>
    <x v="31"/>
    <n v="2148"/>
    <x v="3"/>
    <x v="0"/>
    <x v="0"/>
    <n v="173.94"/>
    <n v="3"/>
    <n v="0"/>
    <n v="13.9152"/>
  </r>
  <r>
    <s v="Standard Class"/>
    <x v="2"/>
    <s v="United States"/>
    <s v="Malden"/>
    <x v="31"/>
    <n v="2148"/>
    <x v="3"/>
    <x v="1"/>
    <x v="2"/>
    <n v="14.76"/>
    <n v="4"/>
    <n v="0"/>
    <n v="6.9371999999999998"/>
  </r>
  <r>
    <s v="Standard Class"/>
    <x v="0"/>
    <s v="United States"/>
    <s v="San Jose"/>
    <x v="1"/>
    <n v="95123"/>
    <x v="1"/>
    <x v="1"/>
    <x v="4"/>
    <n v="205.92"/>
    <n v="4"/>
    <n v="0"/>
    <n v="2.0592000000000001"/>
  </r>
  <r>
    <s v="Standard Class"/>
    <x v="0"/>
    <s v="United States"/>
    <s v="San Jose"/>
    <x v="1"/>
    <n v="95123"/>
    <x v="1"/>
    <x v="0"/>
    <x v="0"/>
    <n v="102.833"/>
    <n v="1"/>
    <n v="0.15"/>
    <n v="-6.0490000000000004"/>
  </r>
  <r>
    <s v="Standard Class"/>
    <x v="0"/>
    <s v="United States"/>
    <s v="Phoenix"/>
    <x v="16"/>
    <n v="85023"/>
    <x v="1"/>
    <x v="1"/>
    <x v="6"/>
    <n v="2.3039999999999998"/>
    <n v="1"/>
    <n v="0.2"/>
    <n v="0.25919999999999999"/>
  </r>
  <r>
    <s v="Standard Class"/>
    <x v="0"/>
    <s v="United States"/>
    <s v="Phoenix"/>
    <x v="16"/>
    <n v="85023"/>
    <x v="1"/>
    <x v="2"/>
    <x v="7"/>
    <n v="1879.96"/>
    <n v="5"/>
    <n v="0.2"/>
    <n v="211.49549999999999"/>
  </r>
  <r>
    <s v="Standard Class"/>
    <x v="0"/>
    <s v="United States"/>
    <s v="Phoenix"/>
    <x v="16"/>
    <n v="85023"/>
    <x v="1"/>
    <x v="1"/>
    <x v="10"/>
    <n v="313.024"/>
    <n v="8"/>
    <n v="0.2"/>
    <n v="105.6456"/>
  </r>
  <r>
    <s v="Standard Class"/>
    <x v="0"/>
    <s v="United States"/>
    <s v="Phoenix"/>
    <x v="16"/>
    <n v="85023"/>
    <x v="1"/>
    <x v="1"/>
    <x v="2"/>
    <n v="5.04"/>
    <n v="2"/>
    <n v="0.2"/>
    <n v="1.764"/>
  </r>
  <r>
    <s v="Standard Class"/>
    <x v="0"/>
    <s v="United States"/>
    <s v="Henderson"/>
    <x v="0"/>
    <n v="42420"/>
    <x v="0"/>
    <x v="0"/>
    <x v="5"/>
    <n v="821.88"/>
    <n v="6"/>
    <n v="0"/>
    <n v="213.68879999999999"/>
  </r>
  <r>
    <s v="Standard Class"/>
    <x v="0"/>
    <s v="United States"/>
    <s v="Henderson"/>
    <x v="0"/>
    <n v="42420"/>
    <x v="0"/>
    <x v="1"/>
    <x v="8"/>
    <n v="21.96"/>
    <n v="2"/>
    <n v="0"/>
    <n v="10.760400000000001"/>
  </r>
  <r>
    <s v="Standard Class"/>
    <x v="2"/>
    <s v="United States"/>
    <s v="Columbia"/>
    <x v="20"/>
    <n v="29203"/>
    <x v="0"/>
    <x v="1"/>
    <x v="10"/>
    <n v="25.92"/>
    <n v="4"/>
    <n v="0"/>
    <n v="12.441599999999999"/>
  </r>
  <r>
    <s v="Standard Class"/>
    <x v="0"/>
    <s v="United States"/>
    <s v="Tallahassee"/>
    <x v="2"/>
    <n v="32303"/>
    <x v="0"/>
    <x v="2"/>
    <x v="7"/>
    <n v="705.54399999999998"/>
    <n v="7"/>
    <n v="0.2"/>
    <n v="70.554400000000001"/>
  </r>
  <r>
    <s v="Standard Class"/>
    <x v="0"/>
    <s v="United States"/>
    <s v="New York City"/>
    <x v="15"/>
    <n v="10035"/>
    <x v="3"/>
    <x v="2"/>
    <x v="11"/>
    <n v="50"/>
    <n v="2"/>
    <n v="0"/>
    <n v="12"/>
  </r>
  <r>
    <s v="Standard Class"/>
    <x v="1"/>
    <s v="United States"/>
    <s v="Houston"/>
    <x v="5"/>
    <n v="77070"/>
    <x v="2"/>
    <x v="0"/>
    <x v="5"/>
    <n v="51.712000000000003"/>
    <n v="8"/>
    <n v="0.6"/>
    <n v="-32.32"/>
  </r>
  <r>
    <s v="Standard Class"/>
    <x v="1"/>
    <s v="United States"/>
    <s v="Coral Springs"/>
    <x v="2"/>
    <n v="33065"/>
    <x v="0"/>
    <x v="1"/>
    <x v="9"/>
    <n v="6.992"/>
    <n v="2"/>
    <n v="0.2"/>
    <n v="0.52439999999999998"/>
  </r>
  <r>
    <s v="Standard Class"/>
    <x v="0"/>
    <s v="United States"/>
    <s v="Orem"/>
    <x v="7"/>
    <n v="84057"/>
    <x v="1"/>
    <x v="0"/>
    <x v="0"/>
    <n v="1406.86"/>
    <n v="7"/>
    <n v="0"/>
    <n v="140.68600000000001"/>
  </r>
  <r>
    <s v="Standard Class"/>
    <x v="0"/>
    <s v="United States"/>
    <s v="Orem"/>
    <x v="7"/>
    <n v="84057"/>
    <x v="1"/>
    <x v="1"/>
    <x v="2"/>
    <n v="15.75"/>
    <n v="5"/>
    <n v="0"/>
    <n v="7.56"/>
  </r>
  <r>
    <s v="Standard Class"/>
    <x v="0"/>
    <s v="United States"/>
    <s v="Orem"/>
    <x v="7"/>
    <n v="84057"/>
    <x v="1"/>
    <x v="1"/>
    <x v="4"/>
    <n v="323.10000000000002"/>
    <n v="2"/>
    <n v="0"/>
    <n v="61.389000000000003"/>
  </r>
  <r>
    <s v="Standard Class"/>
    <x v="0"/>
    <s v="United States"/>
    <s v="Nashville"/>
    <x v="18"/>
    <n v="37211"/>
    <x v="0"/>
    <x v="1"/>
    <x v="2"/>
    <n v="9.2159999999999993"/>
    <n v="4"/>
    <n v="0.2"/>
    <n v="3.3408000000000002"/>
  </r>
  <r>
    <s v="Standard Class"/>
    <x v="0"/>
    <s v="United States"/>
    <s v="Nashville"/>
    <x v="18"/>
    <n v="37211"/>
    <x v="0"/>
    <x v="1"/>
    <x v="10"/>
    <n v="10.368"/>
    <n v="2"/>
    <n v="0.2"/>
    <n v="3.6288"/>
  </r>
  <r>
    <s v="Second Class"/>
    <x v="1"/>
    <s v="United States"/>
    <s v="New York City"/>
    <x v="15"/>
    <n v="10009"/>
    <x v="3"/>
    <x v="2"/>
    <x v="11"/>
    <n v="15.02"/>
    <n v="1"/>
    <n v="0"/>
    <n v="2.7035999999999998"/>
  </r>
  <r>
    <s v="Second Class"/>
    <x v="1"/>
    <s v="United States"/>
    <s v="New York City"/>
    <x v="15"/>
    <n v="10009"/>
    <x v="3"/>
    <x v="1"/>
    <x v="4"/>
    <n v="33.82"/>
    <n v="2"/>
    <n v="0"/>
    <n v="9.1313999999999993"/>
  </r>
  <r>
    <s v="First Class"/>
    <x v="0"/>
    <s v="United States"/>
    <s v="Bowling Green"/>
    <x v="0"/>
    <n v="42104"/>
    <x v="0"/>
    <x v="2"/>
    <x v="11"/>
    <n v="71"/>
    <n v="4"/>
    <n v="0"/>
    <n v="27.69"/>
  </r>
  <r>
    <s v="Second Class"/>
    <x v="0"/>
    <s v="United States"/>
    <s v="Bellingham"/>
    <x v="4"/>
    <n v="98226"/>
    <x v="1"/>
    <x v="1"/>
    <x v="8"/>
    <n v="25.12"/>
    <n v="5"/>
    <n v="0.2"/>
    <n v="7.85"/>
  </r>
  <r>
    <s v="Second Class"/>
    <x v="0"/>
    <s v="United States"/>
    <s v="Bellingham"/>
    <x v="4"/>
    <n v="98226"/>
    <x v="1"/>
    <x v="0"/>
    <x v="3"/>
    <n v="2665.62"/>
    <n v="9"/>
    <n v="0"/>
    <n v="239.9058"/>
  </r>
  <r>
    <s v="Standard Class"/>
    <x v="1"/>
    <s v="United States"/>
    <s v="New York City"/>
    <x v="15"/>
    <n v="10011"/>
    <x v="3"/>
    <x v="1"/>
    <x v="4"/>
    <n v="478.08"/>
    <n v="8"/>
    <n v="0"/>
    <n v="133.86240000000001"/>
  </r>
  <r>
    <s v="Same Day"/>
    <x v="1"/>
    <s v="United States"/>
    <s v="Newark"/>
    <x v="24"/>
    <n v="43055"/>
    <x v="3"/>
    <x v="2"/>
    <x v="7"/>
    <n v="164.38800000000001"/>
    <n v="2"/>
    <n v="0.4"/>
    <n v="-35.617400000000004"/>
  </r>
  <r>
    <s v="Same Day"/>
    <x v="1"/>
    <s v="United States"/>
    <s v="Newark"/>
    <x v="24"/>
    <n v="43055"/>
    <x v="3"/>
    <x v="1"/>
    <x v="6"/>
    <n v="13.247999999999999"/>
    <n v="4"/>
    <n v="0.2"/>
    <n v="3.6432000000000002"/>
  </r>
  <r>
    <s v="Standard Class"/>
    <x v="2"/>
    <s v="United States"/>
    <s v="Woodstock"/>
    <x v="10"/>
    <n v="60098"/>
    <x v="2"/>
    <x v="1"/>
    <x v="6"/>
    <n v="2.9119999999999999"/>
    <n v="2"/>
    <n v="0.2"/>
    <n v="0.91"/>
  </r>
  <r>
    <s v="Second Class"/>
    <x v="0"/>
    <s v="United States"/>
    <s v="Carrollton"/>
    <x v="5"/>
    <n v="75007"/>
    <x v="2"/>
    <x v="2"/>
    <x v="11"/>
    <n v="1399.944"/>
    <n v="7"/>
    <n v="0.2"/>
    <n v="52.497900000000001"/>
  </r>
  <r>
    <s v="Standard Class"/>
    <x v="2"/>
    <s v="United States"/>
    <s v="Lafayette"/>
    <x v="14"/>
    <n v="47905"/>
    <x v="2"/>
    <x v="0"/>
    <x v="5"/>
    <n v="526.45000000000005"/>
    <n v="5"/>
    <n v="0"/>
    <n v="31.587"/>
  </r>
  <r>
    <s v="Standard Class"/>
    <x v="1"/>
    <s v="United States"/>
    <s v="Columbus"/>
    <x v="32"/>
    <n v="31907"/>
    <x v="0"/>
    <x v="1"/>
    <x v="12"/>
    <n v="16.23"/>
    <n v="3"/>
    <n v="0"/>
    <n v="7.9527000000000001"/>
  </r>
  <r>
    <s v="Standard Class"/>
    <x v="1"/>
    <s v="United States"/>
    <s v="Columbus"/>
    <x v="32"/>
    <n v="31907"/>
    <x v="0"/>
    <x v="1"/>
    <x v="8"/>
    <n v="319.89999999999998"/>
    <n v="5"/>
    <n v="0"/>
    <n v="156.751"/>
  </r>
  <r>
    <s v="Standard Class"/>
    <x v="1"/>
    <s v="United States"/>
    <s v="Columbus"/>
    <x v="32"/>
    <n v="31907"/>
    <x v="0"/>
    <x v="1"/>
    <x v="12"/>
    <n v="11.36"/>
    <n v="2"/>
    <n v="0"/>
    <n v="5.3391999999999999"/>
  </r>
  <r>
    <s v="Standard Class"/>
    <x v="1"/>
    <s v="United States"/>
    <s v="Columbus"/>
    <x v="32"/>
    <n v="31907"/>
    <x v="0"/>
    <x v="1"/>
    <x v="9"/>
    <n v="675.12"/>
    <n v="3"/>
    <n v="0"/>
    <n v="290.30160000000001"/>
  </r>
  <r>
    <s v="Standard Class"/>
    <x v="2"/>
    <s v="United States"/>
    <s v="Alexandria"/>
    <x v="17"/>
    <n v="22304"/>
    <x v="0"/>
    <x v="0"/>
    <x v="5"/>
    <n v="62.82"/>
    <n v="3"/>
    <n v="0"/>
    <n v="30.7818"/>
  </r>
  <r>
    <s v="Standard Class"/>
    <x v="2"/>
    <s v="United States"/>
    <s v="Alexandria"/>
    <x v="17"/>
    <n v="22304"/>
    <x v="0"/>
    <x v="1"/>
    <x v="4"/>
    <n v="489.92"/>
    <n v="8"/>
    <n v="0"/>
    <n v="0"/>
  </r>
  <r>
    <s v="Standard Class"/>
    <x v="2"/>
    <s v="United States"/>
    <s v="Alexandria"/>
    <x v="17"/>
    <n v="22304"/>
    <x v="0"/>
    <x v="1"/>
    <x v="10"/>
    <n v="19.440000000000001"/>
    <n v="3"/>
    <n v="0"/>
    <n v="9.3312000000000008"/>
  </r>
  <r>
    <s v="Standard Class"/>
    <x v="2"/>
    <s v="United States"/>
    <s v="Alexandria"/>
    <x v="17"/>
    <n v="22304"/>
    <x v="0"/>
    <x v="1"/>
    <x v="10"/>
    <n v="16.68"/>
    <n v="2"/>
    <n v="0"/>
    <n v="8.34"/>
  </r>
  <r>
    <s v="Standard Class"/>
    <x v="2"/>
    <s v="United States"/>
    <s v="Alexandria"/>
    <x v="17"/>
    <n v="22304"/>
    <x v="0"/>
    <x v="2"/>
    <x v="7"/>
    <n v="155.35"/>
    <n v="13"/>
    <n v="0"/>
    <n v="0"/>
  </r>
  <r>
    <s v="Standard Class"/>
    <x v="2"/>
    <s v="United States"/>
    <s v="Alexandria"/>
    <x v="17"/>
    <n v="22304"/>
    <x v="0"/>
    <x v="0"/>
    <x v="5"/>
    <n v="12.42"/>
    <n v="3"/>
    <n v="0"/>
    <n v="4.4711999999999996"/>
  </r>
  <r>
    <s v="Standard Class"/>
    <x v="2"/>
    <s v="United States"/>
    <s v="Alexandria"/>
    <x v="17"/>
    <n v="22304"/>
    <x v="0"/>
    <x v="2"/>
    <x v="7"/>
    <n v="187.98"/>
    <n v="2"/>
    <n v="0"/>
    <n v="52.634399999999999"/>
  </r>
  <r>
    <s v="Standard Class"/>
    <x v="1"/>
    <s v="United States"/>
    <s v="Haltom City"/>
    <x v="5"/>
    <n v="76117"/>
    <x v="2"/>
    <x v="1"/>
    <x v="12"/>
    <n v="6.6079999999999997"/>
    <n v="2"/>
    <n v="0.2"/>
    <n v="2.1476000000000002"/>
  </r>
  <r>
    <s v="Standard Class"/>
    <x v="0"/>
    <s v="United States"/>
    <s v="New York City"/>
    <x v="15"/>
    <n v="10024"/>
    <x v="3"/>
    <x v="1"/>
    <x v="4"/>
    <n v="248.57"/>
    <n v="7"/>
    <n v="0"/>
    <n v="67.113900000000001"/>
  </r>
  <r>
    <s v="Standard Class"/>
    <x v="0"/>
    <s v="United States"/>
    <s v="New York City"/>
    <x v="15"/>
    <n v="10024"/>
    <x v="3"/>
    <x v="0"/>
    <x v="5"/>
    <n v="22.23"/>
    <n v="1"/>
    <n v="0"/>
    <n v="9.7812000000000001"/>
  </r>
  <r>
    <s v="Standard Class"/>
    <x v="2"/>
    <s v="United States"/>
    <s v="Los Angeles"/>
    <x v="1"/>
    <n v="90004"/>
    <x v="1"/>
    <x v="1"/>
    <x v="4"/>
    <n v="5.98"/>
    <n v="1"/>
    <n v="0"/>
    <n v="1.0165999999999999"/>
  </r>
  <r>
    <s v="Standard Class"/>
    <x v="2"/>
    <s v="United States"/>
    <s v="Los Angeles"/>
    <x v="1"/>
    <n v="90004"/>
    <x v="1"/>
    <x v="2"/>
    <x v="7"/>
    <n v="246.16800000000001"/>
    <n v="3"/>
    <n v="0.2"/>
    <n v="21.5397"/>
  </r>
  <r>
    <s v="Standard Class"/>
    <x v="0"/>
    <s v="United States"/>
    <s v="Wheeling"/>
    <x v="10"/>
    <n v="60090"/>
    <x v="2"/>
    <x v="0"/>
    <x v="5"/>
    <n v="14.135999999999999"/>
    <n v="2"/>
    <n v="0.6"/>
    <n v="-7.7747999999999999"/>
  </r>
  <r>
    <s v="Standard Class"/>
    <x v="0"/>
    <s v="United States"/>
    <s v="Wheeling"/>
    <x v="10"/>
    <n v="60090"/>
    <x v="2"/>
    <x v="0"/>
    <x v="3"/>
    <n v="601.47"/>
    <n v="3"/>
    <n v="0.5"/>
    <n v="-300.73500000000001"/>
  </r>
  <r>
    <s v="Second Class"/>
    <x v="1"/>
    <s v="United States"/>
    <s v="Summerville"/>
    <x v="20"/>
    <n v="29483"/>
    <x v="0"/>
    <x v="2"/>
    <x v="7"/>
    <n v="79.099999999999994"/>
    <n v="2"/>
    <n v="0"/>
    <n v="39.549999999999997"/>
  </r>
  <r>
    <s v="Second Class"/>
    <x v="1"/>
    <s v="United States"/>
    <s v="Summerville"/>
    <x v="20"/>
    <n v="29483"/>
    <x v="0"/>
    <x v="1"/>
    <x v="8"/>
    <n v="327.84"/>
    <n v="8"/>
    <n v="0"/>
    <n v="157.36320000000001"/>
  </r>
  <r>
    <s v="Standard Class"/>
    <x v="1"/>
    <s v="United States"/>
    <s v="Columbus"/>
    <x v="14"/>
    <n v="47201"/>
    <x v="2"/>
    <x v="1"/>
    <x v="12"/>
    <n v="180.96"/>
    <n v="2"/>
    <n v="0"/>
    <n v="81.432000000000002"/>
  </r>
  <r>
    <s v="Standard Class"/>
    <x v="1"/>
    <s v="United States"/>
    <s v="Columbus"/>
    <x v="14"/>
    <n v="47201"/>
    <x v="2"/>
    <x v="1"/>
    <x v="8"/>
    <n v="914.97"/>
    <n v="3"/>
    <n v="0"/>
    <n v="411.73649999999998"/>
  </r>
  <r>
    <s v="Standard Class"/>
    <x v="1"/>
    <s v="United States"/>
    <s v="Columbus"/>
    <x v="14"/>
    <n v="47201"/>
    <x v="2"/>
    <x v="2"/>
    <x v="7"/>
    <n v="587.97"/>
    <n v="3"/>
    <n v="0"/>
    <n v="158.75190000000001"/>
  </r>
  <r>
    <s v="Standard Class"/>
    <x v="1"/>
    <s v="United States"/>
    <s v="Columbus"/>
    <x v="14"/>
    <n v="47201"/>
    <x v="2"/>
    <x v="1"/>
    <x v="4"/>
    <n v="530.34"/>
    <n v="2"/>
    <n v="0"/>
    <n v="95.461200000000005"/>
  </r>
  <r>
    <s v="Standard Class"/>
    <x v="1"/>
    <s v="United States"/>
    <s v="Columbus"/>
    <x v="14"/>
    <n v="47201"/>
    <x v="2"/>
    <x v="1"/>
    <x v="10"/>
    <n v="14.94"/>
    <n v="3"/>
    <n v="0"/>
    <n v="7.3205999999999998"/>
  </r>
  <r>
    <s v="Standard Class"/>
    <x v="0"/>
    <s v="United States"/>
    <s v="New York City"/>
    <x v="15"/>
    <n v="10024"/>
    <x v="3"/>
    <x v="1"/>
    <x v="9"/>
    <n v="121.94"/>
    <n v="2"/>
    <n v="0"/>
    <n v="35.3626"/>
  </r>
  <r>
    <s v="Standard Class"/>
    <x v="0"/>
    <s v="United States"/>
    <s v="New York City"/>
    <x v="15"/>
    <n v="10024"/>
    <x v="3"/>
    <x v="1"/>
    <x v="14"/>
    <n v="122.71"/>
    <n v="7"/>
    <n v="0"/>
    <n v="36.813000000000002"/>
  </r>
  <r>
    <s v="Same Day"/>
    <x v="0"/>
    <s v="United States"/>
    <s v="New York City"/>
    <x v="15"/>
    <n v="10035"/>
    <x v="3"/>
    <x v="1"/>
    <x v="10"/>
    <n v="14.94"/>
    <n v="3"/>
    <n v="0"/>
    <n v="7.0217999999999998"/>
  </r>
  <r>
    <s v="Same Day"/>
    <x v="0"/>
    <s v="United States"/>
    <s v="New York City"/>
    <x v="15"/>
    <n v="10035"/>
    <x v="3"/>
    <x v="2"/>
    <x v="15"/>
    <n v="1349.85"/>
    <n v="3"/>
    <n v="0"/>
    <n v="364.45949999999999"/>
  </r>
  <r>
    <s v="Same Day"/>
    <x v="0"/>
    <s v="United States"/>
    <s v="New York City"/>
    <x v="15"/>
    <n v="10035"/>
    <x v="3"/>
    <x v="0"/>
    <x v="0"/>
    <n v="136.78399999999999"/>
    <n v="1"/>
    <n v="0.2"/>
    <n v="5.1294000000000004"/>
  </r>
  <r>
    <s v="Same Day"/>
    <x v="0"/>
    <s v="United States"/>
    <s v="New York City"/>
    <x v="15"/>
    <n v="10035"/>
    <x v="3"/>
    <x v="0"/>
    <x v="5"/>
    <n v="61.12"/>
    <n v="4"/>
    <n v="0"/>
    <n v="20.780799999999999"/>
  </r>
  <r>
    <s v="Standard Class"/>
    <x v="1"/>
    <s v="United States"/>
    <s v="Jacksonville"/>
    <x v="2"/>
    <n v="32216"/>
    <x v="0"/>
    <x v="1"/>
    <x v="8"/>
    <n v="1.167"/>
    <n v="1"/>
    <n v="0.7"/>
    <n v="-0.85580000000000001"/>
  </r>
  <r>
    <s v="Standard Class"/>
    <x v="2"/>
    <s v="United States"/>
    <s v="San Diego"/>
    <x v="1"/>
    <n v="92024"/>
    <x v="1"/>
    <x v="1"/>
    <x v="6"/>
    <n v="16.989999999999998"/>
    <n v="1"/>
    <n v="0"/>
    <n v="4.9271000000000003"/>
  </r>
  <r>
    <s v="Standard Class"/>
    <x v="1"/>
    <s v="United States"/>
    <s v="Arlington"/>
    <x v="5"/>
    <n v="76017"/>
    <x v="2"/>
    <x v="2"/>
    <x v="11"/>
    <n v="24.672000000000001"/>
    <n v="3"/>
    <n v="0.2"/>
    <n v="0"/>
  </r>
  <r>
    <s v="Standard Class"/>
    <x v="1"/>
    <s v="United States"/>
    <s v="Arlington"/>
    <x v="5"/>
    <n v="76017"/>
    <x v="2"/>
    <x v="1"/>
    <x v="2"/>
    <n v="2.52"/>
    <n v="1"/>
    <n v="0.2"/>
    <n v="0.88200000000000001"/>
  </r>
  <r>
    <s v="Standard Class"/>
    <x v="1"/>
    <s v="United States"/>
    <s v="Arlington"/>
    <x v="5"/>
    <n v="76017"/>
    <x v="2"/>
    <x v="0"/>
    <x v="3"/>
    <n v="1218.7349999999999"/>
    <n v="5"/>
    <n v="0.3"/>
    <n v="-121.87350000000001"/>
  </r>
  <r>
    <s v="Standard Class"/>
    <x v="1"/>
    <s v="United States"/>
    <s v="Arlington"/>
    <x v="5"/>
    <n v="76017"/>
    <x v="2"/>
    <x v="1"/>
    <x v="2"/>
    <n v="5.9039999999999999"/>
    <n v="2"/>
    <n v="0.2"/>
    <n v="1.9925999999999999"/>
  </r>
  <r>
    <s v="Standard Class"/>
    <x v="1"/>
    <s v="United States"/>
    <s v="Arlington"/>
    <x v="5"/>
    <n v="76017"/>
    <x v="2"/>
    <x v="1"/>
    <x v="10"/>
    <n v="15.696"/>
    <n v="3"/>
    <n v="0.2"/>
    <n v="5.1012000000000004"/>
  </r>
  <r>
    <s v="Standard Class"/>
    <x v="1"/>
    <s v="United States"/>
    <s v="Arlington"/>
    <x v="5"/>
    <n v="76017"/>
    <x v="2"/>
    <x v="0"/>
    <x v="5"/>
    <n v="6.0960000000000001"/>
    <n v="3"/>
    <n v="0.6"/>
    <n v="-3.9624000000000001"/>
  </r>
  <r>
    <s v="Standard Class"/>
    <x v="1"/>
    <s v="United States"/>
    <s v="Los Angeles"/>
    <x v="1"/>
    <n v="90045"/>
    <x v="1"/>
    <x v="0"/>
    <x v="1"/>
    <n v="41.567999999999998"/>
    <n v="2"/>
    <n v="0.2"/>
    <n v="2.5979999999999999"/>
  </r>
  <r>
    <s v="Standard Class"/>
    <x v="1"/>
    <s v="United States"/>
    <s v="Los Angeles"/>
    <x v="1"/>
    <n v="90049"/>
    <x v="1"/>
    <x v="0"/>
    <x v="1"/>
    <n v="230.28"/>
    <n v="3"/>
    <n v="0.2"/>
    <n v="23.027999999999999"/>
  </r>
  <r>
    <s v="Standard Class"/>
    <x v="1"/>
    <s v="United States"/>
    <s v="Los Angeles"/>
    <x v="1"/>
    <n v="90049"/>
    <x v="1"/>
    <x v="1"/>
    <x v="8"/>
    <n v="18.288"/>
    <n v="6"/>
    <n v="0.2"/>
    <n v="5.7149999999999999"/>
  </r>
  <r>
    <s v="Standard Class"/>
    <x v="0"/>
    <s v="United States"/>
    <s v="San Francisco"/>
    <x v="1"/>
    <n v="94110"/>
    <x v="1"/>
    <x v="1"/>
    <x v="2"/>
    <n v="5.78"/>
    <n v="2"/>
    <n v="0"/>
    <n v="2.7166000000000001"/>
  </r>
  <r>
    <s v="Standard Class"/>
    <x v="0"/>
    <s v="United States"/>
    <s v="San Francisco"/>
    <x v="1"/>
    <n v="94110"/>
    <x v="1"/>
    <x v="1"/>
    <x v="8"/>
    <n v="121.68"/>
    <n v="13"/>
    <n v="0.2"/>
    <n v="38.024999999999999"/>
  </r>
  <r>
    <s v="Standard Class"/>
    <x v="1"/>
    <s v="United States"/>
    <s v="Carlsbad"/>
    <x v="27"/>
    <n v="88220"/>
    <x v="1"/>
    <x v="1"/>
    <x v="6"/>
    <n v="4.17"/>
    <n v="3"/>
    <n v="0"/>
    <n v="1.0842000000000001"/>
  </r>
  <r>
    <s v="Standard Class"/>
    <x v="1"/>
    <s v="United States"/>
    <s v="Carlsbad"/>
    <x v="27"/>
    <n v="88220"/>
    <x v="1"/>
    <x v="2"/>
    <x v="7"/>
    <n v="67.040000000000006"/>
    <n v="4"/>
    <n v="0.2"/>
    <n v="6.7039999999999997"/>
  </r>
  <r>
    <s v="Standard Class"/>
    <x v="1"/>
    <s v="United States"/>
    <s v="Carlsbad"/>
    <x v="27"/>
    <n v="88220"/>
    <x v="1"/>
    <x v="1"/>
    <x v="4"/>
    <n v="37.32"/>
    <n v="3"/>
    <n v="0"/>
    <n v="10.4496"/>
  </r>
  <r>
    <s v="Standard Class"/>
    <x v="1"/>
    <s v="United States"/>
    <s v="Carlsbad"/>
    <x v="27"/>
    <n v="88220"/>
    <x v="1"/>
    <x v="1"/>
    <x v="2"/>
    <n v="18.45"/>
    <n v="5"/>
    <n v="0"/>
    <n v="8.6715"/>
  </r>
  <r>
    <s v="Second Class"/>
    <x v="1"/>
    <s v="United States"/>
    <s v="Saint Louis"/>
    <x v="25"/>
    <n v="63116"/>
    <x v="2"/>
    <x v="1"/>
    <x v="10"/>
    <n v="25.92"/>
    <n v="4"/>
    <n v="0"/>
    <n v="12.441599999999999"/>
  </r>
  <r>
    <s v="First Class"/>
    <x v="2"/>
    <s v="United States"/>
    <s v="New York City"/>
    <x v="15"/>
    <n v="10024"/>
    <x v="3"/>
    <x v="2"/>
    <x v="16"/>
    <n v="11199.968000000001"/>
    <n v="4"/>
    <n v="0.2"/>
    <n v="3919.9888000000001"/>
  </r>
  <r>
    <s v="First Class"/>
    <x v="2"/>
    <s v="United States"/>
    <s v="New York City"/>
    <x v="15"/>
    <n v="10024"/>
    <x v="3"/>
    <x v="2"/>
    <x v="7"/>
    <n v="2399.6"/>
    <n v="8"/>
    <n v="0"/>
    <n v="647.89200000000005"/>
  </r>
  <r>
    <s v="First Class"/>
    <x v="2"/>
    <s v="United States"/>
    <s v="New York City"/>
    <x v="15"/>
    <n v="10024"/>
    <x v="3"/>
    <x v="1"/>
    <x v="12"/>
    <n v="63.9"/>
    <n v="5"/>
    <n v="0"/>
    <n v="28.754999999999999"/>
  </r>
  <r>
    <s v="First Class"/>
    <x v="2"/>
    <s v="United States"/>
    <s v="New York City"/>
    <x v="15"/>
    <n v="10024"/>
    <x v="3"/>
    <x v="2"/>
    <x v="7"/>
    <n v="52.99"/>
    <n v="1"/>
    <n v="0"/>
    <n v="0.52990000000000004"/>
  </r>
  <r>
    <s v="First Class"/>
    <x v="1"/>
    <s v="United States"/>
    <s v="Springfield"/>
    <x v="24"/>
    <n v="45503"/>
    <x v="3"/>
    <x v="2"/>
    <x v="11"/>
    <n v="60.863999999999997"/>
    <n v="4"/>
    <n v="0.2"/>
    <n v="9.1295999999999999"/>
  </r>
  <r>
    <s v="First Class"/>
    <x v="1"/>
    <s v="United States"/>
    <s v="Springfield"/>
    <x v="24"/>
    <n v="45503"/>
    <x v="3"/>
    <x v="2"/>
    <x v="15"/>
    <n v="652.995"/>
    <n v="7"/>
    <n v="0.7"/>
    <n v="-935.95950000000005"/>
  </r>
  <r>
    <s v="First Class"/>
    <x v="1"/>
    <s v="United States"/>
    <s v="Springfield"/>
    <x v="24"/>
    <n v="45503"/>
    <x v="3"/>
    <x v="1"/>
    <x v="8"/>
    <n v="11.22"/>
    <n v="10"/>
    <n v="0.7"/>
    <n v="-7.48"/>
  </r>
  <r>
    <s v="Standard Class"/>
    <x v="0"/>
    <s v="United States"/>
    <s v="Tulsa"/>
    <x v="26"/>
    <n v="74133"/>
    <x v="2"/>
    <x v="1"/>
    <x v="10"/>
    <n v="14.94"/>
    <n v="3"/>
    <n v="0"/>
    <n v="7.0217999999999998"/>
  </r>
  <r>
    <s v="Standard Class"/>
    <x v="0"/>
    <s v="United States"/>
    <s v="Seattle"/>
    <x v="4"/>
    <n v="98103"/>
    <x v="1"/>
    <x v="0"/>
    <x v="5"/>
    <n v="39.96"/>
    <n v="2"/>
    <n v="0"/>
    <n v="17.1828"/>
  </r>
  <r>
    <s v="Standard Class"/>
    <x v="0"/>
    <s v="United States"/>
    <s v="Seattle"/>
    <x v="4"/>
    <n v="98103"/>
    <x v="1"/>
    <x v="0"/>
    <x v="1"/>
    <n v="42.624000000000002"/>
    <n v="2"/>
    <n v="0.2"/>
    <n v="4.2624000000000004"/>
  </r>
  <r>
    <s v="Standard Class"/>
    <x v="0"/>
    <s v="United States"/>
    <s v="Seattle"/>
    <x v="4"/>
    <n v="98103"/>
    <x v="1"/>
    <x v="0"/>
    <x v="1"/>
    <n v="220.96"/>
    <n v="1"/>
    <n v="0.2"/>
    <n v="24.858000000000001"/>
  </r>
  <r>
    <s v="Second Class"/>
    <x v="1"/>
    <s v="United States"/>
    <s v="Fayetteville"/>
    <x v="3"/>
    <n v="28314"/>
    <x v="0"/>
    <x v="0"/>
    <x v="5"/>
    <n v="4.9279999999999999"/>
    <n v="2"/>
    <n v="0.2"/>
    <n v="0.73919999999999997"/>
  </r>
  <r>
    <s v="Second Class"/>
    <x v="1"/>
    <s v="United States"/>
    <s v="Fayetteville"/>
    <x v="3"/>
    <n v="28314"/>
    <x v="0"/>
    <x v="1"/>
    <x v="8"/>
    <n v="7.23"/>
    <n v="5"/>
    <n v="0.7"/>
    <n v="-5.7839999999999998"/>
  </r>
  <r>
    <s v="Standard Class"/>
    <x v="1"/>
    <s v="United States"/>
    <s v="Los Angeles"/>
    <x v="1"/>
    <n v="90045"/>
    <x v="1"/>
    <x v="1"/>
    <x v="4"/>
    <n v="323.10000000000002"/>
    <n v="2"/>
    <n v="0"/>
    <n v="61.389000000000003"/>
  </r>
  <r>
    <s v="Standard Class"/>
    <x v="0"/>
    <s v="United States"/>
    <s v="New York City"/>
    <x v="15"/>
    <n v="10035"/>
    <x v="3"/>
    <x v="1"/>
    <x v="10"/>
    <n v="19.04"/>
    <n v="4"/>
    <n v="0"/>
    <n v="9.3295999999999992"/>
  </r>
  <r>
    <s v="Standard Class"/>
    <x v="0"/>
    <s v="United States"/>
    <s v="New York City"/>
    <x v="15"/>
    <n v="10035"/>
    <x v="3"/>
    <x v="1"/>
    <x v="8"/>
    <n v="13.128"/>
    <n v="3"/>
    <n v="0.2"/>
    <n v="4.2666000000000004"/>
  </r>
  <r>
    <s v="Standard Class"/>
    <x v="0"/>
    <s v="United States"/>
    <s v="New York City"/>
    <x v="15"/>
    <n v="10035"/>
    <x v="3"/>
    <x v="1"/>
    <x v="6"/>
    <n v="64.14"/>
    <n v="3"/>
    <n v="0"/>
    <n v="16.676400000000001"/>
  </r>
  <r>
    <s v="Standard Class"/>
    <x v="0"/>
    <s v="United States"/>
    <s v="New York City"/>
    <x v="15"/>
    <n v="10035"/>
    <x v="3"/>
    <x v="0"/>
    <x v="1"/>
    <n v="858.24"/>
    <n v="4"/>
    <n v="0.1"/>
    <n v="143.04"/>
  </r>
  <r>
    <s v="Standard Class"/>
    <x v="0"/>
    <s v="United States"/>
    <s v="Hot Springs"/>
    <x v="36"/>
    <n v="71901"/>
    <x v="0"/>
    <x v="2"/>
    <x v="11"/>
    <n v="29.99"/>
    <n v="1"/>
    <n v="0"/>
    <n v="2.9990000000000001"/>
  </r>
  <r>
    <s v="First Class"/>
    <x v="0"/>
    <s v="United States"/>
    <s v="Aurora"/>
    <x v="10"/>
    <n v="60505"/>
    <x v="2"/>
    <x v="1"/>
    <x v="10"/>
    <n v="186.048"/>
    <n v="6"/>
    <n v="0.2"/>
    <n v="67.442400000000006"/>
  </r>
  <r>
    <s v="Second Class"/>
    <x v="2"/>
    <s v="United States"/>
    <s v="Raleigh"/>
    <x v="3"/>
    <n v="27604"/>
    <x v="0"/>
    <x v="2"/>
    <x v="7"/>
    <n v="36.792000000000002"/>
    <n v="1"/>
    <n v="0.2"/>
    <n v="4.1391"/>
  </r>
  <r>
    <s v="Second Class"/>
    <x v="2"/>
    <s v="United States"/>
    <s v="Raleigh"/>
    <x v="3"/>
    <n v="27604"/>
    <x v="0"/>
    <x v="0"/>
    <x v="5"/>
    <n v="18.623999999999999"/>
    <n v="8"/>
    <n v="0.2"/>
    <n v="6.2855999999999996"/>
  </r>
  <r>
    <s v="Second Class"/>
    <x v="0"/>
    <s v="United States"/>
    <s v="Tulsa"/>
    <x v="26"/>
    <n v="74133"/>
    <x v="2"/>
    <x v="0"/>
    <x v="5"/>
    <n v="57.69"/>
    <n v="3"/>
    <n v="0"/>
    <n v="23.652899999999999"/>
  </r>
  <r>
    <s v="Second Class"/>
    <x v="0"/>
    <s v="United States"/>
    <s v="Tulsa"/>
    <x v="26"/>
    <n v="74133"/>
    <x v="2"/>
    <x v="1"/>
    <x v="8"/>
    <n v="42.81"/>
    <n v="3"/>
    <n v="0"/>
    <n v="20.120699999999999"/>
  </r>
  <r>
    <s v="Second Class"/>
    <x v="0"/>
    <s v="United States"/>
    <s v="Tulsa"/>
    <x v="26"/>
    <n v="74133"/>
    <x v="2"/>
    <x v="1"/>
    <x v="10"/>
    <n v="12.96"/>
    <n v="2"/>
    <n v="0"/>
    <n v="6.2207999999999997"/>
  </r>
  <r>
    <s v="Second Class"/>
    <x v="0"/>
    <s v="United States"/>
    <s v="Tulsa"/>
    <x v="26"/>
    <n v="74133"/>
    <x v="2"/>
    <x v="0"/>
    <x v="5"/>
    <n v="821.88"/>
    <n v="6"/>
    <n v="0"/>
    <n v="213.68879999999999"/>
  </r>
  <r>
    <s v="Second Class"/>
    <x v="0"/>
    <s v="United States"/>
    <s v="Tulsa"/>
    <x v="26"/>
    <n v="74133"/>
    <x v="2"/>
    <x v="2"/>
    <x v="7"/>
    <n v="104.85"/>
    <n v="3"/>
    <n v="0"/>
    <n v="28.3095"/>
  </r>
  <r>
    <s v="Standard Class"/>
    <x v="1"/>
    <s v="United States"/>
    <s v="Hesperia"/>
    <x v="1"/>
    <n v="92345"/>
    <x v="1"/>
    <x v="0"/>
    <x v="0"/>
    <n v="424.95749999999998"/>
    <n v="5"/>
    <n v="0.15"/>
    <n v="19.998000000000001"/>
  </r>
  <r>
    <s v="Second Class"/>
    <x v="1"/>
    <s v="United States"/>
    <s v="Provo"/>
    <x v="7"/>
    <n v="84604"/>
    <x v="1"/>
    <x v="1"/>
    <x v="8"/>
    <n v="10.776"/>
    <n v="3"/>
    <n v="0.2"/>
    <n v="3.5022000000000002"/>
  </r>
  <r>
    <s v="Second Class"/>
    <x v="1"/>
    <s v="United States"/>
    <s v="Provo"/>
    <x v="7"/>
    <n v="84604"/>
    <x v="1"/>
    <x v="1"/>
    <x v="8"/>
    <n v="11.784000000000001"/>
    <n v="3"/>
    <n v="0.2"/>
    <n v="4.2717000000000001"/>
  </r>
  <r>
    <s v="Second Class"/>
    <x v="1"/>
    <s v="United States"/>
    <s v="Provo"/>
    <x v="7"/>
    <n v="84604"/>
    <x v="1"/>
    <x v="1"/>
    <x v="10"/>
    <n v="164.88"/>
    <n v="3"/>
    <n v="0"/>
    <n v="80.791200000000003"/>
  </r>
  <r>
    <s v="Second Class"/>
    <x v="1"/>
    <s v="United States"/>
    <s v="Provo"/>
    <x v="7"/>
    <n v="84604"/>
    <x v="1"/>
    <x v="0"/>
    <x v="0"/>
    <n v="1292.94"/>
    <n v="3"/>
    <n v="0"/>
    <n v="77.576400000000007"/>
  </r>
  <r>
    <s v="Second Class"/>
    <x v="1"/>
    <s v="United States"/>
    <s v="Provo"/>
    <x v="7"/>
    <n v="84604"/>
    <x v="1"/>
    <x v="1"/>
    <x v="8"/>
    <n v="25.584"/>
    <n v="2"/>
    <n v="0.2"/>
    <n v="8.9543999999999997"/>
  </r>
  <r>
    <s v="Second Class"/>
    <x v="1"/>
    <s v="United States"/>
    <s v="Provo"/>
    <x v="7"/>
    <n v="84604"/>
    <x v="1"/>
    <x v="1"/>
    <x v="4"/>
    <n v="261.74"/>
    <n v="2"/>
    <n v="0"/>
    <n v="65.435000000000002"/>
  </r>
  <r>
    <s v="Second Class"/>
    <x v="1"/>
    <s v="United States"/>
    <s v="Provo"/>
    <x v="7"/>
    <n v="84604"/>
    <x v="1"/>
    <x v="1"/>
    <x v="2"/>
    <n v="14.4"/>
    <n v="5"/>
    <n v="0"/>
    <n v="7.056"/>
  </r>
  <r>
    <s v="Standard Class"/>
    <x v="0"/>
    <s v="United States"/>
    <s v="San Francisco"/>
    <x v="1"/>
    <n v="94110"/>
    <x v="1"/>
    <x v="1"/>
    <x v="12"/>
    <n v="10.86"/>
    <n v="3"/>
    <n v="0"/>
    <n v="5.1041999999999996"/>
  </r>
  <r>
    <s v="Standard Class"/>
    <x v="1"/>
    <s v="United States"/>
    <s v="Gilbert"/>
    <x v="16"/>
    <n v="85234"/>
    <x v="1"/>
    <x v="0"/>
    <x v="1"/>
    <n v="883.84"/>
    <n v="4"/>
    <n v="0.2"/>
    <n v="99.432000000000002"/>
  </r>
  <r>
    <s v="Standard Class"/>
    <x v="1"/>
    <s v="United States"/>
    <s v="New York City"/>
    <x v="15"/>
    <n v="10035"/>
    <x v="3"/>
    <x v="2"/>
    <x v="7"/>
    <n v="1979.89"/>
    <n v="11"/>
    <n v="0"/>
    <n v="494.97250000000003"/>
  </r>
  <r>
    <s v="Standard Class"/>
    <x v="1"/>
    <s v="United States"/>
    <s v="New York City"/>
    <x v="15"/>
    <n v="10035"/>
    <x v="3"/>
    <x v="1"/>
    <x v="12"/>
    <n v="79.959999999999994"/>
    <n v="2"/>
    <n v="0"/>
    <n v="35.981999999999999"/>
  </r>
  <r>
    <s v="First Class"/>
    <x v="2"/>
    <s v="United States"/>
    <s v="Springfield"/>
    <x v="25"/>
    <n v="65807"/>
    <x v="2"/>
    <x v="1"/>
    <x v="8"/>
    <n v="8.76"/>
    <n v="2"/>
    <n v="0"/>
    <n v="4.2047999999999996"/>
  </r>
  <r>
    <s v="First Class"/>
    <x v="0"/>
    <s v="United States"/>
    <s v="Memphis"/>
    <x v="18"/>
    <n v="38109"/>
    <x v="0"/>
    <x v="1"/>
    <x v="2"/>
    <n v="3.984"/>
    <n v="1"/>
    <n v="0.2"/>
    <n v="1.2948"/>
  </r>
  <r>
    <s v="First Class"/>
    <x v="0"/>
    <s v="United States"/>
    <s v="Memphis"/>
    <x v="18"/>
    <n v="38109"/>
    <x v="0"/>
    <x v="0"/>
    <x v="3"/>
    <n v="370.62"/>
    <n v="3"/>
    <n v="0.4"/>
    <n v="-142.071"/>
  </r>
  <r>
    <s v="First Class"/>
    <x v="0"/>
    <s v="United States"/>
    <s v="Memphis"/>
    <x v="18"/>
    <n v="38109"/>
    <x v="0"/>
    <x v="1"/>
    <x v="8"/>
    <n v="2.742"/>
    <n v="2"/>
    <n v="0.7"/>
    <n v="-2.0108000000000001"/>
  </r>
  <r>
    <s v="Same Day"/>
    <x v="0"/>
    <s v="United States"/>
    <s v="Amarillo"/>
    <x v="5"/>
    <n v="79109"/>
    <x v="2"/>
    <x v="2"/>
    <x v="11"/>
    <n v="79.512"/>
    <n v="3"/>
    <n v="0.2"/>
    <n v="20.8719"/>
  </r>
  <r>
    <s v="Same Day"/>
    <x v="0"/>
    <s v="United States"/>
    <s v="Amarillo"/>
    <x v="5"/>
    <n v="79109"/>
    <x v="2"/>
    <x v="1"/>
    <x v="10"/>
    <n v="28.352"/>
    <n v="1"/>
    <n v="0.2"/>
    <n v="9.5687999999999995"/>
  </r>
  <r>
    <s v="Standard Class"/>
    <x v="2"/>
    <s v="United States"/>
    <s v="Los Angeles"/>
    <x v="1"/>
    <n v="90045"/>
    <x v="1"/>
    <x v="0"/>
    <x v="1"/>
    <n v="40.783999999999999"/>
    <n v="1"/>
    <n v="0.2"/>
    <n v="4.5881999999999996"/>
  </r>
  <r>
    <s v="Standard Class"/>
    <x v="2"/>
    <s v="United States"/>
    <s v="Los Angeles"/>
    <x v="1"/>
    <n v="90045"/>
    <x v="1"/>
    <x v="1"/>
    <x v="9"/>
    <n v="105.96"/>
    <n v="4"/>
    <n v="0"/>
    <n v="29.668800000000001"/>
  </r>
  <r>
    <s v="Second Class"/>
    <x v="1"/>
    <s v="United States"/>
    <s v="Lowell"/>
    <x v="31"/>
    <n v="1852"/>
    <x v="3"/>
    <x v="1"/>
    <x v="10"/>
    <n v="166.44"/>
    <n v="3"/>
    <n v="0"/>
    <n v="79.891199999999998"/>
  </r>
  <r>
    <s v="Second Class"/>
    <x v="1"/>
    <s v="United States"/>
    <s v="Lowell"/>
    <x v="31"/>
    <n v="1852"/>
    <x v="3"/>
    <x v="0"/>
    <x v="1"/>
    <n v="785.88"/>
    <n v="6"/>
    <n v="0"/>
    <n v="212.1876"/>
  </r>
  <r>
    <s v="Second Class"/>
    <x v="1"/>
    <s v="United States"/>
    <s v="Lowell"/>
    <x v="31"/>
    <n v="1852"/>
    <x v="3"/>
    <x v="1"/>
    <x v="10"/>
    <n v="26.2"/>
    <n v="2"/>
    <n v="0"/>
    <n v="12.837999999999999"/>
  </r>
  <r>
    <s v="Second Class"/>
    <x v="1"/>
    <s v="United States"/>
    <s v="Lowell"/>
    <x v="31"/>
    <n v="1852"/>
    <x v="3"/>
    <x v="1"/>
    <x v="4"/>
    <n v="1325.85"/>
    <n v="5"/>
    <n v="0"/>
    <n v="238.65299999999999"/>
  </r>
  <r>
    <s v="Same Day"/>
    <x v="0"/>
    <s v="United States"/>
    <s v="San Diego"/>
    <x v="1"/>
    <n v="92024"/>
    <x v="1"/>
    <x v="1"/>
    <x v="10"/>
    <n v="166.44"/>
    <n v="3"/>
    <n v="0"/>
    <n v="79.891199999999998"/>
  </r>
  <r>
    <s v="Standard Class"/>
    <x v="0"/>
    <s v="United States"/>
    <s v="Asheville"/>
    <x v="3"/>
    <n v="28806"/>
    <x v="0"/>
    <x v="1"/>
    <x v="6"/>
    <n v="8.76"/>
    <n v="5"/>
    <n v="0.2"/>
    <n v="0.76649999999999996"/>
  </r>
  <r>
    <s v="Standard Class"/>
    <x v="0"/>
    <s v="United States"/>
    <s v="Asheville"/>
    <x v="3"/>
    <n v="28806"/>
    <x v="0"/>
    <x v="1"/>
    <x v="9"/>
    <n v="43.584000000000003"/>
    <n v="1"/>
    <n v="0.2"/>
    <n v="4.3583999999999996"/>
  </r>
  <r>
    <s v="Same Day"/>
    <x v="0"/>
    <s v="United States"/>
    <s v="Pueblo"/>
    <x v="22"/>
    <n v="81001"/>
    <x v="1"/>
    <x v="1"/>
    <x v="8"/>
    <n v="11.087999999999999"/>
    <n v="7"/>
    <n v="0.7"/>
    <n v="-8.1311999999999998"/>
  </r>
  <r>
    <s v="Same Day"/>
    <x v="0"/>
    <s v="United States"/>
    <s v="Pueblo"/>
    <x v="22"/>
    <n v="81001"/>
    <x v="1"/>
    <x v="1"/>
    <x v="8"/>
    <n v="25.164000000000001"/>
    <n v="2"/>
    <n v="0.7"/>
    <n v="-16.776"/>
  </r>
  <r>
    <s v="Standard Class"/>
    <x v="2"/>
    <s v="United States"/>
    <s v="Jackson"/>
    <x v="12"/>
    <n v="49201"/>
    <x v="2"/>
    <x v="1"/>
    <x v="8"/>
    <n v="14.4"/>
    <n v="5"/>
    <n v="0"/>
    <n v="7.056"/>
  </r>
  <r>
    <s v="Standard Class"/>
    <x v="2"/>
    <s v="United States"/>
    <s v="Jackson"/>
    <x v="12"/>
    <n v="49201"/>
    <x v="2"/>
    <x v="2"/>
    <x v="11"/>
    <n v="619.95000000000005"/>
    <n v="5"/>
    <n v="0"/>
    <n v="111.59099999999999"/>
  </r>
  <r>
    <s v="Standard Class"/>
    <x v="2"/>
    <s v="United States"/>
    <s v="Jackson"/>
    <x v="12"/>
    <n v="49201"/>
    <x v="2"/>
    <x v="1"/>
    <x v="8"/>
    <n v="89.52"/>
    <n v="4"/>
    <n v="0"/>
    <n v="42.074399999999997"/>
  </r>
  <r>
    <s v="Standard Class"/>
    <x v="2"/>
    <s v="United States"/>
    <s v="Jackson"/>
    <x v="12"/>
    <n v="49201"/>
    <x v="2"/>
    <x v="2"/>
    <x v="15"/>
    <n v="350.97300000000001"/>
    <n v="3"/>
    <n v="0.1"/>
    <n v="152.0883"/>
  </r>
  <r>
    <s v="Standard Class"/>
    <x v="2"/>
    <s v="United States"/>
    <s v="Jackson"/>
    <x v="12"/>
    <n v="49201"/>
    <x v="2"/>
    <x v="2"/>
    <x v="7"/>
    <n v="164.99"/>
    <n v="1"/>
    <n v="0"/>
    <n v="49.497"/>
  </r>
  <r>
    <s v="Standard Class"/>
    <x v="0"/>
    <s v="United States"/>
    <s v="Los Angeles"/>
    <x v="1"/>
    <n v="90004"/>
    <x v="1"/>
    <x v="1"/>
    <x v="8"/>
    <n v="312.55200000000002"/>
    <n v="9"/>
    <n v="0.2"/>
    <n v="101.57940000000001"/>
  </r>
  <r>
    <s v="Standard Class"/>
    <x v="0"/>
    <s v="United States"/>
    <s v="Thomasville"/>
    <x v="3"/>
    <n v="27360"/>
    <x v="0"/>
    <x v="1"/>
    <x v="12"/>
    <n v="95.951999999999998"/>
    <n v="3"/>
    <n v="0.2"/>
    <n v="29.984999999999999"/>
  </r>
  <r>
    <s v="Standard Class"/>
    <x v="0"/>
    <s v="United States"/>
    <s v="Thomasville"/>
    <x v="3"/>
    <n v="27360"/>
    <x v="0"/>
    <x v="1"/>
    <x v="8"/>
    <n v="3.2040000000000002"/>
    <n v="2"/>
    <n v="0.7"/>
    <n v="-2.4563999999999999"/>
  </r>
  <r>
    <s v="First Class"/>
    <x v="0"/>
    <s v="United States"/>
    <s v="Peoria"/>
    <x v="10"/>
    <n v="61604"/>
    <x v="2"/>
    <x v="1"/>
    <x v="8"/>
    <n v="3.98"/>
    <n v="5"/>
    <n v="0.8"/>
    <n v="-6.5670000000000002"/>
  </r>
  <r>
    <s v="First Class"/>
    <x v="1"/>
    <s v="United States"/>
    <s v="Los Angeles"/>
    <x v="1"/>
    <n v="90032"/>
    <x v="1"/>
    <x v="1"/>
    <x v="10"/>
    <n v="15.7"/>
    <n v="5"/>
    <n v="0"/>
    <n v="7.0650000000000004"/>
  </r>
  <r>
    <s v="First Class"/>
    <x v="0"/>
    <s v="United States"/>
    <s v="Chicago"/>
    <x v="10"/>
    <n v="60653"/>
    <x v="2"/>
    <x v="1"/>
    <x v="6"/>
    <n v="5.2480000000000002"/>
    <n v="4"/>
    <n v="0.2"/>
    <n v="1.64"/>
  </r>
  <r>
    <s v="Standard Class"/>
    <x v="0"/>
    <s v="United States"/>
    <s v="Philadelphia"/>
    <x v="9"/>
    <n v="19134"/>
    <x v="3"/>
    <x v="1"/>
    <x v="8"/>
    <n v="5.3460000000000001"/>
    <n v="3"/>
    <n v="0.7"/>
    <n v="-4.4550000000000001"/>
  </r>
  <r>
    <s v="Standard Class"/>
    <x v="0"/>
    <s v="United States"/>
    <s v="Englewood"/>
    <x v="22"/>
    <n v="80112"/>
    <x v="1"/>
    <x v="1"/>
    <x v="10"/>
    <n v="15.48"/>
    <n v="3"/>
    <n v="0.2"/>
    <n v="5.6115000000000004"/>
  </r>
  <r>
    <s v="Standard Class"/>
    <x v="0"/>
    <s v="United States"/>
    <s v="Englewood"/>
    <x v="22"/>
    <n v="80112"/>
    <x v="1"/>
    <x v="2"/>
    <x v="7"/>
    <n v="108.57599999999999"/>
    <n v="3"/>
    <n v="0.2"/>
    <n v="8.1432000000000002"/>
  </r>
  <r>
    <s v="Standard Class"/>
    <x v="1"/>
    <s v="United States"/>
    <s v="Seattle"/>
    <x v="4"/>
    <n v="98115"/>
    <x v="1"/>
    <x v="0"/>
    <x v="5"/>
    <n v="109.9"/>
    <n v="5"/>
    <n v="0"/>
    <n v="37.366"/>
  </r>
  <r>
    <s v="Standard Class"/>
    <x v="0"/>
    <s v="United States"/>
    <s v="Hialeah"/>
    <x v="2"/>
    <n v="33012"/>
    <x v="0"/>
    <x v="0"/>
    <x v="5"/>
    <n v="15.384"/>
    <n v="1"/>
    <n v="0.2"/>
    <n v="4.0382999999999996"/>
  </r>
  <r>
    <s v="First Class"/>
    <x v="0"/>
    <s v="United States"/>
    <s v="Lancaster"/>
    <x v="24"/>
    <n v="43130"/>
    <x v="3"/>
    <x v="1"/>
    <x v="10"/>
    <n v="30.352"/>
    <n v="2"/>
    <n v="0.2"/>
    <n v="10.623200000000001"/>
  </r>
  <r>
    <s v="Standard Class"/>
    <x v="2"/>
    <s v="United States"/>
    <s v="Jacksonville"/>
    <x v="2"/>
    <n v="32216"/>
    <x v="0"/>
    <x v="2"/>
    <x v="15"/>
    <n v="821.3"/>
    <n v="4"/>
    <n v="0.5"/>
    <n v="-16.425999999999998"/>
  </r>
  <r>
    <s v="Standard Class"/>
    <x v="2"/>
    <s v="United States"/>
    <s v="Jacksonville"/>
    <x v="2"/>
    <n v="32216"/>
    <x v="0"/>
    <x v="2"/>
    <x v="15"/>
    <n v="22638.48"/>
    <n v="6"/>
    <n v="0.5"/>
    <n v="-1811.0784000000001"/>
  </r>
  <r>
    <s v="Standard Class"/>
    <x v="2"/>
    <s v="United States"/>
    <s v="Jacksonville"/>
    <x v="2"/>
    <n v="32216"/>
    <x v="0"/>
    <x v="1"/>
    <x v="10"/>
    <n v="21.376000000000001"/>
    <n v="4"/>
    <n v="0.2"/>
    <n v="7.4816000000000003"/>
  </r>
  <r>
    <s v="Standard Class"/>
    <x v="2"/>
    <s v="United States"/>
    <s v="Jacksonville"/>
    <x v="2"/>
    <n v="32216"/>
    <x v="0"/>
    <x v="1"/>
    <x v="6"/>
    <n v="8.016"/>
    <n v="3"/>
    <n v="0.2"/>
    <n v="1.002"/>
  </r>
  <r>
    <s v="Standard Class"/>
    <x v="2"/>
    <s v="United States"/>
    <s v="Jacksonville"/>
    <x v="2"/>
    <n v="32216"/>
    <x v="0"/>
    <x v="0"/>
    <x v="5"/>
    <n v="30.768000000000001"/>
    <n v="2"/>
    <n v="0.2"/>
    <n v="8.0765999999999991"/>
  </r>
  <r>
    <s v="Standard Class"/>
    <x v="2"/>
    <s v="United States"/>
    <s v="Jacksonville"/>
    <x v="2"/>
    <n v="32216"/>
    <x v="0"/>
    <x v="1"/>
    <x v="13"/>
    <n v="18.936"/>
    <n v="3"/>
    <n v="0.2"/>
    <n v="5.9175000000000004"/>
  </r>
  <r>
    <s v="Standard Class"/>
    <x v="2"/>
    <s v="United States"/>
    <s v="Jacksonville"/>
    <x v="2"/>
    <n v="32216"/>
    <x v="0"/>
    <x v="0"/>
    <x v="5"/>
    <n v="122.352"/>
    <n v="3"/>
    <n v="0.2"/>
    <n v="15.294"/>
  </r>
  <r>
    <s v="Standard Class"/>
    <x v="0"/>
    <s v="United States"/>
    <s v="Baltimore"/>
    <x v="39"/>
    <n v="21215"/>
    <x v="3"/>
    <x v="1"/>
    <x v="10"/>
    <n v="116.28"/>
    <n v="3"/>
    <n v="0"/>
    <n v="56.977200000000003"/>
  </r>
  <r>
    <s v="Second Class"/>
    <x v="0"/>
    <s v="United States"/>
    <s v="New York City"/>
    <x v="15"/>
    <n v="10009"/>
    <x v="3"/>
    <x v="2"/>
    <x v="11"/>
    <n v="132.6"/>
    <n v="6"/>
    <n v="0"/>
    <n v="17.238"/>
  </r>
  <r>
    <s v="Standard Class"/>
    <x v="2"/>
    <s v="United States"/>
    <s v="Carlsbad"/>
    <x v="27"/>
    <n v="88220"/>
    <x v="1"/>
    <x v="1"/>
    <x v="14"/>
    <n v="16.68"/>
    <n v="2"/>
    <n v="0"/>
    <n v="4.3368000000000002"/>
  </r>
  <r>
    <s v="Standard Class"/>
    <x v="2"/>
    <s v="United States"/>
    <s v="Carlsbad"/>
    <x v="27"/>
    <n v="88220"/>
    <x v="1"/>
    <x v="1"/>
    <x v="10"/>
    <n v="19.440000000000001"/>
    <n v="3"/>
    <n v="0"/>
    <n v="9.3312000000000008"/>
  </r>
  <r>
    <s v="Standard Class"/>
    <x v="2"/>
    <s v="United States"/>
    <s v="Carlsbad"/>
    <x v="27"/>
    <n v="88220"/>
    <x v="1"/>
    <x v="1"/>
    <x v="10"/>
    <n v="192.16"/>
    <n v="4"/>
    <n v="0"/>
    <n v="92.236800000000002"/>
  </r>
  <r>
    <s v="Standard Class"/>
    <x v="0"/>
    <s v="United States"/>
    <s v="Los Angeles"/>
    <x v="1"/>
    <n v="90049"/>
    <x v="1"/>
    <x v="0"/>
    <x v="5"/>
    <n v="227.36"/>
    <n v="7"/>
    <n v="0"/>
    <n v="81.849599999999995"/>
  </r>
  <r>
    <s v="Standard Class"/>
    <x v="0"/>
    <s v="United States"/>
    <s v="Los Angeles"/>
    <x v="1"/>
    <n v="90049"/>
    <x v="1"/>
    <x v="2"/>
    <x v="15"/>
    <n v="1919.9760000000001"/>
    <n v="3"/>
    <n v="0.2"/>
    <n v="215.9973"/>
  </r>
  <r>
    <s v="Standard Class"/>
    <x v="0"/>
    <s v="United States"/>
    <s v="Jacksonville"/>
    <x v="2"/>
    <n v="32216"/>
    <x v="0"/>
    <x v="1"/>
    <x v="8"/>
    <n v="12.827999999999999"/>
    <n v="2"/>
    <n v="0.7"/>
    <n v="-8.9795999999999996"/>
  </r>
  <r>
    <s v="First Class"/>
    <x v="1"/>
    <s v="United States"/>
    <s v="Lakewood"/>
    <x v="24"/>
    <n v="44107"/>
    <x v="3"/>
    <x v="0"/>
    <x v="5"/>
    <n v="45.887999999999998"/>
    <n v="4"/>
    <n v="0.2"/>
    <n v="9.1776"/>
  </r>
  <r>
    <s v="Second Class"/>
    <x v="0"/>
    <s v="United States"/>
    <s v="Troy"/>
    <x v="15"/>
    <n v="12180"/>
    <x v="3"/>
    <x v="1"/>
    <x v="6"/>
    <n v="60.12"/>
    <n v="9"/>
    <n v="0"/>
    <n v="22.244399999999999"/>
  </r>
  <r>
    <s v="Standard Class"/>
    <x v="0"/>
    <s v="United States"/>
    <s v="Wilmington"/>
    <x v="3"/>
    <n v="28403"/>
    <x v="0"/>
    <x v="2"/>
    <x v="7"/>
    <n v="302.37599999999998"/>
    <n v="3"/>
    <n v="0.2"/>
    <n v="37.796999999999997"/>
  </r>
  <r>
    <s v="Standard Class"/>
    <x v="2"/>
    <s v="United States"/>
    <s v="Seattle"/>
    <x v="4"/>
    <n v="98105"/>
    <x v="1"/>
    <x v="1"/>
    <x v="6"/>
    <n v="13.9"/>
    <n v="5"/>
    <n v="0"/>
    <n v="5.56"/>
  </r>
  <r>
    <s v="Standard Class"/>
    <x v="1"/>
    <s v="United States"/>
    <s v="New York City"/>
    <x v="15"/>
    <n v="10024"/>
    <x v="3"/>
    <x v="2"/>
    <x v="7"/>
    <n v="129.97999999999999"/>
    <n v="2"/>
    <n v="0"/>
    <n v="62.3904"/>
  </r>
  <r>
    <s v="Standard Class"/>
    <x v="2"/>
    <s v="United States"/>
    <s v="Columbus"/>
    <x v="32"/>
    <n v="31907"/>
    <x v="0"/>
    <x v="2"/>
    <x v="11"/>
    <n v="71.98"/>
    <n v="2"/>
    <n v="0"/>
    <n v="15.1158"/>
  </r>
  <r>
    <s v="Standard Class"/>
    <x v="0"/>
    <s v="United States"/>
    <s v="New York City"/>
    <x v="15"/>
    <n v="10024"/>
    <x v="3"/>
    <x v="2"/>
    <x v="7"/>
    <n v="377.97"/>
    <n v="3"/>
    <n v="0"/>
    <n v="109.6113"/>
  </r>
  <r>
    <s v="Standard Class"/>
    <x v="0"/>
    <s v="United States"/>
    <s v="Costa Mesa"/>
    <x v="1"/>
    <n v="92627"/>
    <x v="1"/>
    <x v="1"/>
    <x v="4"/>
    <n v="124.36"/>
    <n v="2"/>
    <n v="0"/>
    <n v="33.577199999999998"/>
  </r>
  <r>
    <s v="Second Class"/>
    <x v="0"/>
    <s v="United States"/>
    <s v="Houston"/>
    <x v="5"/>
    <n v="77095"/>
    <x v="2"/>
    <x v="0"/>
    <x v="5"/>
    <n v="23.975999999999999"/>
    <n v="3"/>
    <n v="0.6"/>
    <n v="-14.3856"/>
  </r>
  <r>
    <s v="Second Class"/>
    <x v="1"/>
    <s v="United States"/>
    <s v="Cary"/>
    <x v="3"/>
    <n v="27511"/>
    <x v="0"/>
    <x v="1"/>
    <x v="13"/>
    <n v="8.3759999999999994"/>
    <n v="3"/>
    <n v="0.2"/>
    <n v="2.7222"/>
  </r>
  <r>
    <s v="Second Class"/>
    <x v="1"/>
    <s v="United States"/>
    <s v="Cary"/>
    <x v="3"/>
    <n v="27511"/>
    <x v="0"/>
    <x v="1"/>
    <x v="9"/>
    <n v="58.24"/>
    <n v="5"/>
    <n v="0.2"/>
    <n v="5.0960000000000001"/>
  </r>
  <r>
    <s v="Second Class"/>
    <x v="0"/>
    <s v="United States"/>
    <s v="Alexandria"/>
    <x v="17"/>
    <n v="22304"/>
    <x v="0"/>
    <x v="1"/>
    <x v="4"/>
    <n v="81.2"/>
    <n v="5"/>
    <n v="0"/>
    <n v="12.18"/>
  </r>
  <r>
    <s v="Standard Class"/>
    <x v="0"/>
    <s v="United States"/>
    <s v="Vallejo"/>
    <x v="1"/>
    <n v="94591"/>
    <x v="1"/>
    <x v="1"/>
    <x v="2"/>
    <n v="14.45"/>
    <n v="5"/>
    <n v="0"/>
    <n v="6.7915000000000001"/>
  </r>
  <r>
    <s v="Standard Class"/>
    <x v="0"/>
    <s v="United States"/>
    <s v="Vallejo"/>
    <x v="1"/>
    <n v="94591"/>
    <x v="1"/>
    <x v="1"/>
    <x v="8"/>
    <n v="95.647999999999996"/>
    <n v="2"/>
    <n v="0.2"/>
    <n v="31.085599999999999"/>
  </r>
  <r>
    <s v="Standard Class"/>
    <x v="0"/>
    <s v="United States"/>
    <s v="Philadelphia"/>
    <x v="9"/>
    <n v="19120"/>
    <x v="3"/>
    <x v="2"/>
    <x v="7"/>
    <n v="359.97"/>
    <n v="5"/>
    <n v="0.4"/>
    <n v="-71.994"/>
  </r>
  <r>
    <s v="Standard Class"/>
    <x v="0"/>
    <s v="United States"/>
    <s v="Philadelphia"/>
    <x v="9"/>
    <n v="19120"/>
    <x v="3"/>
    <x v="0"/>
    <x v="3"/>
    <n v="350.35199999999998"/>
    <n v="4"/>
    <n v="0.4"/>
    <n v="-140.14080000000001"/>
  </r>
  <r>
    <s v="First Class"/>
    <x v="0"/>
    <s v="United States"/>
    <s v="Toledo"/>
    <x v="24"/>
    <n v="43615"/>
    <x v="3"/>
    <x v="1"/>
    <x v="8"/>
    <n v="1.641"/>
    <n v="1"/>
    <n v="0.7"/>
    <n v="-1.3128"/>
  </r>
  <r>
    <s v="First Class"/>
    <x v="0"/>
    <s v="United States"/>
    <s v="Toledo"/>
    <x v="24"/>
    <n v="43615"/>
    <x v="3"/>
    <x v="2"/>
    <x v="7"/>
    <n v="629.95799999999997"/>
    <n v="7"/>
    <n v="0.4"/>
    <n v="94.493700000000004"/>
  </r>
  <r>
    <s v="Standard Class"/>
    <x v="0"/>
    <s v="United States"/>
    <s v="Seattle"/>
    <x v="4"/>
    <n v="98105"/>
    <x v="1"/>
    <x v="1"/>
    <x v="6"/>
    <n v="6.63"/>
    <n v="3"/>
    <n v="0"/>
    <n v="1.7901"/>
  </r>
  <r>
    <s v="Standard Class"/>
    <x v="0"/>
    <s v="United States"/>
    <s v="Seattle"/>
    <x v="4"/>
    <n v="98105"/>
    <x v="1"/>
    <x v="2"/>
    <x v="11"/>
    <n v="799.96"/>
    <n v="4"/>
    <n v="0"/>
    <n v="343.9828"/>
  </r>
  <r>
    <s v="Standard Class"/>
    <x v="0"/>
    <s v="United States"/>
    <s v="Seattle"/>
    <x v="4"/>
    <n v="98105"/>
    <x v="1"/>
    <x v="0"/>
    <x v="5"/>
    <n v="107.53"/>
    <n v="1"/>
    <n v="0"/>
    <n v="21.506"/>
  </r>
  <r>
    <s v="Standard Class"/>
    <x v="0"/>
    <s v="United States"/>
    <s v="Plainfield"/>
    <x v="30"/>
    <n v="7060"/>
    <x v="3"/>
    <x v="2"/>
    <x v="7"/>
    <n v="73.98"/>
    <n v="2"/>
    <n v="0"/>
    <n v="19.974599999999999"/>
  </r>
  <r>
    <s v="Standard Class"/>
    <x v="0"/>
    <s v="United States"/>
    <s v="Plainfield"/>
    <x v="30"/>
    <n v="7060"/>
    <x v="3"/>
    <x v="1"/>
    <x v="6"/>
    <n v="5.58"/>
    <n v="1"/>
    <n v="0"/>
    <n v="2.1762000000000001"/>
  </r>
  <r>
    <s v="Second Class"/>
    <x v="0"/>
    <s v="United States"/>
    <s v="Las Cruces"/>
    <x v="27"/>
    <n v="88001"/>
    <x v="1"/>
    <x v="1"/>
    <x v="10"/>
    <n v="49.12"/>
    <n v="4"/>
    <n v="0"/>
    <n v="23.086400000000001"/>
  </r>
  <r>
    <s v="Standard Class"/>
    <x v="0"/>
    <s v="United States"/>
    <s v="Newark"/>
    <x v="13"/>
    <n v="19711"/>
    <x v="3"/>
    <x v="2"/>
    <x v="7"/>
    <n v="377.97"/>
    <n v="3"/>
    <n v="0"/>
    <n v="94.492500000000007"/>
  </r>
  <r>
    <s v="Standard Class"/>
    <x v="0"/>
    <s v="United States"/>
    <s v="Newark"/>
    <x v="13"/>
    <n v="19711"/>
    <x v="3"/>
    <x v="1"/>
    <x v="10"/>
    <n v="42.28"/>
    <n v="7"/>
    <n v="0"/>
    <n v="19.871600000000001"/>
  </r>
  <r>
    <s v="Standard Class"/>
    <x v="0"/>
    <s v="United States"/>
    <s v="Newark"/>
    <x v="13"/>
    <n v="19711"/>
    <x v="3"/>
    <x v="0"/>
    <x v="0"/>
    <n v="299.97000000000003"/>
    <n v="3"/>
    <n v="0"/>
    <n v="56.994300000000003"/>
  </r>
  <r>
    <s v="Standard Class"/>
    <x v="0"/>
    <s v="United States"/>
    <s v="Newark"/>
    <x v="13"/>
    <n v="19711"/>
    <x v="3"/>
    <x v="2"/>
    <x v="7"/>
    <n v="89.98"/>
    <n v="2"/>
    <n v="0"/>
    <n v="43.190399999999997"/>
  </r>
  <r>
    <s v="First Class"/>
    <x v="1"/>
    <s v="United States"/>
    <s v="Hoover"/>
    <x v="19"/>
    <n v="35244"/>
    <x v="0"/>
    <x v="1"/>
    <x v="14"/>
    <n v="477.24"/>
    <n v="4"/>
    <n v="0"/>
    <n v="9.5448000000000004"/>
  </r>
  <r>
    <s v="First Class"/>
    <x v="1"/>
    <s v="United States"/>
    <s v="Hoover"/>
    <x v="19"/>
    <n v="35244"/>
    <x v="0"/>
    <x v="2"/>
    <x v="11"/>
    <n v="25.98"/>
    <n v="2"/>
    <n v="0"/>
    <n v="1.5588"/>
  </r>
  <r>
    <s v="Second Class"/>
    <x v="0"/>
    <s v="United States"/>
    <s v="Newark"/>
    <x v="24"/>
    <n v="43055"/>
    <x v="3"/>
    <x v="1"/>
    <x v="12"/>
    <n v="46.72"/>
    <n v="5"/>
    <n v="0.2"/>
    <n v="17.52"/>
  </r>
  <r>
    <s v="Standard Class"/>
    <x v="0"/>
    <s v="United States"/>
    <s v="San Diego"/>
    <x v="1"/>
    <n v="92037"/>
    <x v="1"/>
    <x v="0"/>
    <x v="5"/>
    <n v="35.340000000000003"/>
    <n v="2"/>
    <n v="0"/>
    <n v="13.4292"/>
  </r>
  <r>
    <s v="Second Class"/>
    <x v="1"/>
    <s v="United States"/>
    <s v="San Francisco"/>
    <x v="1"/>
    <n v="94122"/>
    <x v="1"/>
    <x v="0"/>
    <x v="5"/>
    <n v="257.64"/>
    <n v="6"/>
    <n v="0"/>
    <n v="100.4796"/>
  </r>
  <r>
    <s v="Second Class"/>
    <x v="1"/>
    <s v="United States"/>
    <s v="San Francisco"/>
    <x v="1"/>
    <n v="94122"/>
    <x v="1"/>
    <x v="2"/>
    <x v="7"/>
    <n v="125.976"/>
    <n v="3"/>
    <n v="0.2"/>
    <n v="47.241"/>
  </r>
  <r>
    <s v="Second Class"/>
    <x v="0"/>
    <s v="United States"/>
    <s v="Jacksonville"/>
    <x v="3"/>
    <n v="28540"/>
    <x v="0"/>
    <x v="2"/>
    <x v="11"/>
    <n v="79.992000000000004"/>
    <n v="1"/>
    <n v="0.2"/>
    <n v="21.997800000000002"/>
  </r>
  <r>
    <s v="Standard Class"/>
    <x v="0"/>
    <s v="United States"/>
    <s v="Franklin"/>
    <x v="31"/>
    <n v="2038"/>
    <x v="3"/>
    <x v="0"/>
    <x v="3"/>
    <n v="700.05600000000004"/>
    <n v="3"/>
    <n v="0.3"/>
    <n v="-130.0104"/>
  </r>
  <r>
    <s v="Standard Class"/>
    <x v="2"/>
    <s v="United States"/>
    <s v="Frisco"/>
    <x v="5"/>
    <n v="75034"/>
    <x v="2"/>
    <x v="2"/>
    <x v="11"/>
    <n v="27.167999999999999"/>
    <n v="4"/>
    <n v="0.2"/>
    <n v="-1.3584000000000001"/>
  </r>
  <r>
    <s v="Standard Class"/>
    <x v="0"/>
    <s v="United States"/>
    <s v="Tallahassee"/>
    <x v="2"/>
    <n v="32303"/>
    <x v="0"/>
    <x v="1"/>
    <x v="8"/>
    <n v="8.2260000000000009"/>
    <n v="3"/>
    <n v="0.7"/>
    <n v="-6.0324"/>
  </r>
  <r>
    <s v="Standard Class"/>
    <x v="0"/>
    <s v="United States"/>
    <s v="Seattle"/>
    <x v="4"/>
    <n v="98115"/>
    <x v="1"/>
    <x v="0"/>
    <x v="1"/>
    <n v="585.55200000000002"/>
    <n v="3"/>
    <n v="0.2"/>
    <n v="73.194000000000003"/>
  </r>
  <r>
    <s v="Second Class"/>
    <x v="0"/>
    <s v="United States"/>
    <s v="Vacaville"/>
    <x v="1"/>
    <n v="95687"/>
    <x v="1"/>
    <x v="1"/>
    <x v="4"/>
    <n v="423.28"/>
    <n v="11"/>
    <n v="0"/>
    <n v="110.0528"/>
  </r>
  <r>
    <s v="Standard Class"/>
    <x v="0"/>
    <s v="United States"/>
    <s v="Los Angeles"/>
    <x v="1"/>
    <n v="90008"/>
    <x v="1"/>
    <x v="0"/>
    <x v="1"/>
    <n v="225.29599999999999"/>
    <n v="2"/>
    <n v="0.2"/>
    <n v="22.529599999999999"/>
  </r>
  <r>
    <s v="Standard Class"/>
    <x v="0"/>
    <s v="United States"/>
    <s v="San Francisco"/>
    <x v="1"/>
    <n v="94122"/>
    <x v="1"/>
    <x v="1"/>
    <x v="6"/>
    <n v="5.56"/>
    <n v="2"/>
    <n v="0"/>
    <n v="2.2240000000000002"/>
  </r>
  <r>
    <s v="Standard Class"/>
    <x v="0"/>
    <s v="United States"/>
    <s v="San Francisco"/>
    <x v="1"/>
    <n v="94122"/>
    <x v="1"/>
    <x v="2"/>
    <x v="11"/>
    <n v="323.37"/>
    <n v="3"/>
    <n v="0"/>
    <n v="129.34800000000001"/>
  </r>
  <r>
    <s v="Standard Class"/>
    <x v="0"/>
    <s v="United States"/>
    <s v="San Francisco"/>
    <x v="1"/>
    <n v="94122"/>
    <x v="1"/>
    <x v="2"/>
    <x v="7"/>
    <n v="783.96"/>
    <n v="5"/>
    <n v="0.2"/>
    <n v="68.596500000000006"/>
  </r>
  <r>
    <s v="Standard Class"/>
    <x v="0"/>
    <s v="United States"/>
    <s v="San Francisco"/>
    <x v="1"/>
    <n v="94122"/>
    <x v="1"/>
    <x v="1"/>
    <x v="9"/>
    <n v="1447.65"/>
    <n v="5"/>
    <n v="0"/>
    <n v="419.81849999999997"/>
  </r>
  <r>
    <s v="Standard Class"/>
    <x v="0"/>
    <s v="United States"/>
    <s v="San Francisco"/>
    <x v="1"/>
    <n v="94122"/>
    <x v="1"/>
    <x v="1"/>
    <x v="10"/>
    <n v="11.96"/>
    <n v="2"/>
    <n v="0"/>
    <n v="5.8604000000000003"/>
  </r>
  <r>
    <s v="Second Class"/>
    <x v="0"/>
    <s v="United States"/>
    <s v="New York City"/>
    <x v="15"/>
    <n v="10035"/>
    <x v="3"/>
    <x v="2"/>
    <x v="11"/>
    <n v="239.97"/>
    <n v="3"/>
    <n v="0"/>
    <n v="71.991"/>
  </r>
  <r>
    <s v="Standard Class"/>
    <x v="2"/>
    <s v="United States"/>
    <s v="Columbus"/>
    <x v="32"/>
    <n v="31907"/>
    <x v="0"/>
    <x v="0"/>
    <x v="5"/>
    <n v="76.92"/>
    <n v="4"/>
    <n v="0"/>
    <n v="31.537199999999999"/>
  </r>
  <r>
    <s v="Standard Class"/>
    <x v="2"/>
    <s v="United States"/>
    <s v="Columbus"/>
    <x v="32"/>
    <n v="31907"/>
    <x v="0"/>
    <x v="1"/>
    <x v="4"/>
    <n v="481.32"/>
    <n v="4"/>
    <n v="0"/>
    <n v="125.14319999999999"/>
  </r>
  <r>
    <s v="First Class"/>
    <x v="2"/>
    <s v="United States"/>
    <s v="Murray"/>
    <x v="7"/>
    <n v="84107"/>
    <x v="1"/>
    <x v="1"/>
    <x v="10"/>
    <n v="48.4"/>
    <n v="5"/>
    <n v="0"/>
    <n v="23.231999999999999"/>
  </r>
  <r>
    <s v="First Class"/>
    <x v="2"/>
    <s v="United States"/>
    <s v="San Francisco"/>
    <x v="1"/>
    <n v="94110"/>
    <x v="1"/>
    <x v="2"/>
    <x v="11"/>
    <n v="0.99"/>
    <n v="1"/>
    <n v="0"/>
    <n v="0.43559999999999999"/>
  </r>
  <r>
    <s v="First Class"/>
    <x v="2"/>
    <s v="United States"/>
    <s v="San Francisco"/>
    <x v="1"/>
    <n v="94110"/>
    <x v="1"/>
    <x v="1"/>
    <x v="8"/>
    <n v="101.84"/>
    <n v="5"/>
    <n v="0.2"/>
    <n v="36.917000000000002"/>
  </r>
  <r>
    <s v="Standard Class"/>
    <x v="2"/>
    <s v="United States"/>
    <s v="Philadelphia"/>
    <x v="9"/>
    <n v="19140"/>
    <x v="3"/>
    <x v="1"/>
    <x v="8"/>
    <n v="10.332000000000001"/>
    <n v="3"/>
    <n v="0.7"/>
    <n v="-7.5768000000000004"/>
  </r>
  <r>
    <s v="Standard Class"/>
    <x v="2"/>
    <s v="United States"/>
    <s v="Philadelphia"/>
    <x v="9"/>
    <n v="19140"/>
    <x v="3"/>
    <x v="1"/>
    <x v="8"/>
    <n v="31.155000000000001"/>
    <n v="5"/>
    <n v="0.7"/>
    <n v="-23.8855"/>
  </r>
  <r>
    <s v="Standard Class"/>
    <x v="2"/>
    <s v="United States"/>
    <s v="Philadelphia"/>
    <x v="9"/>
    <n v="19140"/>
    <x v="3"/>
    <x v="1"/>
    <x v="4"/>
    <n v="8.9280000000000008"/>
    <n v="2"/>
    <n v="0.2"/>
    <n v="0.66959999999999997"/>
  </r>
  <r>
    <s v="First Class"/>
    <x v="0"/>
    <s v="United States"/>
    <s v="Philadelphia"/>
    <x v="9"/>
    <n v="19134"/>
    <x v="3"/>
    <x v="1"/>
    <x v="9"/>
    <n v="34.384"/>
    <n v="1"/>
    <n v="0.2"/>
    <n v="3.8681999999999999"/>
  </r>
  <r>
    <s v="First Class"/>
    <x v="0"/>
    <s v="United States"/>
    <s v="Philadelphia"/>
    <x v="9"/>
    <n v="19134"/>
    <x v="3"/>
    <x v="1"/>
    <x v="9"/>
    <n v="1924.16"/>
    <n v="8"/>
    <n v="0.2"/>
    <n v="312.67599999999999"/>
  </r>
  <r>
    <s v="Standard Class"/>
    <x v="0"/>
    <s v="United States"/>
    <s v="Dallas"/>
    <x v="5"/>
    <n v="75220"/>
    <x v="2"/>
    <x v="1"/>
    <x v="9"/>
    <n v="32.192"/>
    <n v="2"/>
    <n v="0.8"/>
    <n v="-80.48"/>
  </r>
  <r>
    <s v="Standard Class"/>
    <x v="0"/>
    <s v="United States"/>
    <s v="Dallas"/>
    <x v="5"/>
    <n v="75220"/>
    <x v="2"/>
    <x v="2"/>
    <x v="11"/>
    <n v="50.12"/>
    <n v="7"/>
    <n v="0.2"/>
    <n v="-0.62649999999999995"/>
  </r>
  <r>
    <s v="Standard Class"/>
    <x v="0"/>
    <s v="United States"/>
    <s v="Dallas"/>
    <x v="5"/>
    <n v="75220"/>
    <x v="2"/>
    <x v="2"/>
    <x v="11"/>
    <n v="47.975999999999999"/>
    <n v="3"/>
    <n v="0.2"/>
    <n v="1.7990999999999999"/>
  </r>
  <r>
    <s v="Standard Class"/>
    <x v="0"/>
    <s v="United States"/>
    <s v="Waukesha"/>
    <x v="6"/>
    <n v="53186"/>
    <x v="2"/>
    <x v="1"/>
    <x v="4"/>
    <n v="54.5"/>
    <n v="5"/>
    <n v="0"/>
    <n v="14.17"/>
  </r>
  <r>
    <s v="First Class"/>
    <x v="0"/>
    <s v="United States"/>
    <s v="Fort Lauderdale"/>
    <x v="2"/>
    <n v="33311"/>
    <x v="0"/>
    <x v="0"/>
    <x v="5"/>
    <n v="19.103999999999999"/>
    <n v="3"/>
    <n v="0.2"/>
    <n v="5.7312000000000003"/>
  </r>
  <r>
    <s v="Standard Class"/>
    <x v="0"/>
    <s v="United States"/>
    <s v="Detroit"/>
    <x v="12"/>
    <n v="48205"/>
    <x v="2"/>
    <x v="1"/>
    <x v="8"/>
    <n v="49.44"/>
    <n v="3"/>
    <n v="0"/>
    <n v="24.2256"/>
  </r>
  <r>
    <s v="Standard Class"/>
    <x v="2"/>
    <s v="United States"/>
    <s v="Springfield"/>
    <x v="24"/>
    <n v="45503"/>
    <x v="3"/>
    <x v="1"/>
    <x v="10"/>
    <n v="10.368"/>
    <n v="2"/>
    <n v="0.2"/>
    <n v="3.6288"/>
  </r>
  <r>
    <s v="Standard Class"/>
    <x v="0"/>
    <s v="United States"/>
    <s v="San Diego"/>
    <x v="1"/>
    <n v="92037"/>
    <x v="1"/>
    <x v="1"/>
    <x v="4"/>
    <n v="154.44"/>
    <n v="3"/>
    <n v="0"/>
    <n v="1.5444"/>
  </r>
  <r>
    <s v="Standard Class"/>
    <x v="1"/>
    <s v="United States"/>
    <s v="Colorado Springs"/>
    <x v="22"/>
    <n v="80906"/>
    <x v="1"/>
    <x v="1"/>
    <x v="9"/>
    <n v="60.984000000000002"/>
    <n v="7"/>
    <n v="0.2"/>
    <n v="4.5738000000000003"/>
  </r>
  <r>
    <s v="Second Class"/>
    <x v="0"/>
    <s v="United States"/>
    <s v="Bakersfield"/>
    <x v="1"/>
    <n v="93309"/>
    <x v="1"/>
    <x v="0"/>
    <x v="0"/>
    <n v="195.46600000000001"/>
    <n v="2"/>
    <n v="0.15"/>
    <n v="-13.797599999999999"/>
  </r>
  <r>
    <s v="Standard Class"/>
    <x v="1"/>
    <s v="United States"/>
    <s v="Pompano Beach"/>
    <x v="2"/>
    <n v="33068"/>
    <x v="0"/>
    <x v="0"/>
    <x v="5"/>
    <n v="23.68"/>
    <n v="8"/>
    <n v="0.2"/>
    <n v="6.2160000000000002"/>
  </r>
  <r>
    <s v="Standard Class"/>
    <x v="1"/>
    <s v="United States"/>
    <s v="Pompano Beach"/>
    <x v="2"/>
    <n v="33068"/>
    <x v="0"/>
    <x v="2"/>
    <x v="11"/>
    <n v="2.3759999999999999"/>
    <n v="3"/>
    <n v="0.2"/>
    <n v="0.74250000000000005"/>
  </r>
  <r>
    <s v="First Class"/>
    <x v="0"/>
    <s v="United States"/>
    <s v="New York City"/>
    <x v="15"/>
    <n v="10035"/>
    <x v="3"/>
    <x v="1"/>
    <x v="2"/>
    <n v="59.2"/>
    <n v="4"/>
    <n v="0"/>
    <n v="29.6"/>
  </r>
  <r>
    <s v="Standard Class"/>
    <x v="0"/>
    <s v="United States"/>
    <s v="Lakeville"/>
    <x v="11"/>
    <n v="55044"/>
    <x v="2"/>
    <x v="1"/>
    <x v="6"/>
    <n v="22"/>
    <n v="10"/>
    <n v="0"/>
    <n v="9.68"/>
  </r>
  <r>
    <s v="Standard Class"/>
    <x v="0"/>
    <s v="United States"/>
    <s v="Detroit"/>
    <x v="12"/>
    <n v="48234"/>
    <x v="2"/>
    <x v="2"/>
    <x v="7"/>
    <n v="257.98"/>
    <n v="2"/>
    <n v="0"/>
    <n v="74.8142"/>
  </r>
  <r>
    <s v="Standard Class"/>
    <x v="1"/>
    <s v="United States"/>
    <s v="Philadelphia"/>
    <x v="9"/>
    <n v="19134"/>
    <x v="3"/>
    <x v="2"/>
    <x v="7"/>
    <n v="23.988"/>
    <n v="2"/>
    <n v="0.4"/>
    <n v="-15.992000000000001"/>
  </r>
  <r>
    <s v="Standard Class"/>
    <x v="1"/>
    <s v="United States"/>
    <s v="Troy"/>
    <x v="24"/>
    <n v="45373"/>
    <x v="3"/>
    <x v="2"/>
    <x v="7"/>
    <n v="23.975999999999999"/>
    <n v="4"/>
    <n v="0.4"/>
    <n v="-15.5844"/>
  </r>
  <r>
    <s v="First Class"/>
    <x v="2"/>
    <s v="United States"/>
    <s v="Los Angeles"/>
    <x v="1"/>
    <n v="90036"/>
    <x v="1"/>
    <x v="0"/>
    <x v="1"/>
    <n v="601.53599999999994"/>
    <n v="4"/>
    <n v="0.2"/>
    <n v="0"/>
  </r>
  <r>
    <s v="First Class"/>
    <x v="2"/>
    <s v="United States"/>
    <s v="Los Angeles"/>
    <x v="1"/>
    <n v="90036"/>
    <x v="1"/>
    <x v="1"/>
    <x v="13"/>
    <n v="7.9"/>
    <n v="2"/>
    <n v="0"/>
    <n v="2.528"/>
  </r>
  <r>
    <s v="Standard Class"/>
    <x v="1"/>
    <s v="United States"/>
    <s v="Corpus Christi"/>
    <x v="5"/>
    <n v="78415"/>
    <x v="2"/>
    <x v="0"/>
    <x v="5"/>
    <n v="58.36"/>
    <n v="5"/>
    <n v="0.6"/>
    <n v="-24.803000000000001"/>
  </r>
  <r>
    <s v="Standard Class"/>
    <x v="1"/>
    <s v="United States"/>
    <s v="Corpus Christi"/>
    <x v="5"/>
    <n v="78415"/>
    <x v="2"/>
    <x v="1"/>
    <x v="6"/>
    <n v="16.463999999999999"/>
    <n v="7"/>
    <n v="0.2"/>
    <n v="1.4406000000000001"/>
  </r>
  <r>
    <s v="Standard Class"/>
    <x v="1"/>
    <s v="United States"/>
    <s v="Corpus Christi"/>
    <x v="5"/>
    <n v="78415"/>
    <x v="2"/>
    <x v="0"/>
    <x v="5"/>
    <n v="39.96"/>
    <n v="5"/>
    <n v="0.6"/>
    <n v="-23.975999999999999"/>
  </r>
  <r>
    <s v="First Class"/>
    <x v="1"/>
    <s v="United States"/>
    <s v="Omaha"/>
    <x v="8"/>
    <n v="68104"/>
    <x v="2"/>
    <x v="1"/>
    <x v="9"/>
    <n v="25.96"/>
    <n v="2"/>
    <n v="0"/>
    <n v="7.5284000000000004"/>
  </r>
  <r>
    <s v="First Class"/>
    <x v="1"/>
    <s v="United States"/>
    <s v="Omaha"/>
    <x v="8"/>
    <n v="68104"/>
    <x v="2"/>
    <x v="1"/>
    <x v="9"/>
    <n v="36.270000000000003"/>
    <n v="3"/>
    <n v="0"/>
    <n v="10.881"/>
  </r>
  <r>
    <s v="First Class"/>
    <x v="1"/>
    <s v="United States"/>
    <s v="Omaha"/>
    <x v="8"/>
    <n v="68104"/>
    <x v="2"/>
    <x v="1"/>
    <x v="10"/>
    <n v="6.48"/>
    <n v="1"/>
    <n v="0"/>
    <n v="3.1103999999999998"/>
  </r>
  <r>
    <s v="Standard Class"/>
    <x v="1"/>
    <s v="United States"/>
    <s v="Redondo Beach"/>
    <x v="1"/>
    <n v="90278"/>
    <x v="1"/>
    <x v="2"/>
    <x v="7"/>
    <n v="1075.088"/>
    <n v="14"/>
    <n v="0.2"/>
    <n v="94.0702"/>
  </r>
  <r>
    <s v="Standard Class"/>
    <x v="1"/>
    <s v="United States"/>
    <s v="Redondo Beach"/>
    <x v="1"/>
    <n v="90278"/>
    <x v="1"/>
    <x v="2"/>
    <x v="7"/>
    <n v="438.36799999999999"/>
    <n v="4"/>
    <n v="0.2"/>
    <n v="38.357199999999999"/>
  </r>
  <r>
    <s v="Standard Class"/>
    <x v="1"/>
    <s v="United States"/>
    <s v="Redondo Beach"/>
    <x v="1"/>
    <n v="90278"/>
    <x v="1"/>
    <x v="1"/>
    <x v="8"/>
    <n v="18.088000000000001"/>
    <n v="7"/>
    <n v="0.2"/>
    <n v="6.5568999999999997"/>
  </r>
  <r>
    <s v="Standard Class"/>
    <x v="1"/>
    <s v="United States"/>
    <s v="Redondo Beach"/>
    <x v="1"/>
    <n v="90278"/>
    <x v="1"/>
    <x v="0"/>
    <x v="0"/>
    <n v="308.49900000000002"/>
    <n v="3"/>
    <n v="0.15"/>
    <n v="-18.146999999999998"/>
  </r>
  <r>
    <s v="Standard Class"/>
    <x v="0"/>
    <s v="United States"/>
    <s v="Little Rock"/>
    <x v="36"/>
    <n v="72209"/>
    <x v="0"/>
    <x v="1"/>
    <x v="6"/>
    <n v="13.36"/>
    <n v="4"/>
    <n v="0"/>
    <n v="4.1416000000000004"/>
  </r>
  <r>
    <s v="Standard Class"/>
    <x v="0"/>
    <s v="United States"/>
    <s v="Little Rock"/>
    <x v="36"/>
    <n v="72209"/>
    <x v="0"/>
    <x v="1"/>
    <x v="10"/>
    <n v="39.96"/>
    <n v="2"/>
    <n v="0"/>
    <n v="18.781199999999998"/>
  </r>
  <r>
    <s v="Standard Class"/>
    <x v="0"/>
    <s v="United States"/>
    <s v="Little Rock"/>
    <x v="36"/>
    <n v="72209"/>
    <x v="0"/>
    <x v="1"/>
    <x v="8"/>
    <n v="145.85"/>
    <n v="5"/>
    <n v="0"/>
    <n v="70.007999999999996"/>
  </r>
  <r>
    <s v="First Class"/>
    <x v="1"/>
    <s v="United States"/>
    <s v="Miami"/>
    <x v="2"/>
    <n v="33180"/>
    <x v="0"/>
    <x v="2"/>
    <x v="7"/>
    <n v="783.96"/>
    <n v="5"/>
    <n v="0.2"/>
    <n v="78.396000000000001"/>
  </r>
  <r>
    <s v="First Class"/>
    <x v="0"/>
    <s v="United States"/>
    <s v="Salem"/>
    <x v="21"/>
    <n v="97301"/>
    <x v="1"/>
    <x v="1"/>
    <x v="6"/>
    <n v="7.88"/>
    <n v="1"/>
    <n v="0.2"/>
    <n v="1.7729999999999999"/>
  </r>
  <r>
    <s v="Standard Class"/>
    <x v="0"/>
    <s v="United States"/>
    <s v="Las Cruces"/>
    <x v="27"/>
    <n v="88001"/>
    <x v="1"/>
    <x v="0"/>
    <x v="5"/>
    <n v="41.37"/>
    <n v="3"/>
    <n v="0"/>
    <n v="17.375399999999999"/>
  </r>
  <r>
    <s v="Standard Class"/>
    <x v="0"/>
    <s v="United States"/>
    <s v="San Francisco"/>
    <x v="1"/>
    <n v="94122"/>
    <x v="1"/>
    <x v="1"/>
    <x v="10"/>
    <n v="12.84"/>
    <n v="3"/>
    <n v="0"/>
    <n v="5.7779999999999996"/>
  </r>
  <r>
    <s v="Standard Class"/>
    <x v="0"/>
    <s v="United States"/>
    <s v="San Francisco"/>
    <x v="1"/>
    <n v="94122"/>
    <x v="1"/>
    <x v="1"/>
    <x v="10"/>
    <n v="25.68"/>
    <n v="6"/>
    <n v="0"/>
    <n v="11.555999999999999"/>
  </r>
  <r>
    <s v="Standard Class"/>
    <x v="0"/>
    <s v="United States"/>
    <s v="El Paso"/>
    <x v="5"/>
    <n v="79907"/>
    <x v="2"/>
    <x v="0"/>
    <x v="1"/>
    <n v="47.515999999999998"/>
    <n v="2"/>
    <n v="0.3"/>
    <n v="-2.0364"/>
  </r>
  <r>
    <s v="Second Class"/>
    <x v="0"/>
    <s v="United States"/>
    <s v="Seattle"/>
    <x v="4"/>
    <n v="98115"/>
    <x v="1"/>
    <x v="1"/>
    <x v="13"/>
    <n v="9.42"/>
    <n v="2"/>
    <n v="0"/>
    <n v="0.47099999999999997"/>
  </r>
  <r>
    <s v="Second Class"/>
    <x v="0"/>
    <s v="United States"/>
    <s v="Seattle"/>
    <x v="4"/>
    <n v="98115"/>
    <x v="1"/>
    <x v="1"/>
    <x v="10"/>
    <n v="12.96"/>
    <n v="2"/>
    <n v="0"/>
    <n v="6.2207999999999997"/>
  </r>
  <r>
    <s v="Second Class"/>
    <x v="0"/>
    <s v="United States"/>
    <s v="Seattle"/>
    <x v="4"/>
    <n v="98115"/>
    <x v="1"/>
    <x v="0"/>
    <x v="0"/>
    <n v="704.9"/>
    <n v="5"/>
    <n v="0"/>
    <n v="56.392000000000003"/>
  </r>
  <r>
    <s v="Second Class"/>
    <x v="0"/>
    <s v="United States"/>
    <s v="Seattle"/>
    <x v="4"/>
    <n v="98115"/>
    <x v="1"/>
    <x v="0"/>
    <x v="1"/>
    <n v="561.56799999999998"/>
    <n v="2"/>
    <n v="0.2"/>
    <n v="28.078399999999998"/>
  </r>
  <r>
    <s v="Second Class"/>
    <x v="2"/>
    <s v="United States"/>
    <s v="Milwaukee"/>
    <x v="6"/>
    <n v="53209"/>
    <x v="2"/>
    <x v="1"/>
    <x v="10"/>
    <n v="179.82"/>
    <n v="9"/>
    <n v="0"/>
    <n v="84.5154"/>
  </r>
  <r>
    <s v="Second Class"/>
    <x v="2"/>
    <s v="United States"/>
    <s v="Milwaukee"/>
    <x v="6"/>
    <n v="53209"/>
    <x v="2"/>
    <x v="0"/>
    <x v="5"/>
    <n v="185.58"/>
    <n v="6"/>
    <n v="0"/>
    <n v="76.087800000000001"/>
  </r>
  <r>
    <s v="Second Class"/>
    <x v="2"/>
    <s v="United States"/>
    <s v="Milwaukee"/>
    <x v="6"/>
    <n v="53209"/>
    <x v="2"/>
    <x v="0"/>
    <x v="3"/>
    <n v="214.11"/>
    <n v="3"/>
    <n v="0"/>
    <n v="36.398699999999998"/>
  </r>
  <r>
    <s v="Second Class"/>
    <x v="2"/>
    <s v="United States"/>
    <s v="Milwaukee"/>
    <x v="6"/>
    <n v="53209"/>
    <x v="2"/>
    <x v="2"/>
    <x v="11"/>
    <n v="999.96"/>
    <n v="4"/>
    <n v="0"/>
    <n v="229.99080000000001"/>
  </r>
  <r>
    <s v="Second Class"/>
    <x v="2"/>
    <s v="United States"/>
    <s v="Milwaukee"/>
    <x v="6"/>
    <n v="53209"/>
    <x v="2"/>
    <x v="0"/>
    <x v="3"/>
    <n v="653.54999999999995"/>
    <n v="3"/>
    <n v="0"/>
    <n v="111.1035"/>
  </r>
  <r>
    <s v="Standard Class"/>
    <x v="2"/>
    <s v="United States"/>
    <s v="Franklin"/>
    <x v="31"/>
    <n v="2038"/>
    <x v="3"/>
    <x v="1"/>
    <x v="8"/>
    <n v="114.6"/>
    <n v="5"/>
    <n v="0"/>
    <n v="51.57"/>
  </r>
  <r>
    <s v="Standard Class"/>
    <x v="2"/>
    <s v="United States"/>
    <s v="Franklin"/>
    <x v="31"/>
    <n v="2038"/>
    <x v="3"/>
    <x v="0"/>
    <x v="1"/>
    <n v="60.74"/>
    <n v="1"/>
    <n v="0"/>
    <n v="15.185"/>
  </r>
  <r>
    <s v="Standard Class"/>
    <x v="2"/>
    <s v="United States"/>
    <s v="Franklin"/>
    <x v="31"/>
    <n v="2038"/>
    <x v="3"/>
    <x v="0"/>
    <x v="5"/>
    <n v="124.36"/>
    <n v="2"/>
    <n v="0"/>
    <n v="27.359200000000001"/>
  </r>
  <r>
    <s v="Standard Class"/>
    <x v="2"/>
    <s v="United States"/>
    <s v="Franklin"/>
    <x v="31"/>
    <n v="2038"/>
    <x v="3"/>
    <x v="1"/>
    <x v="4"/>
    <n v="1088.76"/>
    <n v="6"/>
    <n v="0"/>
    <n v="315.74040000000002"/>
  </r>
  <r>
    <s v="First Class"/>
    <x v="0"/>
    <s v="United States"/>
    <s v="Encinitas"/>
    <x v="1"/>
    <n v="92024"/>
    <x v="1"/>
    <x v="1"/>
    <x v="8"/>
    <n v="6.72"/>
    <n v="5"/>
    <n v="0.2"/>
    <n v="2.3519999999999999"/>
  </r>
  <r>
    <s v="First Class"/>
    <x v="0"/>
    <s v="United States"/>
    <s v="Encinitas"/>
    <x v="1"/>
    <n v="92024"/>
    <x v="1"/>
    <x v="0"/>
    <x v="3"/>
    <n v="298.77600000000001"/>
    <n v="3"/>
    <n v="0.2"/>
    <n v="7.4694000000000003"/>
  </r>
  <r>
    <s v="Standard Class"/>
    <x v="0"/>
    <s v="United States"/>
    <s v="Anaheim"/>
    <x v="1"/>
    <n v="92804"/>
    <x v="1"/>
    <x v="2"/>
    <x v="7"/>
    <n v="302.37599999999998"/>
    <n v="3"/>
    <n v="0.2"/>
    <n v="22.6782"/>
  </r>
  <r>
    <s v="First Class"/>
    <x v="0"/>
    <s v="United States"/>
    <s v="Arlington"/>
    <x v="5"/>
    <n v="76017"/>
    <x v="2"/>
    <x v="1"/>
    <x v="6"/>
    <n v="8.9280000000000008"/>
    <n v="2"/>
    <n v="0.2"/>
    <n v="0.55800000000000005"/>
  </r>
  <r>
    <s v="First Class"/>
    <x v="0"/>
    <s v="United States"/>
    <s v="Arlington"/>
    <x v="5"/>
    <n v="76017"/>
    <x v="2"/>
    <x v="1"/>
    <x v="4"/>
    <n v="47.584000000000003"/>
    <n v="2"/>
    <n v="0.2"/>
    <n v="-2.9740000000000002"/>
  </r>
  <r>
    <s v="Standard Class"/>
    <x v="2"/>
    <s v="United States"/>
    <s v="Houston"/>
    <x v="5"/>
    <n v="77041"/>
    <x v="2"/>
    <x v="1"/>
    <x v="10"/>
    <n v="33.792000000000002"/>
    <n v="8"/>
    <n v="0.2"/>
    <n v="10.56"/>
  </r>
  <r>
    <s v="Standard Class"/>
    <x v="2"/>
    <s v="United States"/>
    <s v="Houston"/>
    <x v="5"/>
    <n v="77041"/>
    <x v="2"/>
    <x v="0"/>
    <x v="0"/>
    <n v="300.53280000000001"/>
    <n v="2"/>
    <n v="0.32"/>
    <n v="-97.231200000000001"/>
  </r>
  <r>
    <s v="Standard Class"/>
    <x v="2"/>
    <s v="United States"/>
    <s v="Houston"/>
    <x v="5"/>
    <n v="77041"/>
    <x v="2"/>
    <x v="1"/>
    <x v="8"/>
    <n v="2.7240000000000002"/>
    <n v="2"/>
    <n v="0.8"/>
    <n v="-4.3583999999999996"/>
  </r>
  <r>
    <s v="Standard Class"/>
    <x v="2"/>
    <s v="United States"/>
    <s v="Houston"/>
    <x v="5"/>
    <n v="77041"/>
    <x v="2"/>
    <x v="1"/>
    <x v="12"/>
    <n v="3.2639999999999998"/>
    <n v="2"/>
    <n v="0.2"/>
    <n v="1.1015999999999999"/>
  </r>
  <r>
    <s v="First Class"/>
    <x v="0"/>
    <s v="United States"/>
    <s v="Lancaster"/>
    <x v="24"/>
    <n v="43130"/>
    <x v="3"/>
    <x v="1"/>
    <x v="10"/>
    <n v="108.336"/>
    <n v="6"/>
    <n v="0.2"/>
    <n v="37.9176"/>
  </r>
  <r>
    <s v="First Class"/>
    <x v="0"/>
    <s v="United States"/>
    <s v="Lancaster"/>
    <x v="24"/>
    <n v="43130"/>
    <x v="3"/>
    <x v="1"/>
    <x v="4"/>
    <n v="55.92"/>
    <n v="5"/>
    <n v="0.2"/>
    <n v="6.2910000000000004"/>
  </r>
  <r>
    <s v="First Class"/>
    <x v="0"/>
    <s v="United States"/>
    <s v="Lancaster"/>
    <x v="24"/>
    <n v="43130"/>
    <x v="3"/>
    <x v="1"/>
    <x v="10"/>
    <n v="78.304000000000002"/>
    <n v="2"/>
    <n v="0.2"/>
    <n v="29.364000000000001"/>
  </r>
  <r>
    <s v="Standard Class"/>
    <x v="0"/>
    <s v="United States"/>
    <s v="Portland"/>
    <x v="21"/>
    <n v="97206"/>
    <x v="1"/>
    <x v="1"/>
    <x v="4"/>
    <n v="443.92"/>
    <n v="5"/>
    <n v="0.2"/>
    <n v="-94.332999999999998"/>
  </r>
  <r>
    <s v="Standard Class"/>
    <x v="0"/>
    <s v="United States"/>
    <s v="Portland"/>
    <x v="21"/>
    <n v="97206"/>
    <x v="1"/>
    <x v="2"/>
    <x v="7"/>
    <n v="155.976"/>
    <n v="3"/>
    <n v="0.2"/>
    <n v="54.5916"/>
  </r>
  <r>
    <s v="Second Class"/>
    <x v="1"/>
    <s v="United States"/>
    <s v="Hoover"/>
    <x v="19"/>
    <n v="35244"/>
    <x v="0"/>
    <x v="1"/>
    <x v="6"/>
    <n v="15.47"/>
    <n v="7"/>
    <n v="0"/>
    <n v="4.1768999999999998"/>
  </r>
  <r>
    <s v="Second Class"/>
    <x v="1"/>
    <s v="United States"/>
    <s v="Hoover"/>
    <x v="19"/>
    <n v="35244"/>
    <x v="0"/>
    <x v="1"/>
    <x v="8"/>
    <n v="7.16"/>
    <n v="2"/>
    <n v="0"/>
    <n v="3.4367999999999999"/>
  </r>
  <r>
    <s v="Standard Class"/>
    <x v="0"/>
    <s v="United States"/>
    <s v="Los Angeles"/>
    <x v="1"/>
    <n v="90036"/>
    <x v="1"/>
    <x v="1"/>
    <x v="9"/>
    <n v="10.89"/>
    <n v="1"/>
    <n v="0"/>
    <n v="2.8313999999999999"/>
  </r>
  <r>
    <s v="Standard Class"/>
    <x v="0"/>
    <s v="United States"/>
    <s v="Los Angeles"/>
    <x v="1"/>
    <n v="90036"/>
    <x v="1"/>
    <x v="1"/>
    <x v="10"/>
    <n v="19.440000000000001"/>
    <n v="3"/>
    <n v="0"/>
    <n v="9.3312000000000008"/>
  </r>
  <r>
    <s v="Standard Class"/>
    <x v="0"/>
    <s v="United States"/>
    <s v="Los Angeles"/>
    <x v="1"/>
    <n v="90036"/>
    <x v="1"/>
    <x v="1"/>
    <x v="8"/>
    <n v="121.6"/>
    <n v="5"/>
    <n v="0.2"/>
    <n v="39.520000000000003"/>
  </r>
  <r>
    <s v="First Class"/>
    <x v="0"/>
    <s v="United States"/>
    <s v="Tallahassee"/>
    <x v="2"/>
    <n v="32303"/>
    <x v="0"/>
    <x v="2"/>
    <x v="15"/>
    <n v="695.7"/>
    <n v="2"/>
    <n v="0.5"/>
    <n v="-27.827999999999999"/>
  </r>
  <r>
    <s v="Second Class"/>
    <x v="1"/>
    <s v="United States"/>
    <s v="New York City"/>
    <x v="15"/>
    <n v="10009"/>
    <x v="3"/>
    <x v="1"/>
    <x v="4"/>
    <n v="120.33"/>
    <n v="1"/>
    <n v="0"/>
    <n v="31.285799999999998"/>
  </r>
  <r>
    <s v="Standard Class"/>
    <x v="2"/>
    <s v="United States"/>
    <s v="Chesapeake"/>
    <x v="17"/>
    <n v="23320"/>
    <x v="0"/>
    <x v="0"/>
    <x v="1"/>
    <n v="1139.92"/>
    <n v="4"/>
    <n v="0"/>
    <n v="284.98"/>
  </r>
  <r>
    <s v="Second Class"/>
    <x v="0"/>
    <s v="United States"/>
    <s v="Fayetteville"/>
    <x v="3"/>
    <n v="28314"/>
    <x v="0"/>
    <x v="1"/>
    <x v="10"/>
    <n v="229.54400000000001"/>
    <n v="7"/>
    <n v="0.2"/>
    <n v="83.209699999999998"/>
  </r>
  <r>
    <s v="Standard Class"/>
    <x v="0"/>
    <s v="United States"/>
    <s v="Huntsville"/>
    <x v="5"/>
    <n v="77340"/>
    <x v="2"/>
    <x v="1"/>
    <x v="4"/>
    <n v="143.72800000000001"/>
    <n v="2"/>
    <n v="0.2"/>
    <n v="-32.338799999999999"/>
  </r>
  <r>
    <s v="Standard Class"/>
    <x v="0"/>
    <s v="United States"/>
    <s v="Philadelphia"/>
    <x v="9"/>
    <n v="19140"/>
    <x v="3"/>
    <x v="2"/>
    <x v="11"/>
    <n v="36.048000000000002"/>
    <n v="3"/>
    <n v="0.2"/>
    <n v="-0.9012"/>
  </r>
  <r>
    <s v="Standard Class"/>
    <x v="1"/>
    <s v="United States"/>
    <s v="Woodstock"/>
    <x v="10"/>
    <n v="60098"/>
    <x v="2"/>
    <x v="0"/>
    <x v="1"/>
    <n v="845.48800000000006"/>
    <n v="8"/>
    <n v="0.3"/>
    <n v="-12.0784"/>
  </r>
  <r>
    <s v="First Class"/>
    <x v="0"/>
    <s v="United States"/>
    <s v="Everett"/>
    <x v="31"/>
    <n v="2149"/>
    <x v="3"/>
    <x v="1"/>
    <x v="6"/>
    <n v="50.94"/>
    <n v="3"/>
    <n v="0"/>
    <n v="14.263199999999999"/>
  </r>
  <r>
    <s v="Standard Class"/>
    <x v="2"/>
    <s v="United States"/>
    <s v="Chicago"/>
    <x v="10"/>
    <n v="60653"/>
    <x v="2"/>
    <x v="1"/>
    <x v="8"/>
    <n v="762.59400000000005"/>
    <n v="3"/>
    <n v="0.8"/>
    <n v="-1143.8910000000001"/>
  </r>
  <r>
    <s v="Standard Class"/>
    <x v="1"/>
    <s v="United States"/>
    <s v="Roswell"/>
    <x v="32"/>
    <n v="30076"/>
    <x v="0"/>
    <x v="0"/>
    <x v="5"/>
    <n v="56.28"/>
    <n v="6"/>
    <n v="0"/>
    <n v="15.7584"/>
  </r>
  <r>
    <s v="Standard Class"/>
    <x v="1"/>
    <s v="United States"/>
    <s v="Roswell"/>
    <x v="32"/>
    <n v="30076"/>
    <x v="0"/>
    <x v="1"/>
    <x v="8"/>
    <n v="2690.97"/>
    <n v="3"/>
    <n v="0"/>
    <n v="1264.7559000000001"/>
  </r>
  <r>
    <s v="Standard Class"/>
    <x v="1"/>
    <s v="United States"/>
    <s v="Palm Coast"/>
    <x v="2"/>
    <n v="32137"/>
    <x v="0"/>
    <x v="1"/>
    <x v="8"/>
    <n v="7.4340000000000002"/>
    <n v="6"/>
    <n v="0.7"/>
    <n v="-5.6993999999999998"/>
  </r>
  <r>
    <s v="First Class"/>
    <x v="1"/>
    <s v="United States"/>
    <s v="Philadelphia"/>
    <x v="9"/>
    <n v="19120"/>
    <x v="3"/>
    <x v="1"/>
    <x v="4"/>
    <n v="64.784000000000006"/>
    <n v="1"/>
    <n v="0.2"/>
    <n v="-12.956799999999999"/>
  </r>
  <r>
    <s v="Standard Class"/>
    <x v="2"/>
    <s v="United States"/>
    <s v="Columbus"/>
    <x v="14"/>
    <n v="47201"/>
    <x v="2"/>
    <x v="1"/>
    <x v="10"/>
    <n v="28.16"/>
    <n v="4"/>
    <n v="0"/>
    <n v="13.235200000000001"/>
  </r>
  <r>
    <s v="Second Class"/>
    <x v="0"/>
    <s v="United States"/>
    <s v="Oceanside"/>
    <x v="15"/>
    <n v="11572"/>
    <x v="3"/>
    <x v="0"/>
    <x v="5"/>
    <n v="14.98"/>
    <n v="1"/>
    <n v="0"/>
    <n v="6.8907999999999996"/>
  </r>
  <r>
    <s v="Second Class"/>
    <x v="0"/>
    <s v="United States"/>
    <s v="Oceanside"/>
    <x v="15"/>
    <n v="11572"/>
    <x v="3"/>
    <x v="0"/>
    <x v="5"/>
    <n v="20.32"/>
    <n v="4"/>
    <n v="0"/>
    <n v="6.9088000000000003"/>
  </r>
  <r>
    <s v="Same Day"/>
    <x v="1"/>
    <s v="United States"/>
    <s v="Franklin"/>
    <x v="31"/>
    <n v="2038"/>
    <x v="3"/>
    <x v="1"/>
    <x v="4"/>
    <n v="40.29"/>
    <n v="3"/>
    <n v="0"/>
    <n v="10.4754"/>
  </r>
  <r>
    <s v="Standard Class"/>
    <x v="0"/>
    <s v="United States"/>
    <s v="Sioux Falls"/>
    <x v="44"/>
    <n v="57103"/>
    <x v="2"/>
    <x v="1"/>
    <x v="2"/>
    <n v="20.23"/>
    <n v="7"/>
    <n v="0"/>
    <n v="9.5081000000000007"/>
  </r>
  <r>
    <s v="First Class"/>
    <x v="1"/>
    <s v="United States"/>
    <s v="San Diego"/>
    <x v="1"/>
    <n v="92037"/>
    <x v="1"/>
    <x v="0"/>
    <x v="1"/>
    <n v="1603.136"/>
    <n v="4"/>
    <n v="0.2"/>
    <n v="100.196"/>
  </r>
  <r>
    <s v="Second Class"/>
    <x v="0"/>
    <s v="United States"/>
    <s v="Fayetteville"/>
    <x v="3"/>
    <n v="28314"/>
    <x v="0"/>
    <x v="0"/>
    <x v="1"/>
    <n v="225.29599999999999"/>
    <n v="2"/>
    <n v="0.2"/>
    <n v="22.529599999999999"/>
  </r>
  <r>
    <s v="Standard Class"/>
    <x v="0"/>
    <s v="United States"/>
    <s v="Atlanta"/>
    <x v="32"/>
    <n v="30318"/>
    <x v="0"/>
    <x v="2"/>
    <x v="11"/>
    <n v="67.8"/>
    <n v="4"/>
    <n v="0"/>
    <n v="4.0679999999999996"/>
  </r>
  <r>
    <s v="Standard Class"/>
    <x v="0"/>
    <s v="United States"/>
    <s v="Atlanta"/>
    <x v="32"/>
    <n v="30318"/>
    <x v="0"/>
    <x v="2"/>
    <x v="7"/>
    <n v="377.97"/>
    <n v="3"/>
    <n v="0"/>
    <n v="98.272199999999998"/>
  </r>
  <r>
    <s v="Standard Class"/>
    <x v="0"/>
    <s v="United States"/>
    <s v="Atlanta"/>
    <x v="32"/>
    <n v="30318"/>
    <x v="0"/>
    <x v="0"/>
    <x v="0"/>
    <n v="1628.82"/>
    <n v="9"/>
    <n v="0"/>
    <n v="374.62860000000001"/>
  </r>
  <r>
    <s v="Standard Class"/>
    <x v="0"/>
    <s v="United States"/>
    <s v="Atlanta"/>
    <x v="32"/>
    <n v="30318"/>
    <x v="0"/>
    <x v="1"/>
    <x v="10"/>
    <n v="286.93"/>
    <n v="7"/>
    <n v="0"/>
    <n v="140.59569999999999"/>
  </r>
  <r>
    <s v="Standard Class"/>
    <x v="0"/>
    <s v="United States"/>
    <s v="Orlando"/>
    <x v="2"/>
    <n v="32839"/>
    <x v="0"/>
    <x v="1"/>
    <x v="10"/>
    <n v="20.736000000000001"/>
    <n v="4"/>
    <n v="0.2"/>
    <n v="7.2576000000000001"/>
  </r>
  <r>
    <s v="Same Day"/>
    <x v="0"/>
    <s v="United States"/>
    <s v="San Francisco"/>
    <x v="1"/>
    <n v="94122"/>
    <x v="1"/>
    <x v="1"/>
    <x v="4"/>
    <n v="31.44"/>
    <n v="3"/>
    <n v="0"/>
    <n v="8.4887999999999995"/>
  </r>
  <r>
    <s v="Same Day"/>
    <x v="0"/>
    <s v="United States"/>
    <s v="San Francisco"/>
    <x v="1"/>
    <n v="94122"/>
    <x v="1"/>
    <x v="1"/>
    <x v="9"/>
    <n v="83.79"/>
    <n v="7"/>
    <n v="0"/>
    <n v="22.6233"/>
  </r>
  <r>
    <s v="Same Day"/>
    <x v="0"/>
    <s v="United States"/>
    <s v="San Francisco"/>
    <x v="1"/>
    <n v="94122"/>
    <x v="1"/>
    <x v="1"/>
    <x v="6"/>
    <n v="59.52"/>
    <n v="3"/>
    <n v="0"/>
    <n v="15.475199999999999"/>
  </r>
  <r>
    <s v="Same Day"/>
    <x v="0"/>
    <s v="United States"/>
    <s v="San Francisco"/>
    <x v="1"/>
    <n v="94122"/>
    <x v="1"/>
    <x v="1"/>
    <x v="14"/>
    <n v="31.92"/>
    <n v="4"/>
    <n v="0"/>
    <n v="9.2568000000000001"/>
  </r>
  <r>
    <s v="Second Class"/>
    <x v="0"/>
    <s v="United States"/>
    <s v="Toledo"/>
    <x v="24"/>
    <n v="43615"/>
    <x v="3"/>
    <x v="1"/>
    <x v="14"/>
    <n v="14.72"/>
    <n v="5"/>
    <n v="0.2"/>
    <n v="-3.3119999999999998"/>
  </r>
  <r>
    <s v="Second Class"/>
    <x v="0"/>
    <s v="United States"/>
    <s v="Toledo"/>
    <x v="24"/>
    <n v="43615"/>
    <x v="3"/>
    <x v="1"/>
    <x v="4"/>
    <n v="38.975999999999999"/>
    <n v="3"/>
    <n v="0.2"/>
    <n v="-2.4359999999999999"/>
  </r>
  <r>
    <s v="Standard Class"/>
    <x v="0"/>
    <s v="United States"/>
    <s v="Saint Petersburg"/>
    <x v="2"/>
    <n v="33710"/>
    <x v="0"/>
    <x v="0"/>
    <x v="5"/>
    <n v="17.088000000000001"/>
    <n v="2"/>
    <n v="0.2"/>
    <n v="1.0680000000000001"/>
  </r>
  <r>
    <s v="Standard Class"/>
    <x v="1"/>
    <s v="United States"/>
    <s v="Tucson"/>
    <x v="16"/>
    <n v="85705"/>
    <x v="1"/>
    <x v="1"/>
    <x v="10"/>
    <n v="74.352000000000004"/>
    <n v="3"/>
    <n v="0.2"/>
    <n v="23.234999999999999"/>
  </r>
  <r>
    <s v="Standard Class"/>
    <x v="1"/>
    <s v="United States"/>
    <s v="Tucson"/>
    <x v="16"/>
    <n v="85705"/>
    <x v="1"/>
    <x v="0"/>
    <x v="1"/>
    <n v="314.35199999999998"/>
    <n v="3"/>
    <n v="0.2"/>
    <n v="-35.364600000000003"/>
  </r>
  <r>
    <s v="Standard Class"/>
    <x v="0"/>
    <s v="United States"/>
    <s v="Los Angeles"/>
    <x v="1"/>
    <n v="90036"/>
    <x v="1"/>
    <x v="1"/>
    <x v="6"/>
    <n v="4.26"/>
    <n v="1"/>
    <n v="0"/>
    <n v="1.7465999999999999"/>
  </r>
  <r>
    <s v="Standard Class"/>
    <x v="0"/>
    <s v="United States"/>
    <s v="San Diego"/>
    <x v="1"/>
    <n v="92105"/>
    <x v="1"/>
    <x v="1"/>
    <x v="4"/>
    <n v="811.28"/>
    <n v="8"/>
    <n v="0"/>
    <n v="24.3384"/>
  </r>
  <r>
    <s v="First Class"/>
    <x v="0"/>
    <s v="United States"/>
    <s v="New York City"/>
    <x v="15"/>
    <n v="10035"/>
    <x v="3"/>
    <x v="1"/>
    <x v="13"/>
    <n v="6.03"/>
    <n v="3"/>
    <n v="0"/>
    <n v="2.9546999999999999"/>
  </r>
  <r>
    <s v="Second Class"/>
    <x v="0"/>
    <s v="United States"/>
    <s v="San Diego"/>
    <x v="1"/>
    <n v="92037"/>
    <x v="1"/>
    <x v="0"/>
    <x v="1"/>
    <n v="153.56800000000001"/>
    <n v="2"/>
    <n v="0.2"/>
    <n v="-5.7587999999999999"/>
  </r>
  <r>
    <s v="Second Class"/>
    <x v="0"/>
    <s v="United States"/>
    <s v="San Diego"/>
    <x v="1"/>
    <n v="92037"/>
    <x v="1"/>
    <x v="0"/>
    <x v="1"/>
    <n v="1013.4880000000001"/>
    <n v="7"/>
    <n v="0.2"/>
    <n v="76.011600000000001"/>
  </r>
  <r>
    <s v="Standard Class"/>
    <x v="2"/>
    <s v="United States"/>
    <s v="Westfield"/>
    <x v="30"/>
    <n v="7090"/>
    <x v="3"/>
    <x v="1"/>
    <x v="12"/>
    <n v="52.34"/>
    <n v="2"/>
    <n v="0"/>
    <n v="24.599799999999998"/>
  </r>
  <r>
    <s v="Standard Class"/>
    <x v="2"/>
    <s v="United States"/>
    <s v="Westfield"/>
    <x v="30"/>
    <n v="7090"/>
    <x v="3"/>
    <x v="1"/>
    <x v="6"/>
    <n v="4.66"/>
    <n v="2"/>
    <n v="0"/>
    <n v="1.3513999999999999"/>
  </r>
  <r>
    <s v="Standard Class"/>
    <x v="2"/>
    <s v="United States"/>
    <s v="Westfield"/>
    <x v="30"/>
    <n v="7090"/>
    <x v="3"/>
    <x v="2"/>
    <x v="11"/>
    <n v="254.97"/>
    <n v="3"/>
    <n v="0"/>
    <n v="91.789199999999994"/>
  </r>
  <r>
    <s v="Second Class"/>
    <x v="2"/>
    <s v="United States"/>
    <s v="Orange"/>
    <x v="30"/>
    <n v="7050"/>
    <x v="3"/>
    <x v="1"/>
    <x v="8"/>
    <n v="25.44"/>
    <n v="6"/>
    <n v="0"/>
    <n v="12.72"/>
  </r>
  <r>
    <s v="Second Class"/>
    <x v="2"/>
    <s v="United States"/>
    <s v="Orange"/>
    <x v="30"/>
    <n v="7050"/>
    <x v="3"/>
    <x v="1"/>
    <x v="14"/>
    <n v="27.93"/>
    <n v="3"/>
    <n v="0"/>
    <n v="8.0997000000000003"/>
  </r>
  <r>
    <s v="Standard Class"/>
    <x v="0"/>
    <s v="United States"/>
    <s v="Woodstock"/>
    <x v="10"/>
    <n v="60098"/>
    <x v="2"/>
    <x v="1"/>
    <x v="8"/>
    <n v="8.85"/>
    <n v="5"/>
    <n v="0.8"/>
    <n v="-13.717499999999999"/>
  </r>
  <r>
    <s v="Second Class"/>
    <x v="0"/>
    <s v="United States"/>
    <s v="San Francisco"/>
    <x v="1"/>
    <n v="94110"/>
    <x v="1"/>
    <x v="0"/>
    <x v="5"/>
    <n v="6.96"/>
    <n v="4"/>
    <n v="0"/>
    <n v="2.2271999999999998"/>
  </r>
  <r>
    <s v="Standard Class"/>
    <x v="0"/>
    <s v="United States"/>
    <s v="San Francisco"/>
    <x v="1"/>
    <n v="94122"/>
    <x v="1"/>
    <x v="1"/>
    <x v="8"/>
    <n v="17.456"/>
    <n v="2"/>
    <n v="0.2"/>
    <n v="5.8914"/>
  </r>
  <r>
    <s v="Standard Class"/>
    <x v="0"/>
    <s v="United States"/>
    <s v="Tempe"/>
    <x v="16"/>
    <n v="85281"/>
    <x v="1"/>
    <x v="0"/>
    <x v="1"/>
    <n v="307.92"/>
    <n v="5"/>
    <n v="0.2"/>
    <n v="-34.640999999999998"/>
  </r>
  <r>
    <s v="First Class"/>
    <x v="0"/>
    <s v="United States"/>
    <s v="Los Angeles"/>
    <x v="1"/>
    <n v="90008"/>
    <x v="1"/>
    <x v="1"/>
    <x v="6"/>
    <n v="6.63"/>
    <n v="3"/>
    <n v="0"/>
    <n v="1.7901"/>
  </r>
  <r>
    <s v="First Class"/>
    <x v="0"/>
    <s v="United States"/>
    <s v="Los Angeles"/>
    <x v="1"/>
    <n v="90008"/>
    <x v="1"/>
    <x v="1"/>
    <x v="10"/>
    <n v="12.96"/>
    <n v="2"/>
    <n v="0"/>
    <n v="6.2207999999999997"/>
  </r>
  <r>
    <s v="First Class"/>
    <x v="0"/>
    <s v="United States"/>
    <s v="Los Angeles"/>
    <x v="1"/>
    <n v="90008"/>
    <x v="1"/>
    <x v="1"/>
    <x v="10"/>
    <n v="32.4"/>
    <n v="5"/>
    <n v="0"/>
    <n v="15.552"/>
  </r>
  <r>
    <s v="Standard Class"/>
    <x v="1"/>
    <s v="United States"/>
    <s v="Seattle"/>
    <x v="4"/>
    <n v="98105"/>
    <x v="1"/>
    <x v="1"/>
    <x v="10"/>
    <n v="23.85"/>
    <n v="5"/>
    <n v="0"/>
    <n v="10.7325"/>
  </r>
  <r>
    <s v="Second Class"/>
    <x v="0"/>
    <s v="United States"/>
    <s v="Lake Charles"/>
    <x v="28"/>
    <n v="70601"/>
    <x v="0"/>
    <x v="0"/>
    <x v="1"/>
    <n v="51.96"/>
    <n v="2"/>
    <n v="0"/>
    <n v="12.99"/>
  </r>
  <r>
    <s v="Second Class"/>
    <x v="0"/>
    <s v="United States"/>
    <s v="Lake Charles"/>
    <x v="28"/>
    <n v="70601"/>
    <x v="0"/>
    <x v="1"/>
    <x v="8"/>
    <n v="17.940000000000001"/>
    <n v="3"/>
    <n v="0"/>
    <n v="8.6112000000000002"/>
  </r>
  <r>
    <s v="Standard Class"/>
    <x v="1"/>
    <s v="United States"/>
    <s v="Rochester"/>
    <x v="15"/>
    <n v="14609"/>
    <x v="3"/>
    <x v="1"/>
    <x v="10"/>
    <n v="11.56"/>
    <n v="2"/>
    <n v="0"/>
    <n v="5.6643999999999997"/>
  </r>
  <r>
    <s v="Standard Class"/>
    <x v="1"/>
    <s v="United States"/>
    <s v="Rochester"/>
    <x v="15"/>
    <n v="14609"/>
    <x v="3"/>
    <x v="1"/>
    <x v="10"/>
    <n v="26.4"/>
    <n v="5"/>
    <n v="0"/>
    <n v="11.88"/>
  </r>
  <r>
    <s v="Standard Class"/>
    <x v="1"/>
    <s v="United States"/>
    <s v="Rochester"/>
    <x v="15"/>
    <n v="14609"/>
    <x v="3"/>
    <x v="0"/>
    <x v="5"/>
    <n v="69.08"/>
    <n v="11"/>
    <n v="0"/>
    <n v="29.0136"/>
  </r>
  <r>
    <s v="Standard Class"/>
    <x v="1"/>
    <s v="United States"/>
    <s v="Rochester"/>
    <x v="15"/>
    <n v="14609"/>
    <x v="3"/>
    <x v="2"/>
    <x v="7"/>
    <n v="35.880000000000003"/>
    <n v="3"/>
    <n v="0"/>
    <n v="10.0464"/>
  </r>
  <r>
    <s v="Standard Class"/>
    <x v="0"/>
    <s v="United States"/>
    <s v="Long Beach"/>
    <x v="15"/>
    <n v="11561"/>
    <x v="3"/>
    <x v="1"/>
    <x v="6"/>
    <n v="49.65"/>
    <n v="5"/>
    <n v="0"/>
    <n v="20.853000000000002"/>
  </r>
  <r>
    <s v="Standard Class"/>
    <x v="1"/>
    <s v="United States"/>
    <s v="Charlotte"/>
    <x v="3"/>
    <n v="28205"/>
    <x v="0"/>
    <x v="2"/>
    <x v="16"/>
    <n v="959.96799999999996"/>
    <n v="4"/>
    <n v="0.2"/>
    <n v="119.996"/>
  </r>
  <r>
    <s v="Standard Class"/>
    <x v="0"/>
    <s v="United States"/>
    <s v="Houston"/>
    <x v="5"/>
    <n v="77036"/>
    <x v="2"/>
    <x v="0"/>
    <x v="1"/>
    <n v="408.42200000000003"/>
    <n v="2"/>
    <n v="0.3"/>
    <n v="-5.8346"/>
  </r>
  <r>
    <s v="Standard Class"/>
    <x v="0"/>
    <s v="United States"/>
    <s v="New York City"/>
    <x v="15"/>
    <n v="10035"/>
    <x v="3"/>
    <x v="2"/>
    <x v="16"/>
    <n v="479.98399999999998"/>
    <n v="2"/>
    <n v="0.2"/>
    <n v="59.997999999999998"/>
  </r>
  <r>
    <s v="Standard Class"/>
    <x v="0"/>
    <s v="United States"/>
    <s v="New York City"/>
    <x v="15"/>
    <n v="10035"/>
    <x v="3"/>
    <x v="1"/>
    <x v="2"/>
    <n v="12.6"/>
    <n v="4"/>
    <n v="0"/>
    <n v="6.048"/>
  </r>
  <r>
    <s v="Standard Class"/>
    <x v="2"/>
    <s v="United States"/>
    <s v="Columbus"/>
    <x v="32"/>
    <n v="31907"/>
    <x v="0"/>
    <x v="1"/>
    <x v="10"/>
    <n v="184.66"/>
    <n v="7"/>
    <n v="0"/>
    <n v="84.943600000000004"/>
  </r>
  <r>
    <s v="Standard Class"/>
    <x v="0"/>
    <s v="United States"/>
    <s v="Chicago"/>
    <x v="10"/>
    <n v="60610"/>
    <x v="2"/>
    <x v="1"/>
    <x v="10"/>
    <n v="23.12"/>
    <n v="5"/>
    <n v="0.2"/>
    <n v="8.3810000000000002"/>
  </r>
  <r>
    <s v="Standard Class"/>
    <x v="1"/>
    <s v="United States"/>
    <s v="Highland Park"/>
    <x v="10"/>
    <n v="60035"/>
    <x v="2"/>
    <x v="1"/>
    <x v="10"/>
    <n v="37.463999999999999"/>
    <n v="7"/>
    <n v="0.2"/>
    <n v="12.175800000000001"/>
  </r>
  <r>
    <s v="Standard Class"/>
    <x v="1"/>
    <s v="United States"/>
    <s v="Highland Park"/>
    <x v="10"/>
    <n v="60035"/>
    <x v="2"/>
    <x v="0"/>
    <x v="1"/>
    <n v="539.65800000000002"/>
    <n v="3"/>
    <n v="0.3"/>
    <n v="-7.7093999999999996"/>
  </r>
  <r>
    <s v="Standard Class"/>
    <x v="2"/>
    <s v="United States"/>
    <s v="Seattle"/>
    <x v="4"/>
    <n v="98115"/>
    <x v="1"/>
    <x v="1"/>
    <x v="4"/>
    <n v="310.12"/>
    <n v="2"/>
    <n v="0"/>
    <n v="80.631200000000007"/>
  </r>
  <r>
    <s v="Standard Class"/>
    <x v="0"/>
    <s v="United States"/>
    <s v="Eagan"/>
    <x v="11"/>
    <n v="55122"/>
    <x v="2"/>
    <x v="1"/>
    <x v="10"/>
    <n v="8.56"/>
    <n v="2"/>
    <n v="0"/>
    <n v="3.8519999999999999"/>
  </r>
  <r>
    <s v="Standard Class"/>
    <x v="0"/>
    <s v="United States"/>
    <s v="Eagan"/>
    <x v="11"/>
    <n v="55122"/>
    <x v="2"/>
    <x v="1"/>
    <x v="4"/>
    <n v="52.4"/>
    <n v="5"/>
    <n v="0"/>
    <n v="14.148"/>
  </r>
  <r>
    <s v="Standard Class"/>
    <x v="0"/>
    <s v="United States"/>
    <s v="Eagan"/>
    <x v="11"/>
    <n v="55122"/>
    <x v="2"/>
    <x v="1"/>
    <x v="2"/>
    <n v="14.94"/>
    <n v="3"/>
    <n v="0"/>
    <n v="6.8723999999999998"/>
  </r>
  <r>
    <s v="Standard Class"/>
    <x v="0"/>
    <s v="United States"/>
    <s v="Seattle"/>
    <x v="4"/>
    <n v="98103"/>
    <x v="1"/>
    <x v="1"/>
    <x v="13"/>
    <n v="11.22"/>
    <n v="3"/>
    <n v="0"/>
    <n v="0.22439999999999999"/>
  </r>
  <r>
    <s v="Standard Class"/>
    <x v="0"/>
    <s v="United States"/>
    <s v="Coral Springs"/>
    <x v="2"/>
    <n v="33065"/>
    <x v="0"/>
    <x v="1"/>
    <x v="9"/>
    <n v="387.13600000000002"/>
    <n v="4"/>
    <n v="0.2"/>
    <n v="24.196000000000002"/>
  </r>
  <r>
    <s v="Standard Class"/>
    <x v="0"/>
    <s v="United States"/>
    <s v="Hempstead"/>
    <x v="15"/>
    <n v="11550"/>
    <x v="3"/>
    <x v="1"/>
    <x v="12"/>
    <n v="41.4"/>
    <n v="5"/>
    <n v="0"/>
    <n v="19.457999999999998"/>
  </r>
  <r>
    <s v="Standard Class"/>
    <x v="0"/>
    <s v="United States"/>
    <s v="Hempstead"/>
    <x v="15"/>
    <n v="11550"/>
    <x v="3"/>
    <x v="1"/>
    <x v="6"/>
    <n v="35"/>
    <n v="4"/>
    <n v="0"/>
    <n v="10.5"/>
  </r>
  <r>
    <s v="Standard Class"/>
    <x v="0"/>
    <s v="United States"/>
    <s v="Hempstead"/>
    <x v="15"/>
    <n v="11550"/>
    <x v="3"/>
    <x v="1"/>
    <x v="8"/>
    <n v="39.552"/>
    <n v="3"/>
    <n v="0.2"/>
    <n v="14.3376"/>
  </r>
  <r>
    <s v="Second Class"/>
    <x v="0"/>
    <s v="United States"/>
    <s v="Noblesville"/>
    <x v="14"/>
    <n v="46060"/>
    <x v="2"/>
    <x v="2"/>
    <x v="7"/>
    <n v="135.72"/>
    <n v="3"/>
    <n v="0"/>
    <n v="35.287199999999999"/>
  </r>
  <r>
    <s v="Second Class"/>
    <x v="0"/>
    <s v="United States"/>
    <s v="Noblesville"/>
    <x v="14"/>
    <n v="46060"/>
    <x v="2"/>
    <x v="1"/>
    <x v="8"/>
    <n v="12.56"/>
    <n v="2"/>
    <n v="0"/>
    <n v="5.6520000000000001"/>
  </r>
  <r>
    <s v="Second Class"/>
    <x v="0"/>
    <s v="United States"/>
    <s v="Noblesville"/>
    <x v="14"/>
    <n v="46060"/>
    <x v="2"/>
    <x v="2"/>
    <x v="7"/>
    <n v="263.95999999999998"/>
    <n v="4"/>
    <n v="0"/>
    <n v="71.269199999999998"/>
  </r>
  <r>
    <s v="First Class"/>
    <x v="0"/>
    <s v="United States"/>
    <s v="Dallas"/>
    <x v="5"/>
    <n v="75220"/>
    <x v="2"/>
    <x v="1"/>
    <x v="6"/>
    <n v="5.952"/>
    <n v="1"/>
    <n v="0.2"/>
    <n v="0.372"/>
  </r>
  <r>
    <s v="Same Day"/>
    <x v="1"/>
    <s v="United States"/>
    <s v="Philadelphia"/>
    <x v="9"/>
    <n v="19140"/>
    <x v="3"/>
    <x v="1"/>
    <x v="13"/>
    <n v="15.8"/>
    <n v="5"/>
    <n v="0.2"/>
    <n v="2.37"/>
  </r>
  <r>
    <s v="Same Day"/>
    <x v="1"/>
    <s v="United States"/>
    <s v="Philadelphia"/>
    <x v="9"/>
    <n v="19140"/>
    <x v="3"/>
    <x v="0"/>
    <x v="5"/>
    <n v="14.368"/>
    <n v="2"/>
    <n v="0.2"/>
    <n v="3.9512"/>
  </r>
  <r>
    <s v="Same Day"/>
    <x v="1"/>
    <s v="United States"/>
    <s v="Philadelphia"/>
    <x v="9"/>
    <n v="19140"/>
    <x v="3"/>
    <x v="0"/>
    <x v="5"/>
    <n v="70.447999999999993"/>
    <n v="7"/>
    <n v="0.2"/>
    <n v="12.3284"/>
  </r>
  <r>
    <s v="Same Day"/>
    <x v="0"/>
    <s v="United States"/>
    <s v="San Francisco"/>
    <x v="1"/>
    <n v="94109"/>
    <x v="1"/>
    <x v="1"/>
    <x v="4"/>
    <n v="129.30000000000001"/>
    <n v="2"/>
    <n v="0"/>
    <n v="6.4649999999999999"/>
  </r>
  <r>
    <s v="Second Class"/>
    <x v="2"/>
    <s v="United States"/>
    <s v="Austin"/>
    <x v="5"/>
    <n v="78745"/>
    <x v="2"/>
    <x v="1"/>
    <x v="8"/>
    <n v="3.8820000000000001"/>
    <n v="3"/>
    <n v="0.8"/>
    <n v="-5.8230000000000004"/>
  </r>
  <r>
    <s v="Standard Class"/>
    <x v="1"/>
    <s v="United States"/>
    <s v="Detroit"/>
    <x v="12"/>
    <n v="48234"/>
    <x v="2"/>
    <x v="1"/>
    <x v="13"/>
    <n v="6.08"/>
    <n v="1"/>
    <n v="0"/>
    <n v="3.04"/>
  </r>
  <r>
    <s v="First Class"/>
    <x v="0"/>
    <s v="United States"/>
    <s v="Watertown"/>
    <x v="15"/>
    <n v="13601"/>
    <x v="3"/>
    <x v="1"/>
    <x v="9"/>
    <n v="19.899999999999999"/>
    <n v="1"/>
    <n v="0"/>
    <n v="8.9550000000000001"/>
  </r>
  <r>
    <s v="First Class"/>
    <x v="0"/>
    <s v="United States"/>
    <s v="Watertown"/>
    <x v="15"/>
    <n v="13601"/>
    <x v="3"/>
    <x v="0"/>
    <x v="5"/>
    <n v="70.709999999999994"/>
    <n v="1"/>
    <n v="0"/>
    <n v="4.9497"/>
  </r>
  <r>
    <s v="Second Class"/>
    <x v="0"/>
    <s v="United States"/>
    <s v="Columbus"/>
    <x v="32"/>
    <n v="31907"/>
    <x v="0"/>
    <x v="0"/>
    <x v="5"/>
    <n v="18.84"/>
    <n v="3"/>
    <n v="0"/>
    <n v="7.9127999999999998"/>
  </r>
  <r>
    <s v="Standard Class"/>
    <x v="0"/>
    <s v="United States"/>
    <s v="Apple Valley"/>
    <x v="11"/>
    <n v="55124"/>
    <x v="2"/>
    <x v="1"/>
    <x v="6"/>
    <n v="8.64"/>
    <n v="3"/>
    <n v="0"/>
    <n v="2.5055999999999998"/>
  </r>
  <r>
    <s v="Standard Class"/>
    <x v="2"/>
    <s v="United States"/>
    <s v="Burlington"/>
    <x v="3"/>
    <n v="27217"/>
    <x v="0"/>
    <x v="1"/>
    <x v="8"/>
    <n v="1633.1880000000001"/>
    <n v="4"/>
    <n v="0.7"/>
    <n v="-1306.5504000000001"/>
  </r>
  <r>
    <s v="Standard Class"/>
    <x v="2"/>
    <s v="United States"/>
    <s v="Saginaw"/>
    <x v="12"/>
    <n v="48601"/>
    <x v="2"/>
    <x v="0"/>
    <x v="5"/>
    <n v="19.760000000000002"/>
    <n v="4"/>
    <n v="0"/>
    <n v="8.2992000000000008"/>
  </r>
  <r>
    <s v="Same Day"/>
    <x v="0"/>
    <s v="United States"/>
    <s v="San Francisco"/>
    <x v="1"/>
    <n v="94109"/>
    <x v="1"/>
    <x v="1"/>
    <x v="8"/>
    <n v="6.6079999999999997"/>
    <n v="2"/>
    <n v="0.2"/>
    <n v="2.2302"/>
  </r>
  <r>
    <s v="Same Day"/>
    <x v="0"/>
    <s v="United States"/>
    <s v="San Francisco"/>
    <x v="1"/>
    <n v="94109"/>
    <x v="1"/>
    <x v="1"/>
    <x v="8"/>
    <n v="7.28"/>
    <n v="2"/>
    <n v="0.2"/>
    <n v="2.73"/>
  </r>
  <r>
    <s v="Same Day"/>
    <x v="0"/>
    <s v="United States"/>
    <s v="San Francisco"/>
    <x v="1"/>
    <n v="94109"/>
    <x v="1"/>
    <x v="0"/>
    <x v="1"/>
    <n v="144.78399999999999"/>
    <n v="1"/>
    <n v="0.2"/>
    <n v="10.8588"/>
  </r>
  <r>
    <s v="Standard Class"/>
    <x v="0"/>
    <s v="United States"/>
    <s v="Seattle"/>
    <x v="4"/>
    <n v="98105"/>
    <x v="1"/>
    <x v="2"/>
    <x v="7"/>
    <n v="156.792"/>
    <n v="1"/>
    <n v="0.2"/>
    <n v="13.7193"/>
  </r>
  <r>
    <s v="Standard Class"/>
    <x v="0"/>
    <s v="United States"/>
    <s v="Seattle"/>
    <x v="4"/>
    <n v="98105"/>
    <x v="1"/>
    <x v="2"/>
    <x v="7"/>
    <n v="431.976"/>
    <n v="3"/>
    <n v="0.2"/>
    <n v="26.9985"/>
  </r>
  <r>
    <s v="Standard Class"/>
    <x v="0"/>
    <s v="United States"/>
    <s v="Seattle"/>
    <x v="4"/>
    <n v="98105"/>
    <x v="1"/>
    <x v="1"/>
    <x v="12"/>
    <n v="35.89"/>
    <n v="1"/>
    <n v="0"/>
    <n v="16.150500000000001"/>
  </r>
  <r>
    <s v="Standard Class"/>
    <x v="0"/>
    <s v="United States"/>
    <s v="Seattle"/>
    <x v="4"/>
    <n v="98105"/>
    <x v="1"/>
    <x v="1"/>
    <x v="8"/>
    <n v="47.207999999999998"/>
    <n v="7"/>
    <n v="0.2"/>
    <n v="15.342599999999999"/>
  </r>
  <r>
    <s v="Standard Class"/>
    <x v="0"/>
    <s v="United States"/>
    <s v="Seattle"/>
    <x v="4"/>
    <n v="98105"/>
    <x v="1"/>
    <x v="1"/>
    <x v="10"/>
    <n v="248.08"/>
    <n v="7"/>
    <n v="0"/>
    <n v="116.5976"/>
  </r>
  <r>
    <s v="Standard Class"/>
    <x v="0"/>
    <s v="United States"/>
    <s v="Seattle"/>
    <x v="4"/>
    <n v="98105"/>
    <x v="1"/>
    <x v="1"/>
    <x v="10"/>
    <n v="189.7"/>
    <n v="5"/>
    <n v="0"/>
    <n v="89.159000000000006"/>
  </r>
  <r>
    <s v="Standard Class"/>
    <x v="0"/>
    <s v="United States"/>
    <s v="Seattle"/>
    <x v="4"/>
    <n v="98105"/>
    <x v="1"/>
    <x v="1"/>
    <x v="8"/>
    <n v="59.808"/>
    <n v="3"/>
    <n v="0.2"/>
    <n v="19.4376"/>
  </r>
  <r>
    <s v="Standard Class"/>
    <x v="1"/>
    <s v="United States"/>
    <s v="Milwaukee"/>
    <x v="6"/>
    <n v="53209"/>
    <x v="2"/>
    <x v="0"/>
    <x v="1"/>
    <n v="90.99"/>
    <n v="1"/>
    <n v="0"/>
    <n v="14.558400000000001"/>
  </r>
  <r>
    <s v="Standard Class"/>
    <x v="1"/>
    <s v="United States"/>
    <s v="Milwaukee"/>
    <x v="6"/>
    <n v="53209"/>
    <x v="2"/>
    <x v="0"/>
    <x v="1"/>
    <n v="1526.56"/>
    <n v="7"/>
    <n v="0"/>
    <n v="427.43680000000001"/>
  </r>
  <r>
    <s v="Standard Class"/>
    <x v="1"/>
    <s v="United States"/>
    <s v="Milwaukee"/>
    <x v="6"/>
    <n v="53209"/>
    <x v="2"/>
    <x v="0"/>
    <x v="1"/>
    <n v="368.97"/>
    <n v="3"/>
    <n v="0"/>
    <n v="40.5867"/>
  </r>
  <r>
    <s v="Standard Class"/>
    <x v="0"/>
    <s v="United States"/>
    <s v="Los Angeles"/>
    <x v="1"/>
    <n v="90049"/>
    <x v="1"/>
    <x v="1"/>
    <x v="4"/>
    <n v="305.01"/>
    <n v="9"/>
    <n v="0"/>
    <n v="76.252499999999998"/>
  </r>
  <r>
    <s v="Standard Class"/>
    <x v="0"/>
    <s v="United States"/>
    <s v="Los Angeles"/>
    <x v="1"/>
    <n v="90049"/>
    <x v="1"/>
    <x v="0"/>
    <x v="5"/>
    <n v="18.7"/>
    <n v="1"/>
    <n v="0"/>
    <n v="7.1059999999999999"/>
  </r>
  <r>
    <s v="First Class"/>
    <x v="0"/>
    <s v="United States"/>
    <s v="San Francisco"/>
    <x v="1"/>
    <n v="94122"/>
    <x v="1"/>
    <x v="0"/>
    <x v="5"/>
    <n v="38.29"/>
    <n v="7"/>
    <n v="0"/>
    <n v="16.464700000000001"/>
  </r>
  <r>
    <s v="Standard Class"/>
    <x v="2"/>
    <s v="United States"/>
    <s v="San Diego"/>
    <x v="1"/>
    <n v="92024"/>
    <x v="1"/>
    <x v="0"/>
    <x v="5"/>
    <n v="26.25"/>
    <n v="3"/>
    <n v="0"/>
    <n v="11.025"/>
  </r>
  <r>
    <s v="Standard Class"/>
    <x v="2"/>
    <s v="United States"/>
    <s v="San Diego"/>
    <x v="1"/>
    <n v="92024"/>
    <x v="1"/>
    <x v="1"/>
    <x v="8"/>
    <n v="64.959999999999994"/>
    <n v="14"/>
    <n v="0.2"/>
    <n v="22.736000000000001"/>
  </r>
  <r>
    <s v="Standard Class"/>
    <x v="2"/>
    <s v="United States"/>
    <s v="San Diego"/>
    <x v="1"/>
    <n v="92024"/>
    <x v="1"/>
    <x v="1"/>
    <x v="12"/>
    <n v="43.7"/>
    <n v="5"/>
    <n v="0"/>
    <n v="20.539000000000001"/>
  </r>
  <r>
    <s v="Same Day"/>
    <x v="2"/>
    <s v="United States"/>
    <s v="Glendale"/>
    <x v="16"/>
    <n v="85301"/>
    <x v="1"/>
    <x v="2"/>
    <x v="11"/>
    <n v="41.6"/>
    <n v="4"/>
    <n v="0.2"/>
    <n v="13"/>
  </r>
  <r>
    <s v="Same Day"/>
    <x v="2"/>
    <s v="United States"/>
    <s v="Glendale"/>
    <x v="16"/>
    <n v="85301"/>
    <x v="1"/>
    <x v="1"/>
    <x v="10"/>
    <n v="23.12"/>
    <n v="5"/>
    <n v="0.2"/>
    <n v="8.3810000000000002"/>
  </r>
  <r>
    <s v="Same Day"/>
    <x v="2"/>
    <s v="United States"/>
    <s v="Glendale"/>
    <x v="16"/>
    <n v="85301"/>
    <x v="1"/>
    <x v="0"/>
    <x v="1"/>
    <n v="113.88800000000001"/>
    <n v="2"/>
    <n v="0.2"/>
    <n v="9.9651999999999994"/>
  </r>
  <r>
    <s v="Same Day"/>
    <x v="2"/>
    <s v="United States"/>
    <s v="Glendale"/>
    <x v="16"/>
    <n v="85301"/>
    <x v="1"/>
    <x v="0"/>
    <x v="5"/>
    <n v="113.568"/>
    <n v="2"/>
    <n v="0.2"/>
    <n v="-5.6783999999999999"/>
  </r>
  <r>
    <s v="Same Day"/>
    <x v="2"/>
    <s v="United States"/>
    <s v="Glendale"/>
    <x v="16"/>
    <n v="85301"/>
    <x v="1"/>
    <x v="2"/>
    <x v="7"/>
    <n v="7.92"/>
    <n v="2"/>
    <n v="0.2"/>
    <n v="0.69299999999999995"/>
  </r>
  <r>
    <s v="Same Day"/>
    <x v="2"/>
    <s v="United States"/>
    <s v="Glendale"/>
    <x v="16"/>
    <n v="85301"/>
    <x v="1"/>
    <x v="2"/>
    <x v="7"/>
    <n v="671.98400000000004"/>
    <n v="2"/>
    <n v="0.2"/>
    <n v="50.398800000000001"/>
  </r>
  <r>
    <s v="Standard Class"/>
    <x v="1"/>
    <s v="United States"/>
    <s v="New York City"/>
    <x v="15"/>
    <n v="10035"/>
    <x v="3"/>
    <x v="2"/>
    <x v="7"/>
    <n v="39.99"/>
    <n v="1"/>
    <n v="0"/>
    <n v="11.597099999999999"/>
  </r>
  <r>
    <s v="Standard Class"/>
    <x v="2"/>
    <s v="United States"/>
    <s v="Watertown"/>
    <x v="15"/>
    <n v="13601"/>
    <x v="3"/>
    <x v="0"/>
    <x v="1"/>
    <n v="191.64599999999999"/>
    <n v="3"/>
    <n v="0.1"/>
    <n v="31.940999999999999"/>
  </r>
  <r>
    <s v="Standard Class"/>
    <x v="0"/>
    <s v="United States"/>
    <s v="Springfield"/>
    <x v="24"/>
    <n v="45503"/>
    <x v="3"/>
    <x v="1"/>
    <x v="8"/>
    <n v="2.3130000000000002"/>
    <n v="1"/>
    <n v="0.7"/>
    <n v="-1.9275"/>
  </r>
  <r>
    <s v="Standard Class"/>
    <x v="0"/>
    <s v="United States"/>
    <s v="Los Angeles"/>
    <x v="1"/>
    <n v="90032"/>
    <x v="1"/>
    <x v="1"/>
    <x v="8"/>
    <n v="19.936"/>
    <n v="4"/>
    <n v="0.2"/>
    <n v="7.2267999999999999"/>
  </r>
  <r>
    <s v="Standard Class"/>
    <x v="0"/>
    <s v="United States"/>
    <s v="Los Angeles"/>
    <x v="1"/>
    <n v="90032"/>
    <x v="1"/>
    <x v="1"/>
    <x v="13"/>
    <n v="45.92"/>
    <n v="4"/>
    <n v="0"/>
    <n v="21.5824"/>
  </r>
  <r>
    <s v="Standard Class"/>
    <x v="2"/>
    <s v="United States"/>
    <s v="Seattle"/>
    <x v="4"/>
    <n v="98115"/>
    <x v="1"/>
    <x v="1"/>
    <x v="10"/>
    <n v="20.34"/>
    <n v="3"/>
    <n v="0"/>
    <n v="9.3564000000000007"/>
  </r>
  <r>
    <s v="Standard Class"/>
    <x v="2"/>
    <s v="United States"/>
    <s v="Seattle"/>
    <x v="4"/>
    <n v="98115"/>
    <x v="1"/>
    <x v="1"/>
    <x v="2"/>
    <n v="39.28"/>
    <n v="8"/>
    <n v="0"/>
    <n v="19.247199999999999"/>
  </r>
  <r>
    <s v="Second Class"/>
    <x v="1"/>
    <s v="United States"/>
    <s v="Oceanside"/>
    <x v="1"/>
    <n v="92054"/>
    <x v="1"/>
    <x v="0"/>
    <x v="1"/>
    <n v="81.567999999999998"/>
    <n v="2"/>
    <n v="0.2"/>
    <n v="9.1763999999999992"/>
  </r>
  <r>
    <s v="Second Class"/>
    <x v="1"/>
    <s v="United States"/>
    <s v="Oceanside"/>
    <x v="1"/>
    <n v="92054"/>
    <x v="1"/>
    <x v="0"/>
    <x v="1"/>
    <n v="97.183999999999997"/>
    <n v="2"/>
    <n v="0.2"/>
    <n v="6.0739999999999998"/>
  </r>
  <r>
    <s v="Second Class"/>
    <x v="1"/>
    <s v="United States"/>
    <s v="Oceanside"/>
    <x v="1"/>
    <n v="92054"/>
    <x v="1"/>
    <x v="1"/>
    <x v="8"/>
    <n v="24.32"/>
    <n v="5"/>
    <n v="0.2"/>
    <n v="8.2080000000000002"/>
  </r>
  <r>
    <s v="Second Class"/>
    <x v="1"/>
    <s v="United States"/>
    <s v="Oceanside"/>
    <x v="1"/>
    <n v="92054"/>
    <x v="1"/>
    <x v="0"/>
    <x v="5"/>
    <n v="18.96"/>
    <n v="2"/>
    <n v="0"/>
    <n v="7.5839999999999996"/>
  </r>
  <r>
    <s v="Standard Class"/>
    <x v="0"/>
    <s v="United States"/>
    <s v="Skokie"/>
    <x v="10"/>
    <n v="60076"/>
    <x v="2"/>
    <x v="0"/>
    <x v="5"/>
    <n v="32.951999999999998"/>
    <n v="6"/>
    <n v="0.6"/>
    <n v="-19.7712"/>
  </r>
  <r>
    <s v="Standard Class"/>
    <x v="0"/>
    <s v="United States"/>
    <s v="Skokie"/>
    <x v="10"/>
    <n v="60076"/>
    <x v="2"/>
    <x v="1"/>
    <x v="4"/>
    <n v="30.015999999999998"/>
    <n v="4"/>
    <n v="0.2"/>
    <n v="3.0015999999999998"/>
  </r>
  <r>
    <s v="Second Class"/>
    <x v="0"/>
    <s v="United States"/>
    <s v="Fayetteville"/>
    <x v="3"/>
    <n v="28314"/>
    <x v="0"/>
    <x v="1"/>
    <x v="9"/>
    <n v="499.584"/>
    <n v="3"/>
    <n v="0.2"/>
    <n v="43.7136"/>
  </r>
  <r>
    <s v="Second Class"/>
    <x v="0"/>
    <s v="United States"/>
    <s v="Fayetteville"/>
    <x v="3"/>
    <n v="28314"/>
    <x v="0"/>
    <x v="1"/>
    <x v="10"/>
    <n v="31.103999999999999"/>
    <n v="6"/>
    <n v="0.2"/>
    <n v="10.8864"/>
  </r>
  <r>
    <s v="Second Class"/>
    <x v="0"/>
    <s v="United States"/>
    <s v="Fayetteville"/>
    <x v="3"/>
    <n v="28314"/>
    <x v="0"/>
    <x v="1"/>
    <x v="8"/>
    <n v="13.272"/>
    <n v="8"/>
    <n v="0.7"/>
    <n v="-10.617599999999999"/>
  </r>
  <r>
    <s v="Second Class"/>
    <x v="0"/>
    <s v="United States"/>
    <s v="Fayetteville"/>
    <x v="3"/>
    <n v="28314"/>
    <x v="0"/>
    <x v="0"/>
    <x v="5"/>
    <n v="28.271999999999998"/>
    <n v="2"/>
    <n v="0.2"/>
    <n v="6.3612000000000002"/>
  </r>
  <r>
    <s v="Second Class"/>
    <x v="0"/>
    <s v="United States"/>
    <s v="Fayetteville"/>
    <x v="3"/>
    <n v="28314"/>
    <x v="0"/>
    <x v="1"/>
    <x v="4"/>
    <n v="259.13600000000002"/>
    <n v="4"/>
    <n v="0.2"/>
    <n v="-51.827199999999998"/>
  </r>
  <r>
    <s v="Standard Class"/>
    <x v="0"/>
    <s v="United States"/>
    <s v="Tulsa"/>
    <x v="26"/>
    <n v="74133"/>
    <x v="2"/>
    <x v="1"/>
    <x v="8"/>
    <n v="10.8"/>
    <n v="5"/>
    <n v="0"/>
    <n v="5.1840000000000002"/>
  </r>
  <r>
    <s v="Standard Class"/>
    <x v="0"/>
    <s v="United States"/>
    <s v="Allen"/>
    <x v="5"/>
    <n v="75002"/>
    <x v="2"/>
    <x v="0"/>
    <x v="3"/>
    <n v="244.006"/>
    <n v="2"/>
    <n v="0.3"/>
    <n v="-31.372199999999999"/>
  </r>
  <r>
    <s v="Standard Class"/>
    <x v="0"/>
    <s v="United States"/>
    <s v="Allen"/>
    <x v="5"/>
    <n v="75002"/>
    <x v="2"/>
    <x v="1"/>
    <x v="10"/>
    <n v="15.936"/>
    <n v="4"/>
    <n v="0.2"/>
    <n v="5.3784000000000001"/>
  </r>
  <r>
    <s v="Same Day"/>
    <x v="1"/>
    <s v="United States"/>
    <s v="Philadelphia"/>
    <x v="9"/>
    <n v="19143"/>
    <x v="3"/>
    <x v="0"/>
    <x v="1"/>
    <n v="188.55199999999999"/>
    <n v="7"/>
    <n v="0.3"/>
    <n v="-2.6936"/>
  </r>
  <r>
    <s v="Second Class"/>
    <x v="0"/>
    <s v="United States"/>
    <s v="Rochester"/>
    <x v="15"/>
    <n v="14609"/>
    <x v="3"/>
    <x v="1"/>
    <x v="4"/>
    <n v="22.58"/>
    <n v="2"/>
    <n v="0"/>
    <n v="5.8708"/>
  </r>
  <r>
    <s v="Second Class"/>
    <x v="0"/>
    <s v="United States"/>
    <s v="Mount Pleasant"/>
    <x v="20"/>
    <n v="29464"/>
    <x v="0"/>
    <x v="0"/>
    <x v="1"/>
    <n v="545.94000000000005"/>
    <n v="6"/>
    <n v="0"/>
    <n v="87.350399999999993"/>
  </r>
  <r>
    <s v="Standard Class"/>
    <x v="0"/>
    <s v="United States"/>
    <s v="Philadelphia"/>
    <x v="9"/>
    <n v="19134"/>
    <x v="3"/>
    <x v="1"/>
    <x v="10"/>
    <n v="20.736000000000001"/>
    <n v="4"/>
    <n v="0.2"/>
    <n v="7.2576000000000001"/>
  </r>
  <r>
    <s v="Standard Class"/>
    <x v="0"/>
    <s v="United States"/>
    <s v="Philadelphia"/>
    <x v="9"/>
    <n v="19134"/>
    <x v="3"/>
    <x v="0"/>
    <x v="5"/>
    <n v="43.295999999999999"/>
    <n v="2"/>
    <n v="0.2"/>
    <n v="4.3296000000000001"/>
  </r>
  <r>
    <s v="Standard Class"/>
    <x v="0"/>
    <s v="United States"/>
    <s v="Seattle"/>
    <x v="4"/>
    <n v="98115"/>
    <x v="1"/>
    <x v="0"/>
    <x v="1"/>
    <n v="123.136"/>
    <n v="4"/>
    <n v="0.2"/>
    <n v="13.8528"/>
  </r>
  <r>
    <s v="Standard Class"/>
    <x v="0"/>
    <s v="United States"/>
    <s v="Seattle"/>
    <x v="4"/>
    <n v="98115"/>
    <x v="1"/>
    <x v="1"/>
    <x v="8"/>
    <n v="11.263999999999999"/>
    <n v="4"/>
    <n v="0.2"/>
    <n v="3.8016000000000001"/>
  </r>
  <r>
    <s v="Second Class"/>
    <x v="0"/>
    <s v="United States"/>
    <s v="Springfield"/>
    <x v="21"/>
    <n v="97477"/>
    <x v="1"/>
    <x v="1"/>
    <x v="4"/>
    <n v="53.423999999999999"/>
    <n v="3"/>
    <n v="0.2"/>
    <n v="4.6745999999999999"/>
  </r>
  <r>
    <s v="Second Class"/>
    <x v="0"/>
    <s v="United States"/>
    <s v="Springfield"/>
    <x v="21"/>
    <n v="97477"/>
    <x v="1"/>
    <x v="0"/>
    <x v="3"/>
    <n v="275.49"/>
    <n v="1"/>
    <n v="0.5"/>
    <n v="-170.8038"/>
  </r>
  <r>
    <s v="Standard Class"/>
    <x v="2"/>
    <s v="United States"/>
    <s v="Columbus"/>
    <x v="32"/>
    <n v="31907"/>
    <x v="0"/>
    <x v="0"/>
    <x v="5"/>
    <n v="24.96"/>
    <n v="4"/>
    <n v="0"/>
    <n v="6.24"/>
  </r>
  <r>
    <s v="Standard Class"/>
    <x v="2"/>
    <s v="United States"/>
    <s v="Columbus"/>
    <x v="32"/>
    <n v="31907"/>
    <x v="0"/>
    <x v="1"/>
    <x v="10"/>
    <n v="19.36"/>
    <n v="2"/>
    <n v="0"/>
    <n v="9.2927999999999997"/>
  </r>
  <r>
    <s v="Standard Class"/>
    <x v="2"/>
    <s v="United States"/>
    <s v="Columbus"/>
    <x v="32"/>
    <n v="31907"/>
    <x v="0"/>
    <x v="1"/>
    <x v="4"/>
    <n v="1267.6500000000001"/>
    <n v="9"/>
    <n v="0"/>
    <n v="152.11799999999999"/>
  </r>
  <r>
    <s v="Second Class"/>
    <x v="1"/>
    <s v="United States"/>
    <s v="Los Angeles"/>
    <x v="1"/>
    <n v="90032"/>
    <x v="1"/>
    <x v="2"/>
    <x v="11"/>
    <n v="12.99"/>
    <n v="1"/>
    <n v="0"/>
    <n v="0.77939999999999998"/>
  </r>
  <r>
    <s v="Second Class"/>
    <x v="1"/>
    <s v="United States"/>
    <s v="Los Angeles"/>
    <x v="1"/>
    <n v="90032"/>
    <x v="1"/>
    <x v="1"/>
    <x v="8"/>
    <n v="18.559999999999999"/>
    <n v="4"/>
    <n v="0.2"/>
    <n v="6.4960000000000004"/>
  </r>
  <r>
    <s v="Second Class"/>
    <x v="1"/>
    <s v="United States"/>
    <s v="Los Angeles"/>
    <x v="1"/>
    <n v="90032"/>
    <x v="1"/>
    <x v="1"/>
    <x v="4"/>
    <n v="449.15"/>
    <n v="5"/>
    <n v="0"/>
    <n v="8.9830000000000005"/>
  </r>
  <r>
    <s v="Second Class"/>
    <x v="1"/>
    <s v="United States"/>
    <s v="Los Angeles"/>
    <x v="1"/>
    <n v="90032"/>
    <x v="1"/>
    <x v="1"/>
    <x v="8"/>
    <n v="31.248000000000001"/>
    <n v="7"/>
    <n v="0.2"/>
    <n v="10.9368"/>
  </r>
  <r>
    <s v="Standard Class"/>
    <x v="1"/>
    <s v="United States"/>
    <s v="New York City"/>
    <x v="15"/>
    <n v="10024"/>
    <x v="3"/>
    <x v="1"/>
    <x v="9"/>
    <n v="61.44"/>
    <n v="3"/>
    <n v="0"/>
    <n v="16.588799999999999"/>
  </r>
  <r>
    <s v="Standard Class"/>
    <x v="0"/>
    <s v="United States"/>
    <s v="Detroit"/>
    <x v="12"/>
    <n v="48227"/>
    <x v="2"/>
    <x v="1"/>
    <x v="8"/>
    <n v="895.92"/>
    <n v="4"/>
    <n v="0"/>
    <n v="421.08240000000001"/>
  </r>
  <r>
    <s v="Second Class"/>
    <x v="0"/>
    <s v="United States"/>
    <s v="Stockton"/>
    <x v="1"/>
    <n v="95207"/>
    <x v="1"/>
    <x v="1"/>
    <x v="8"/>
    <n v="55.36"/>
    <n v="4"/>
    <n v="0.2"/>
    <n v="18.684000000000001"/>
  </r>
  <r>
    <s v="Standard Class"/>
    <x v="0"/>
    <s v="United States"/>
    <s v="Phoenix"/>
    <x v="16"/>
    <n v="85023"/>
    <x v="1"/>
    <x v="1"/>
    <x v="4"/>
    <n v="55.92"/>
    <n v="5"/>
    <n v="0.2"/>
    <n v="6.2910000000000004"/>
  </r>
  <r>
    <s v="Standard Class"/>
    <x v="0"/>
    <s v="United States"/>
    <s v="Philadelphia"/>
    <x v="9"/>
    <n v="19120"/>
    <x v="3"/>
    <x v="1"/>
    <x v="12"/>
    <n v="24.896000000000001"/>
    <n v="4"/>
    <n v="0.2"/>
    <n v="8.4024000000000001"/>
  </r>
  <r>
    <s v="Standard Class"/>
    <x v="0"/>
    <s v="United States"/>
    <s v="Philadelphia"/>
    <x v="9"/>
    <n v="19120"/>
    <x v="3"/>
    <x v="0"/>
    <x v="5"/>
    <n v="3.984"/>
    <n v="1"/>
    <n v="0.2"/>
    <n v="0.64739999999999998"/>
  </r>
  <r>
    <s v="Standard Class"/>
    <x v="0"/>
    <s v="United States"/>
    <s v="Philadelphia"/>
    <x v="9"/>
    <n v="19120"/>
    <x v="3"/>
    <x v="2"/>
    <x v="11"/>
    <n v="95.968000000000004"/>
    <n v="4"/>
    <n v="0.2"/>
    <n v="28.790400000000002"/>
  </r>
  <r>
    <s v="Standard Class"/>
    <x v="0"/>
    <s v="United States"/>
    <s v="Philadelphia"/>
    <x v="9"/>
    <n v="19120"/>
    <x v="3"/>
    <x v="2"/>
    <x v="15"/>
    <n v="206.99100000000001"/>
    <n v="3"/>
    <n v="0.7"/>
    <n v="-172.49250000000001"/>
  </r>
  <r>
    <s v="Standard Class"/>
    <x v="0"/>
    <s v="United States"/>
    <s v="Philadelphia"/>
    <x v="9"/>
    <n v="19120"/>
    <x v="3"/>
    <x v="1"/>
    <x v="9"/>
    <n v="44.415999999999997"/>
    <n v="2"/>
    <n v="0.2"/>
    <n v="3.8864000000000001"/>
  </r>
  <r>
    <s v="Standard Class"/>
    <x v="0"/>
    <s v="United States"/>
    <s v="Philadelphia"/>
    <x v="9"/>
    <n v="19120"/>
    <x v="3"/>
    <x v="1"/>
    <x v="8"/>
    <n v="9.0060000000000002"/>
    <n v="2"/>
    <n v="0.7"/>
    <n v="-7.2047999999999996"/>
  </r>
  <r>
    <s v="Standard Class"/>
    <x v="2"/>
    <s v="United States"/>
    <s v="Sterling Heights"/>
    <x v="12"/>
    <n v="48310"/>
    <x v="2"/>
    <x v="1"/>
    <x v="8"/>
    <n v="19"/>
    <n v="5"/>
    <n v="0"/>
    <n v="8.93"/>
  </r>
  <r>
    <s v="Standard Class"/>
    <x v="2"/>
    <s v="United States"/>
    <s v="Rochester"/>
    <x v="15"/>
    <n v="14609"/>
    <x v="3"/>
    <x v="1"/>
    <x v="8"/>
    <n v="33.375999999999998"/>
    <n v="4"/>
    <n v="0.2"/>
    <n v="10.43"/>
  </r>
  <r>
    <s v="First Class"/>
    <x v="2"/>
    <s v="United States"/>
    <s v="New York City"/>
    <x v="15"/>
    <n v="10011"/>
    <x v="3"/>
    <x v="1"/>
    <x v="9"/>
    <n v="207.48"/>
    <n v="1"/>
    <n v="0"/>
    <n v="62.244"/>
  </r>
  <r>
    <s v="Standard Class"/>
    <x v="2"/>
    <s v="United States"/>
    <s v="Eau Claire"/>
    <x v="6"/>
    <n v="54703"/>
    <x v="2"/>
    <x v="1"/>
    <x v="8"/>
    <n v="91.68"/>
    <n v="3"/>
    <n v="0"/>
    <n v="45.84"/>
  </r>
  <r>
    <s v="First Class"/>
    <x v="0"/>
    <s v="United States"/>
    <s v="New York City"/>
    <x v="15"/>
    <n v="10009"/>
    <x v="3"/>
    <x v="1"/>
    <x v="9"/>
    <n v="904.9"/>
    <n v="5"/>
    <n v="0"/>
    <n v="253.37200000000001"/>
  </r>
  <r>
    <s v="Standard Class"/>
    <x v="0"/>
    <s v="United States"/>
    <s v="Rancho Cucamonga"/>
    <x v="1"/>
    <n v="91730"/>
    <x v="1"/>
    <x v="1"/>
    <x v="8"/>
    <n v="34.271999999999998"/>
    <n v="3"/>
    <n v="0.2"/>
    <n v="11.138400000000001"/>
  </r>
  <r>
    <s v="First Class"/>
    <x v="0"/>
    <s v="United States"/>
    <s v="Murray"/>
    <x v="0"/>
    <n v="42071"/>
    <x v="0"/>
    <x v="0"/>
    <x v="5"/>
    <n v="191.82"/>
    <n v="3"/>
    <n v="0"/>
    <n v="74.809799999999996"/>
  </r>
  <r>
    <s v="Standard Class"/>
    <x v="1"/>
    <s v="United States"/>
    <s v="Toledo"/>
    <x v="24"/>
    <n v="43615"/>
    <x v="3"/>
    <x v="1"/>
    <x v="9"/>
    <n v="243.88"/>
    <n v="5"/>
    <n v="0.2"/>
    <n v="27.436499999999999"/>
  </r>
  <r>
    <s v="Standard Class"/>
    <x v="2"/>
    <s v="United States"/>
    <s v="Louisville"/>
    <x v="22"/>
    <n v="80027"/>
    <x v="1"/>
    <x v="1"/>
    <x v="8"/>
    <n v="12.03"/>
    <n v="5"/>
    <n v="0.7"/>
    <n v="-9.2230000000000008"/>
  </r>
  <r>
    <s v="Standard Class"/>
    <x v="2"/>
    <s v="United States"/>
    <s v="Louisville"/>
    <x v="22"/>
    <n v="80027"/>
    <x v="1"/>
    <x v="2"/>
    <x v="15"/>
    <n v="2549.9850000000001"/>
    <n v="5"/>
    <n v="0.7"/>
    <n v="-3399.98"/>
  </r>
  <r>
    <s v="Standard Class"/>
    <x v="2"/>
    <s v="United States"/>
    <s v="Louisville"/>
    <x v="22"/>
    <n v="80027"/>
    <x v="1"/>
    <x v="1"/>
    <x v="8"/>
    <n v="21.594000000000001"/>
    <n v="2"/>
    <n v="0.7"/>
    <n v="-15.835599999999999"/>
  </r>
  <r>
    <s v="Standard Class"/>
    <x v="2"/>
    <s v="United States"/>
    <s v="Louisville"/>
    <x v="22"/>
    <n v="80027"/>
    <x v="1"/>
    <x v="1"/>
    <x v="8"/>
    <n v="8.9640000000000004"/>
    <n v="6"/>
    <n v="0.7"/>
    <n v="-6.5735999999999999"/>
  </r>
  <r>
    <s v="Standard Class"/>
    <x v="2"/>
    <s v="United States"/>
    <s v="Louisville"/>
    <x v="22"/>
    <n v="80027"/>
    <x v="1"/>
    <x v="1"/>
    <x v="10"/>
    <n v="20.736000000000001"/>
    <n v="4"/>
    <n v="0.2"/>
    <n v="7.2576000000000001"/>
  </r>
  <r>
    <s v="Standard Class"/>
    <x v="2"/>
    <s v="United States"/>
    <s v="New York City"/>
    <x v="15"/>
    <n v="10035"/>
    <x v="3"/>
    <x v="0"/>
    <x v="3"/>
    <n v="344.22"/>
    <n v="2"/>
    <n v="0.4"/>
    <n v="-103.26600000000001"/>
  </r>
  <r>
    <s v="Standard Class"/>
    <x v="2"/>
    <s v="United States"/>
    <s v="Pharr"/>
    <x v="5"/>
    <n v="78577"/>
    <x v="2"/>
    <x v="1"/>
    <x v="4"/>
    <n v="727.29600000000005"/>
    <n v="8"/>
    <n v="0.2"/>
    <n v="-172.7328"/>
  </r>
  <r>
    <s v="Standard Class"/>
    <x v="2"/>
    <s v="United States"/>
    <s v="Pharr"/>
    <x v="5"/>
    <n v="78577"/>
    <x v="2"/>
    <x v="0"/>
    <x v="5"/>
    <n v="22.608000000000001"/>
    <n v="3"/>
    <n v="0.6"/>
    <n v="-10.1736"/>
  </r>
  <r>
    <s v="Standard Class"/>
    <x v="2"/>
    <s v="United States"/>
    <s v="Pharr"/>
    <x v="5"/>
    <n v="78577"/>
    <x v="2"/>
    <x v="2"/>
    <x v="11"/>
    <n v="666.4"/>
    <n v="7"/>
    <n v="0.2"/>
    <n v="-33.32"/>
  </r>
  <r>
    <s v="Standard Class"/>
    <x v="0"/>
    <s v="United States"/>
    <s v="West Jordan"/>
    <x v="7"/>
    <n v="84084"/>
    <x v="1"/>
    <x v="1"/>
    <x v="13"/>
    <n v="5.04"/>
    <n v="3"/>
    <n v="0"/>
    <n v="0.2016"/>
  </r>
  <r>
    <s v="Standard Class"/>
    <x v="0"/>
    <s v="United States"/>
    <s v="West Jordan"/>
    <x v="7"/>
    <n v="84084"/>
    <x v="1"/>
    <x v="1"/>
    <x v="10"/>
    <n v="92.94"/>
    <n v="3"/>
    <n v="0"/>
    <n v="41.823"/>
  </r>
  <r>
    <s v="Standard Class"/>
    <x v="0"/>
    <s v="United States"/>
    <s v="West Jordan"/>
    <x v="7"/>
    <n v="84084"/>
    <x v="1"/>
    <x v="0"/>
    <x v="5"/>
    <n v="66.69"/>
    <n v="3"/>
    <n v="0"/>
    <n v="22.0077"/>
  </r>
  <r>
    <s v="Standard Class"/>
    <x v="0"/>
    <s v="United States"/>
    <s v="West Jordan"/>
    <x v="7"/>
    <n v="84084"/>
    <x v="1"/>
    <x v="1"/>
    <x v="8"/>
    <n v="91.68"/>
    <n v="5"/>
    <n v="0.2"/>
    <n v="28.65"/>
  </r>
  <r>
    <s v="Standard Class"/>
    <x v="0"/>
    <s v="United States"/>
    <s v="Brownsville"/>
    <x v="5"/>
    <n v="78521"/>
    <x v="2"/>
    <x v="0"/>
    <x v="0"/>
    <n v="327.7328"/>
    <n v="2"/>
    <n v="0.32"/>
    <n v="-14.4588"/>
  </r>
  <r>
    <s v="Standard Class"/>
    <x v="0"/>
    <s v="United States"/>
    <s v="New York City"/>
    <x v="15"/>
    <n v="10011"/>
    <x v="3"/>
    <x v="1"/>
    <x v="8"/>
    <n v="52.271999999999998"/>
    <n v="11"/>
    <n v="0.2"/>
    <n v="17.6418"/>
  </r>
  <r>
    <s v="Standard Class"/>
    <x v="0"/>
    <s v="United States"/>
    <s v="New York City"/>
    <x v="15"/>
    <n v="10011"/>
    <x v="3"/>
    <x v="1"/>
    <x v="10"/>
    <n v="17.940000000000001"/>
    <n v="3"/>
    <n v="0"/>
    <n v="8.0730000000000004"/>
  </r>
  <r>
    <s v="Standard Class"/>
    <x v="2"/>
    <s v="United States"/>
    <s v="Philadelphia"/>
    <x v="9"/>
    <n v="19140"/>
    <x v="3"/>
    <x v="0"/>
    <x v="5"/>
    <n v="254.352"/>
    <n v="3"/>
    <n v="0.2"/>
    <n v="0"/>
  </r>
  <r>
    <s v="Same Day"/>
    <x v="1"/>
    <s v="United States"/>
    <s v="Billings"/>
    <x v="37"/>
    <n v="59102"/>
    <x v="1"/>
    <x v="1"/>
    <x v="8"/>
    <n v="8.2880000000000003"/>
    <n v="2"/>
    <n v="0.2"/>
    <n v="2.6936"/>
  </r>
  <r>
    <s v="Standard Class"/>
    <x v="0"/>
    <s v="United States"/>
    <s v="Chesapeake"/>
    <x v="17"/>
    <n v="23320"/>
    <x v="0"/>
    <x v="0"/>
    <x v="1"/>
    <n v="504.9"/>
    <n v="5"/>
    <n v="0"/>
    <n v="80.784000000000006"/>
  </r>
  <r>
    <s v="Standard Class"/>
    <x v="1"/>
    <s v="United States"/>
    <s v="Gresham"/>
    <x v="21"/>
    <n v="97030"/>
    <x v="1"/>
    <x v="2"/>
    <x v="7"/>
    <n v="403.16800000000001"/>
    <n v="4"/>
    <n v="0.2"/>
    <n v="25.198"/>
  </r>
  <r>
    <s v="Standard Class"/>
    <x v="1"/>
    <s v="United States"/>
    <s v="Lincoln Park"/>
    <x v="12"/>
    <n v="48146"/>
    <x v="2"/>
    <x v="0"/>
    <x v="0"/>
    <n v="194.32"/>
    <n v="4"/>
    <n v="0"/>
    <n v="31.091200000000001"/>
  </r>
  <r>
    <s v="Standard Class"/>
    <x v="1"/>
    <s v="United States"/>
    <s v="Lincoln Park"/>
    <x v="12"/>
    <n v="48146"/>
    <x v="2"/>
    <x v="1"/>
    <x v="6"/>
    <n v="25.99"/>
    <n v="1"/>
    <n v="0"/>
    <n v="7.5370999999999997"/>
  </r>
  <r>
    <s v="Standard Class"/>
    <x v="0"/>
    <s v="United States"/>
    <s v="Gresham"/>
    <x v="21"/>
    <n v="97030"/>
    <x v="1"/>
    <x v="0"/>
    <x v="1"/>
    <n v="195.136"/>
    <n v="4"/>
    <n v="0.2"/>
    <n v="-12.196"/>
  </r>
  <r>
    <s v="Standard Class"/>
    <x v="2"/>
    <s v="United States"/>
    <s v="Philadelphia"/>
    <x v="9"/>
    <n v="19143"/>
    <x v="3"/>
    <x v="1"/>
    <x v="10"/>
    <n v="20.736000000000001"/>
    <n v="4"/>
    <n v="0.2"/>
    <n v="7.2576000000000001"/>
  </r>
  <r>
    <s v="Standard Class"/>
    <x v="0"/>
    <s v="United States"/>
    <s v="Monroe"/>
    <x v="28"/>
    <n v="71203"/>
    <x v="0"/>
    <x v="2"/>
    <x v="11"/>
    <n v="53.7"/>
    <n v="6"/>
    <n v="0"/>
    <n v="10.202999999999999"/>
  </r>
  <r>
    <s v="Standard Class"/>
    <x v="0"/>
    <s v="United States"/>
    <s v="Monroe"/>
    <x v="28"/>
    <n v="71203"/>
    <x v="0"/>
    <x v="1"/>
    <x v="8"/>
    <n v="36.26"/>
    <n v="7"/>
    <n v="0"/>
    <n v="16.679600000000001"/>
  </r>
  <r>
    <s v="Standard Class"/>
    <x v="0"/>
    <s v="United States"/>
    <s v="Monroe"/>
    <x v="28"/>
    <n v="71203"/>
    <x v="0"/>
    <x v="1"/>
    <x v="6"/>
    <n v="56.3"/>
    <n v="2"/>
    <n v="0"/>
    <n v="15.763999999999999"/>
  </r>
  <r>
    <s v="Standard Class"/>
    <x v="0"/>
    <s v="United States"/>
    <s v="Monroe"/>
    <x v="28"/>
    <n v="71203"/>
    <x v="0"/>
    <x v="1"/>
    <x v="10"/>
    <n v="32.4"/>
    <n v="5"/>
    <n v="0"/>
    <n v="15.552"/>
  </r>
  <r>
    <s v="Standard Class"/>
    <x v="0"/>
    <s v="United States"/>
    <s v="Monroe"/>
    <x v="28"/>
    <n v="71203"/>
    <x v="0"/>
    <x v="0"/>
    <x v="5"/>
    <n v="29.16"/>
    <n v="2"/>
    <n v="0"/>
    <n v="10.789199999999999"/>
  </r>
  <r>
    <s v="Standard Class"/>
    <x v="1"/>
    <s v="United States"/>
    <s v="Pasadena"/>
    <x v="1"/>
    <n v="91104"/>
    <x v="1"/>
    <x v="0"/>
    <x v="3"/>
    <n v="171.28800000000001"/>
    <n v="3"/>
    <n v="0.2"/>
    <n v="-6.4233000000000002"/>
  </r>
  <r>
    <s v="Standard Class"/>
    <x v="0"/>
    <s v="United States"/>
    <s v="Chattanooga"/>
    <x v="18"/>
    <n v="37421"/>
    <x v="0"/>
    <x v="0"/>
    <x v="5"/>
    <n v="16.72"/>
    <n v="5"/>
    <n v="0.2"/>
    <n v="3.3439999999999999"/>
  </r>
  <r>
    <s v="Same Day"/>
    <x v="2"/>
    <s v="United States"/>
    <s v="Long Beach"/>
    <x v="1"/>
    <n v="90805"/>
    <x v="1"/>
    <x v="1"/>
    <x v="10"/>
    <n v="12.96"/>
    <n v="2"/>
    <n v="0"/>
    <n v="6.2207999999999997"/>
  </r>
  <r>
    <s v="Same Day"/>
    <x v="2"/>
    <s v="United States"/>
    <s v="Long Beach"/>
    <x v="1"/>
    <n v="90805"/>
    <x v="1"/>
    <x v="1"/>
    <x v="12"/>
    <n v="22.18"/>
    <n v="2"/>
    <n v="0"/>
    <n v="10.8682"/>
  </r>
  <r>
    <s v="Same Day"/>
    <x v="2"/>
    <s v="United States"/>
    <s v="Long Beach"/>
    <x v="1"/>
    <n v="90805"/>
    <x v="1"/>
    <x v="0"/>
    <x v="1"/>
    <n v="2054.2719999999999"/>
    <n v="8"/>
    <n v="0.2"/>
    <n v="256.78399999999999"/>
  </r>
  <r>
    <s v="Second Class"/>
    <x v="0"/>
    <s v="United States"/>
    <s v="Troy"/>
    <x v="24"/>
    <n v="45373"/>
    <x v="3"/>
    <x v="2"/>
    <x v="7"/>
    <n v="1022.97"/>
    <n v="5"/>
    <n v="0.4"/>
    <n v="-255.74250000000001"/>
  </r>
  <r>
    <s v="Second Class"/>
    <x v="2"/>
    <s v="United States"/>
    <s v="Minneapolis"/>
    <x v="11"/>
    <n v="55407"/>
    <x v="2"/>
    <x v="1"/>
    <x v="6"/>
    <n v="13.9"/>
    <n v="5"/>
    <n v="0"/>
    <n v="3.6139999999999999"/>
  </r>
  <r>
    <s v="Second Class"/>
    <x v="2"/>
    <s v="United States"/>
    <s v="Minneapolis"/>
    <x v="11"/>
    <n v="55407"/>
    <x v="2"/>
    <x v="1"/>
    <x v="10"/>
    <n v="26.38"/>
    <n v="1"/>
    <n v="0"/>
    <n v="12.1348"/>
  </r>
  <r>
    <s v="Standard Class"/>
    <x v="0"/>
    <s v="United States"/>
    <s v="Seattle"/>
    <x v="4"/>
    <n v="98105"/>
    <x v="1"/>
    <x v="1"/>
    <x v="8"/>
    <n v="43.176000000000002"/>
    <n v="7"/>
    <n v="0.2"/>
    <n v="13.4925"/>
  </r>
  <r>
    <s v="First Class"/>
    <x v="2"/>
    <s v="United States"/>
    <s v="Columbus"/>
    <x v="32"/>
    <n v="31907"/>
    <x v="0"/>
    <x v="0"/>
    <x v="3"/>
    <n v="411.8"/>
    <n v="2"/>
    <n v="0"/>
    <n v="70.006"/>
  </r>
  <r>
    <s v="First Class"/>
    <x v="2"/>
    <s v="United States"/>
    <s v="Columbus"/>
    <x v="32"/>
    <n v="31907"/>
    <x v="0"/>
    <x v="2"/>
    <x v="11"/>
    <n v="360"/>
    <n v="4"/>
    <n v="0"/>
    <n v="129.6"/>
  </r>
  <r>
    <s v="Standard Class"/>
    <x v="2"/>
    <s v="United States"/>
    <s v="Meridian"/>
    <x v="45"/>
    <n v="83642"/>
    <x v="1"/>
    <x v="0"/>
    <x v="5"/>
    <n v="41.96"/>
    <n v="2"/>
    <n v="0"/>
    <n v="2.9371999999999998"/>
  </r>
  <r>
    <s v="Standard Class"/>
    <x v="2"/>
    <s v="United States"/>
    <s v="Meridian"/>
    <x v="45"/>
    <n v="83642"/>
    <x v="1"/>
    <x v="1"/>
    <x v="9"/>
    <n v="227.84"/>
    <n v="4"/>
    <n v="0"/>
    <n v="66.073599999999999"/>
  </r>
  <r>
    <s v="Standard Class"/>
    <x v="2"/>
    <s v="United States"/>
    <s v="Meridian"/>
    <x v="45"/>
    <n v="83642"/>
    <x v="1"/>
    <x v="1"/>
    <x v="10"/>
    <n v="37.94"/>
    <n v="2"/>
    <n v="0"/>
    <n v="18.211200000000002"/>
  </r>
  <r>
    <s v="Second Class"/>
    <x v="2"/>
    <s v="United States"/>
    <s v="Detroit"/>
    <x v="12"/>
    <n v="48227"/>
    <x v="2"/>
    <x v="2"/>
    <x v="7"/>
    <n v="517.9"/>
    <n v="2"/>
    <n v="0"/>
    <n v="134.654"/>
  </r>
  <r>
    <s v="Second Class"/>
    <x v="2"/>
    <s v="United States"/>
    <s v="Detroit"/>
    <x v="12"/>
    <n v="48227"/>
    <x v="2"/>
    <x v="1"/>
    <x v="8"/>
    <n v="5.28"/>
    <n v="2"/>
    <n v="0"/>
    <n v="2.4287999999999998"/>
  </r>
  <r>
    <s v="Standard Class"/>
    <x v="1"/>
    <s v="United States"/>
    <s v="Chicago"/>
    <x v="10"/>
    <n v="60623"/>
    <x v="2"/>
    <x v="2"/>
    <x v="16"/>
    <n v="2799.96"/>
    <n v="5"/>
    <n v="0.2"/>
    <n v="874.98749999999995"/>
  </r>
  <r>
    <s v="Second Class"/>
    <x v="1"/>
    <s v="United States"/>
    <s v="San Francisco"/>
    <x v="1"/>
    <n v="94110"/>
    <x v="1"/>
    <x v="1"/>
    <x v="12"/>
    <n v="8.9600000000000009"/>
    <n v="2"/>
    <n v="0"/>
    <n v="4.3007999999999997"/>
  </r>
  <r>
    <s v="Second Class"/>
    <x v="1"/>
    <s v="United States"/>
    <s v="San Francisco"/>
    <x v="1"/>
    <n v="94110"/>
    <x v="1"/>
    <x v="1"/>
    <x v="2"/>
    <n v="31.5"/>
    <n v="10"/>
    <n v="0"/>
    <n v="15.12"/>
  </r>
  <r>
    <s v="Second Class"/>
    <x v="1"/>
    <s v="United States"/>
    <s v="San Francisco"/>
    <x v="1"/>
    <n v="94110"/>
    <x v="1"/>
    <x v="0"/>
    <x v="5"/>
    <n v="30.56"/>
    <n v="2"/>
    <n v="0"/>
    <n v="10.3904"/>
  </r>
  <r>
    <s v="Second Class"/>
    <x v="1"/>
    <s v="United States"/>
    <s v="San Francisco"/>
    <x v="1"/>
    <n v="94110"/>
    <x v="1"/>
    <x v="0"/>
    <x v="3"/>
    <n v="24.367999999999999"/>
    <n v="2"/>
    <n v="0.2"/>
    <n v="-3.3506"/>
  </r>
  <r>
    <s v="Standard Class"/>
    <x v="1"/>
    <s v="United States"/>
    <s v="Newark"/>
    <x v="24"/>
    <n v="43055"/>
    <x v="3"/>
    <x v="2"/>
    <x v="11"/>
    <n v="119.976"/>
    <n v="3"/>
    <n v="0.2"/>
    <n v="22.4955"/>
  </r>
  <r>
    <s v="Standard Class"/>
    <x v="0"/>
    <s v="United States"/>
    <s v="Dallas"/>
    <x v="5"/>
    <n v="75081"/>
    <x v="2"/>
    <x v="1"/>
    <x v="10"/>
    <n v="26.88"/>
    <n v="8"/>
    <n v="0.2"/>
    <n v="9.7439999999999998"/>
  </r>
  <r>
    <s v="First Class"/>
    <x v="1"/>
    <s v="United States"/>
    <s v="Newark"/>
    <x v="13"/>
    <n v="19711"/>
    <x v="3"/>
    <x v="2"/>
    <x v="7"/>
    <n v="83.97"/>
    <n v="3"/>
    <n v="0"/>
    <n v="23.511600000000001"/>
  </r>
  <r>
    <s v="First Class"/>
    <x v="1"/>
    <s v="United States"/>
    <s v="Newark"/>
    <x v="13"/>
    <n v="19711"/>
    <x v="3"/>
    <x v="2"/>
    <x v="11"/>
    <n v="104.97"/>
    <n v="3"/>
    <n v="0"/>
    <n v="7.3479000000000001"/>
  </r>
  <r>
    <s v="Second Class"/>
    <x v="2"/>
    <s v="United States"/>
    <s v="Albuquerque"/>
    <x v="27"/>
    <n v="87105"/>
    <x v="1"/>
    <x v="1"/>
    <x v="4"/>
    <n v="90.8"/>
    <n v="8"/>
    <n v="0"/>
    <n v="25.423999999999999"/>
  </r>
  <r>
    <s v="Second Class"/>
    <x v="2"/>
    <s v="United States"/>
    <s v="Albuquerque"/>
    <x v="27"/>
    <n v="87105"/>
    <x v="1"/>
    <x v="2"/>
    <x v="7"/>
    <n v="140.73599999999999"/>
    <n v="8"/>
    <n v="0.2"/>
    <n v="49.257599999999996"/>
  </r>
  <r>
    <s v="Second Class"/>
    <x v="2"/>
    <s v="United States"/>
    <s v="Albuquerque"/>
    <x v="27"/>
    <n v="87105"/>
    <x v="1"/>
    <x v="2"/>
    <x v="11"/>
    <n v="214.95"/>
    <n v="5"/>
    <n v="0"/>
    <n v="88.129499999999993"/>
  </r>
  <r>
    <s v="Second Class"/>
    <x v="2"/>
    <s v="United States"/>
    <s v="Albuquerque"/>
    <x v="27"/>
    <n v="87105"/>
    <x v="1"/>
    <x v="1"/>
    <x v="10"/>
    <n v="45.36"/>
    <n v="7"/>
    <n v="0"/>
    <n v="21.7728"/>
  </r>
  <r>
    <s v="Second Class"/>
    <x v="2"/>
    <s v="United States"/>
    <s v="Albuquerque"/>
    <x v="27"/>
    <n v="87105"/>
    <x v="1"/>
    <x v="1"/>
    <x v="10"/>
    <n v="288.24"/>
    <n v="6"/>
    <n v="0"/>
    <n v="138.3552"/>
  </r>
  <r>
    <s v="Same Day"/>
    <x v="2"/>
    <s v="United States"/>
    <s v="Toledo"/>
    <x v="24"/>
    <n v="43615"/>
    <x v="3"/>
    <x v="1"/>
    <x v="9"/>
    <n v="663.93600000000004"/>
    <n v="4"/>
    <n v="0.2"/>
    <n v="82.992000000000004"/>
  </r>
  <r>
    <s v="Standard Class"/>
    <x v="1"/>
    <s v="United States"/>
    <s v="Newark"/>
    <x v="13"/>
    <n v="19711"/>
    <x v="3"/>
    <x v="1"/>
    <x v="4"/>
    <n v="2934.33"/>
    <n v="7"/>
    <n v="0"/>
    <n v="792.26909999999998"/>
  </r>
  <r>
    <s v="Standard Class"/>
    <x v="1"/>
    <s v="United States"/>
    <s v="Newark"/>
    <x v="13"/>
    <n v="19711"/>
    <x v="3"/>
    <x v="0"/>
    <x v="5"/>
    <n v="124.41"/>
    <n v="3"/>
    <n v="0"/>
    <n v="14.9292"/>
  </r>
  <r>
    <s v="Standard Class"/>
    <x v="1"/>
    <s v="United States"/>
    <s v="Newark"/>
    <x v="13"/>
    <n v="19711"/>
    <x v="3"/>
    <x v="1"/>
    <x v="6"/>
    <n v="57.75"/>
    <n v="5"/>
    <n v="0"/>
    <n v="26.565000000000001"/>
  </r>
  <r>
    <s v="First Class"/>
    <x v="0"/>
    <s v="United States"/>
    <s v="Los Angeles"/>
    <x v="1"/>
    <n v="90045"/>
    <x v="1"/>
    <x v="1"/>
    <x v="4"/>
    <n v="114.46"/>
    <n v="2"/>
    <n v="0"/>
    <n v="28.614999999999998"/>
  </r>
  <r>
    <s v="Standard Class"/>
    <x v="0"/>
    <s v="United States"/>
    <s v="Los Angeles"/>
    <x v="1"/>
    <n v="90032"/>
    <x v="1"/>
    <x v="0"/>
    <x v="0"/>
    <n v="120.666"/>
    <n v="2"/>
    <n v="0.15"/>
    <n v="18.454799999999999"/>
  </r>
  <r>
    <s v="Standard Class"/>
    <x v="2"/>
    <s v="United States"/>
    <s v="Dallas"/>
    <x v="5"/>
    <n v="75217"/>
    <x v="2"/>
    <x v="1"/>
    <x v="4"/>
    <n v="342.86399999999998"/>
    <n v="3"/>
    <n v="0.2"/>
    <n v="38.572200000000002"/>
  </r>
  <r>
    <s v="Standard Class"/>
    <x v="2"/>
    <s v="United States"/>
    <s v="Dallas"/>
    <x v="5"/>
    <n v="75217"/>
    <x v="2"/>
    <x v="0"/>
    <x v="5"/>
    <n v="16.739999999999998"/>
    <n v="5"/>
    <n v="0.6"/>
    <n v="-14.228999999999999"/>
  </r>
  <r>
    <s v="Standard Class"/>
    <x v="2"/>
    <s v="United States"/>
    <s v="Dallas"/>
    <x v="5"/>
    <n v="75217"/>
    <x v="2"/>
    <x v="0"/>
    <x v="1"/>
    <n v="981.37199999999996"/>
    <n v="2"/>
    <n v="0.3"/>
    <n v="-140.196"/>
  </r>
  <r>
    <s v="Standard Class"/>
    <x v="2"/>
    <s v="United States"/>
    <s v="San Diego"/>
    <x v="1"/>
    <n v="92037"/>
    <x v="1"/>
    <x v="1"/>
    <x v="6"/>
    <n v="31.84"/>
    <n v="8"/>
    <n v="0"/>
    <n v="10.507199999999999"/>
  </r>
  <r>
    <s v="First Class"/>
    <x v="2"/>
    <s v="United States"/>
    <s v="Apple Valley"/>
    <x v="1"/>
    <n v="92307"/>
    <x v="1"/>
    <x v="1"/>
    <x v="10"/>
    <n v="12.96"/>
    <n v="2"/>
    <n v="0"/>
    <n v="6.2207999999999997"/>
  </r>
  <r>
    <s v="First Class"/>
    <x v="2"/>
    <s v="United States"/>
    <s v="Apple Valley"/>
    <x v="1"/>
    <n v="92307"/>
    <x v="1"/>
    <x v="2"/>
    <x v="7"/>
    <n v="43.176000000000002"/>
    <n v="3"/>
    <n v="0.2"/>
    <n v="15.111599999999999"/>
  </r>
  <r>
    <s v="Standard Class"/>
    <x v="2"/>
    <s v="United States"/>
    <s v="Louisville"/>
    <x v="0"/>
    <n v="40214"/>
    <x v="0"/>
    <x v="1"/>
    <x v="8"/>
    <n v="58.34"/>
    <n v="2"/>
    <n v="0"/>
    <n v="28.0032"/>
  </r>
  <r>
    <s v="Standard Class"/>
    <x v="2"/>
    <s v="United States"/>
    <s v="Louisville"/>
    <x v="0"/>
    <n v="40214"/>
    <x v="0"/>
    <x v="2"/>
    <x v="7"/>
    <n v="539.97"/>
    <n v="3"/>
    <n v="0"/>
    <n v="134.99250000000001"/>
  </r>
  <r>
    <s v="Standard Class"/>
    <x v="0"/>
    <s v="United States"/>
    <s v="New York City"/>
    <x v="15"/>
    <n v="10024"/>
    <x v="3"/>
    <x v="1"/>
    <x v="8"/>
    <n v="3.9279999999999999"/>
    <n v="1"/>
    <n v="0.2"/>
    <n v="1.3257000000000001"/>
  </r>
  <r>
    <s v="Standard Class"/>
    <x v="0"/>
    <s v="United States"/>
    <s v="Houston"/>
    <x v="5"/>
    <n v="77070"/>
    <x v="2"/>
    <x v="1"/>
    <x v="8"/>
    <n v="252.78399999999999"/>
    <n v="4"/>
    <n v="0.8"/>
    <n v="-417.09359999999998"/>
  </r>
  <r>
    <s v="Standard Class"/>
    <x v="0"/>
    <s v="United States"/>
    <s v="Houston"/>
    <x v="5"/>
    <n v="77070"/>
    <x v="2"/>
    <x v="2"/>
    <x v="11"/>
    <n v="127.98399999999999"/>
    <n v="2"/>
    <n v="0.2"/>
    <n v="15.997999999999999"/>
  </r>
  <r>
    <s v="Standard Class"/>
    <x v="0"/>
    <s v="United States"/>
    <s v="Houston"/>
    <x v="5"/>
    <n v="77070"/>
    <x v="2"/>
    <x v="0"/>
    <x v="5"/>
    <n v="3.984"/>
    <n v="2"/>
    <n v="0.6"/>
    <n v="-2.6892"/>
  </r>
  <r>
    <s v="Standard Class"/>
    <x v="0"/>
    <s v="United States"/>
    <s v="Houston"/>
    <x v="5"/>
    <n v="77070"/>
    <x v="2"/>
    <x v="1"/>
    <x v="9"/>
    <n v="12.992000000000001"/>
    <n v="2"/>
    <n v="0.8"/>
    <n v="-32.479999999999997"/>
  </r>
  <r>
    <s v="Second Class"/>
    <x v="2"/>
    <s v="United States"/>
    <s v="Henderson"/>
    <x v="0"/>
    <n v="42420"/>
    <x v="0"/>
    <x v="0"/>
    <x v="5"/>
    <n v="61"/>
    <n v="5"/>
    <n v="0"/>
    <n v="25.62"/>
  </r>
  <r>
    <s v="Second Class"/>
    <x v="2"/>
    <s v="United States"/>
    <s v="Henderson"/>
    <x v="0"/>
    <n v="42420"/>
    <x v="0"/>
    <x v="2"/>
    <x v="7"/>
    <n v="671.93"/>
    <n v="7"/>
    <n v="0"/>
    <n v="188.1404"/>
  </r>
  <r>
    <s v="Standard Class"/>
    <x v="0"/>
    <s v="United States"/>
    <s v="Newark"/>
    <x v="13"/>
    <n v="19711"/>
    <x v="3"/>
    <x v="1"/>
    <x v="8"/>
    <n v="447.86"/>
    <n v="7"/>
    <n v="0"/>
    <n v="219.45140000000001"/>
  </r>
  <r>
    <s v="Standard Class"/>
    <x v="0"/>
    <s v="United States"/>
    <s v="Newark"/>
    <x v="13"/>
    <n v="19711"/>
    <x v="3"/>
    <x v="2"/>
    <x v="7"/>
    <n v="479.95"/>
    <n v="5"/>
    <n v="0"/>
    <n v="129.5865"/>
  </r>
  <r>
    <s v="Standard Class"/>
    <x v="0"/>
    <s v="United States"/>
    <s v="Newark"/>
    <x v="13"/>
    <n v="19711"/>
    <x v="3"/>
    <x v="1"/>
    <x v="10"/>
    <n v="166.44"/>
    <n v="3"/>
    <n v="0"/>
    <n v="79.891199999999998"/>
  </r>
  <r>
    <s v="Same Day"/>
    <x v="0"/>
    <s v="United States"/>
    <s v="Bolingbrook"/>
    <x v="10"/>
    <n v="60440"/>
    <x v="2"/>
    <x v="1"/>
    <x v="14"/>
    <n v="31.68"/>
    <n v="4"/>
    <n v="0.2"/>
    <n v="2.7719999999999998"/>
  </r>
  <r>
    <s v="Same Day"/>
    <x v="0"/>
    <s v="United States"/>
    <s v="Bolingbrook"/>
    <x v="10"/>
    <n v="60440"/>
    <x v="2"/>
    <x v="1"/>
    <x v="10"/>
    <n v="10.368"/>
    <n v="2"/>
    <n v="0.2"/>
    <n v="3.6288"/>
  </r>
  <r>
    <s v="Same Day"/>
    <x v="0"/>
    <s v="United States"/>
    <s v="Bolingbrook"/>
    <x v="10"/>
    <n v="60440"/>
    <x v="2"/>
    <x v="1"/>
    <x v="13"/>
    <n v="12.032"/>
    <n v="8"/>
    <n v="0.2"/>
    <n v="2.2559999999999998"/>
  </r>
  <r>
    <s v="Same Day"/>
    <x v="0"/>
    <s v="United States"/>
    <s v="Bolingbrook"/>
    <x v="10"/>
    <n v="60440"/>
    <x v="2"/>
    <x v="1"/>
    <x v="9"/>
    <n v="5.7679999999999998"/>
    <n v="2"/>
    <n v="0.8"/>
    <n v="-13.5548"/>
  </r>
  <r>
    <s v="Standard Class"/>
    <x v="1"/>
    <s v="United States"/>
    <s v="Fort Worth"/>
    <x v="5"/>
    <n v="76106"/>
    <x v="2"/>
    <x v="1"/>
    <x v="2"/>
    <n v="33.119999999999997"/>
    <n v="4"/>
    <n v="0.2"/>
    <n v="11.592000000000001"/>
  </r>
  <r>
    <s v="Standard Class"/>
    <x v="1"/>
    <s v="United States"/>
    <s v="Fort Worth"/>
    <x v="5"/>
    <n v="76106"/>
    <x v="2"/>
    <x v="0"/>
    <x v="0"/>
    <n v="220.26560000000001"/>
    <n v="4"/>
    <n v="0.32"/>
    <n v="-42.1096"/>
  </r>
  <r>
    <s v="Standard Class"/>
    <x v="0"/>
    <s v="United States"/>
    <s v="New York City"/>
    <x v="15"/>
    <n v="10024"/>
    <x v="3"/>
    <x v="1"/>
    <x v="8"/>
    <n v="10.776"/>
    <n v="3"/>
    <n v="0.2"/>
    <n v="3.5022000000000002"/>
  </r>
  <r>
    <s v="Standard Class"/>
    <x v="0"/>
    <s v="United States"/>
    <s v="New York City"/>
    <x v="15"/>
    <n v="10024"/>
    <x v="3"/>
    <x v="0"/>
    <x v="0"/>
    <n v="242.352"/>
    <n v="3"/>
    <n v="0.2"/>
    <n v="9.0882000000000005"/>
  </r>
  <r>
    <s v="Second Class"/>
    <x v="1"/>
    <s v="United States"/>
    <s v="Providence"/>
    <x v="34"/>
    <n v="2908"/>
    <x v="3"/>
    <x v="1"/>
    <x v="14"/>
    <n v="695.16"/>
    <n v="6"/>
    <n v="0"/>
    <n v="34.758000000000003"/>
  </r>
  <r>
    <s v="Second Class"/>
    <x v="1"/>
    <s v="United States"/>
    <s v="Providence"/>
    <x v="34"/>
    <n v="2908"/>
    <x v="3"/>
    <x v="0"/>
    <x v="0"/>
    <n v="220.98"/>
    <n v="1"/>
    <n v="0"/>
    <n v="50.825400000000002"/>
  </r>
  <r>
    <s v="Standard Class"/>
    <x v="2"/>
    <s v="United States"/>
    <s v="Columbus"/>
    <x v="24"/>
    <n v="43229"/>
    <x v="3"/>
    <x v="1"/>
    <x v="8"/>
    <n v="12.957000000000001"/>
    <n v="7"/>
    <n v="0.7"/>
    <n v="-9.5017999999999994"/>
  </r>
  <r>
    <s v="Standard Class"/>
    <x v="0"/>
    <s v="United States"/>
    <s v="New York City"/>
    <x v="15"/>
    <n v="10024"/>
    <x v="3"/>
    <x v="1"/>
    <x v="10"/>
    <n v="25.68"/>
    <n v="6"/>
    <n v="0"/>
    <n v="11.555999999999999"/>
  </r>
  <r>
    <s v="Standard Class"/>
    <x v="1"/>
    <s v="United States"/>
    <s v="Houston"/>
    <x v="5"/>
    <n v="77070"/>
    <x v="2"/>
    <x v="1"/>
    <x v="2"/>
    <n v="15.712"/>
    <n v="4"/>
    <n v="0.2"/>
    <n v="5.6955999999999998"/>
  </r>
  <r>
    <s v="Standard Class"/>
    <x v="2"/>
    <s v="United States"/>
    <s v="Aurora"/>
    <x v="10"/>
    <n v="60505"/>
    <x v="2"/>
    <x v="1"/>
    <x v="4"/>
    <n v="298.464"/>
    <n v="6"/>
    <n v="0.2"/>
    <n v="26.115600000000001"/>
  </r>
  <r>
    <s v="Standard Class"/>
    <x v="0"/>
    <s v="United States"/>
    <s v="Springfield"/>
    <x v="25"/>
    <n v="65807"/>
    <x v="2"/>
    <x v="1"/>
    <x v="10"/>
    <n v="21.93"/>
    <n v="3"/>
    <n v="0"/>
    <n v="10.0878"/>
  </r>
  <r>
    <s v="Standard Class"/>
    <x v="0"/>
    <s v="United States"/>
    <s v="Springfield"/>
    <x v="25"/>
    <n v="65807"/>
    <x v="2"/>
    <x v="1"/>
    <x v="4"/>
    <n v="242.94"/>
    <n v="3"/>
    <n v="0"/>
    <n v="4.8587999999999996"/>
  </r>
  <r>
    <s v="Standard Class"/>
    <x v="0"/>
    <s v="United States"/>
    <s v="Springfield"/>
    <x v="25"/>
    <n v="65807"/>
    <x v="2"/>
    <x v="1"/>
    <x v="10"/>
    <n v="7.64"/>
    <n v="1"/>
    <n v="0"/>
    <n v="3.7435999999999998"/>
  </r>
  <r>
    <s v="Standard Class"/>
    <x v="0"/>
    <s v="United States"/>
    <s v="Springfield"/>
    <x v="25"/>
    <n v="65807"/>
    <x v="2"/>
    <x v="1"/>
    <x v="10"/>
    <n v="51.84"/>
    <n v="8"/>
    <n v="0"/>
    <n v="25.401599999999998"/>
  </r>
  <r>
    <s v="Standard Class"/>
    <x v="0"/>
    <s v="United States"/>
    <s v="Springfield"/>
    <x v="25"/>
    <n v="65807"/>
    <x v="2"/>
    <x v="1"/>
    <x v="4"/>
    <n v="265.17"/>
    <n v="1"/>
    <n v="0"/>
    <n v="47.730600000000003"/>
  </r>
  <r>
    <s v="Standard Class"/>
    <x v="0"/>
    <s v="United States"/>
    <s v="Seattle"/>
    <x v="4"/>
    <n v="98105"/>
    <x v="1"/>
    <x v="2"/>
    <x v="15"/>
    <n v="837.6"/>
    <n v="3"/>
    <n v="0.2"/>
    <n v="62.82"/>
  </r>
  <r>
    <s v="Standard Class"/>
    <x v="0"/>
    <s v="United States"/>
    <s v="Seattle"/>
    <x v="4"/>
    <n v="98105"/>
    <x v="1"/>
    <x v="1"/>
    <x v="12"/>
    <n v="135.9"/>
    <n v="5"/>
    <n v="0"/>
    <n v="63.872999999999998"/>
  </r>
  <r>
    <s v="Standard Class"/>
    <x v="0"/>
    <s v="United States"/>
    <s v="Seattle"/>
    <x v="4"/>
    <n v="98105"/>
    <x v="1"/>
    <x v="1"/>
    <x v="10"/>
    <n v="34.68"/>
    <n v="6"/>
    <n v="0"/>
    <n v="16.993200000000002"/>
  </r>
  <r>
    <s v="Standard Class"/>
    <x v="0"/>
    <s v="United States"/>
    <s v="Seattle"/>
    <x v="4"/>
    <n v="98105"/>
    <x v="1"/>
    <x v="0"/>
    <x v="1"/>
    <n v="532.70399999999995"/>
    <n v="6"/>
    <n v="0.2"/>
    <n v="-39.952800000000003"/>
  </r>
  <r>
    <s v="Standard Class"/>
    <x v="0"/>
    <s v="United States"/>
    <s v="Seattle"/>
    <x v="4"/>
    <n v="98105"/>
    <x v="1"/>
    <x v="1"/>
    <x v="9"/>
    <n v="43.1"/>
    <n v="5"/>
    <n v="0"/>
    <n v="11.206"/>
  </r>
  <r>
    <s v="Standard Class"/>
    <x v="0"/>
    <s v="United States"/>
    <s v="Seattle"/>
    <x v="4"/>
    <n v="98105"/>
    <x v="1"/>
    <x v="1"/>
    <x v="14"/>
    <n v="15.88"/>
    <n v="4"/>
    <n v="0"/>
    <n v="0.1588"/>
  </r>
  <r>
    <s v="First Class"/>
    <x v="1"/>
    <s v="United States"/>
    <s v="Lakeland"/>
    <x v="2"/>
    <n v="33801"/>
    <x v="0"/>
    <x v="0"/>
    <x v="1"/>
    <n v="1123.92"/>
    <n v="5"/>
    <n v="0.2"/>
    <n v="-182.637"/>
  </r>
  <r>
    <s v="First Class"/>
    <x v="1"/>
    <s v="United States"/>
    <s v="Lakeland"/>
    <x v="2"/>
    <n v="33801"/>
    <x v="0"/>
    <x v="2"/>
    <x v="7"/>
    <n v="249.584"/>
    <n v="2"/>
    <n v="0.2"/>
    <n v="31.198"/>
  </r>
  <r>
    <s v="First Class"/>
    <x v="1"/>
    <s v="United States"/>
    <s v="Lakeland"/>
    <x v="2"/>
    <n v="33801"/>
    <x v="0"/>
    <x v="0"/>
    <x v="5"/>
    <n v="48.671999999999997"/>
    <n v="3"/>
    <n v="0.2"/>
    <n v="7.3007999999999997"/>
  </r>
  <r>
    <s v="First Class"/>
    <x v="1"/>
    <s v="United States"/>
    <s v="Lakeland"/>
    <x v="2"/>
    <n v="33801"/>
    <x v="0"/>
    <x v="1"/>
    <x v="6"/>
    <n v="60.768000000000001"/>
    <n v="2"/>
    <n v="0.2"/>
    <n v="7.5960000000000001"/>
  </r>
  <r>
    <s v="First Class"/>
    <x v="1"/>
    <s v="United States"/>
    <s v="Lakeland"/>
    <x v="2"/>
    <n v="33801"/>
    <x v="0"/>
    <x v="1"/>
    <x v="8"/>
    <n v="78.599999999999994"/>
    <n v="5"/>
    <n v="0.7"/>
    <n v="-62.88"/>
  </r>
  <r>
    <s v="First Class"/>
    <x v="1"/>
    <s v="United States"/>
    <s v="Lakeland"/>
    <x v="2"/>
    <n v="33801"/>
    <x v="0"/>
    <x v="1"/>
    <x v="8"/>
    <n v="3.7679999999999998"/>
    <n v="2"/>
    <n v="0.7"/>
    <n v="-3.14"/>
  </r>
  <r>
    <s v="First Class"/>
    <x v="1"/>
    <s v="United States"/>
    <s v="Lakeland"/>
    <x v="2"/>
    <n v="33801"/>
    <x v="0"/>
    <x v="1"/>
    <x v="4"/>
    <n v="1036.624"/>
    <n v="2"/>
    <n v="0.2"/>
    <n v="51.831200000000003"/>
  </r>
  <r>
    <s v="First Class"/>
    <x v="1"/>
    <s v="United States"/>
    <s v="Lakeland"/>
    <x v="2"/>
    <n v="33801"/>
    <x v="0"/>
    <x v="1"/>
    <x v="4"/>
    <n v="563.80799999999999"/>
    <n v="4"/>
    <n v="0.2"/>
    <n v="21.142800000000001"/>
  </r>
  <r>
    <s v="Standard Class"/>
    <x v="0"/>
    <s v="United States"/>
    <s v="Philadelphia"/>
    <x v="9"/>
    <n v="19134"/>
    <x v="3"/>
    <x v="2"/>
    <x v="7"/>
    <n v="258.52800000000002"/>
    <n v="2"/>
    <n v="0.4"/>
    <n v="-47.396799999999999"/>
  </r>
  <r>
    <s v="Standard Class"/>
    <x v="0"/>
    <s v="United States"/>
    <s v="New York City"/>
    <x v="15"/>
    <n v="10011"/>
    <x v="3"/>
    <x v="1"/>
    <x v="10"/>
    <n v="49.12"/>
    <n v="4"/>
    <n v="0"/>
    <n v="23.086400000000001"/>
  </r>
  <r>
    <s v="First Class"/>
    <x v="2"/>
    <s v="United States"/>
    <s v="Los Angeles"/>
    <x v="1"/>
    <n v="90049"/>
    <x v="1"/>
    <x v="0"/>
    <x v="5"/>
    <n v="44.46"/>
    <n v="2"/>
    <n v="0"/>
    <n v="14.671799999999999"/>
  </r>
  <r>
    <s v="First Class"/>
    <x v="2"/>
    <s v="United States"/>
    <s v="Los Angeles"/>
    <x v="1"/>
    <n v="90049"/>
    <x v="1"/>
    <x v="0"/>
    <x v="1"/>
    <n v="241.56800000000001"/>
    <n v="2"/>
    <n v="0.2"/>
    <n v="18.117599999999999"/>
  </r>
  <r>
    <s v="First Class"/>
    <x v="2"/>
    <s v="United States"/>
    <s v="Los Angeles"/>
    <x v="1"/>
    <n v="90049"/>
    <x v="1"/>
    <x v="2"/>
    <x v="11"/>
    <n v="395"/>
    <n v="5"/>
    <n v="0"/>
    <n v="39.5"/>
  </r>
  <r>
    <s v="First Class"/>
    <x v="2"/>
    <s v="United States"/>
    <s v="Los Angeles"/>
    <x v="1"/>
    <n v="90049"/>
    <x v="1"/>
    <x v="2"/>
    <x v="7"/>
    <n v="627.16800000000001"/>
    <n v="4"/>
    <n v="0.2"/>
    <n v="70.556399999999996"/>
  </r>
  <r>
    <s v="First Class"/>
    <x v="1"/>
    <s v="United States"/>
    <s v="Oceanside"/>
    <x v="15"/>
    <n v="11572"/>
    <x v="3"/>
    <x v="0"/>
    <x v="5"/>
    <n v="13.28"/>
    <n v="2"/>
    <n v="0"/>
    <n v="6.3743999999999996"/>
  </r>
  <r>
    <s v="First Class"/>
    <x v="1"/>
    <s v="United States"/>
    <s v="Oceanside"/>
    <x v="15"/>
    <n v="11572"/>
    <x v="3"/>
    <x v="1"/>
    <x v="8"/>
    <n v="12.672000000000001"/>
    <n v="3"/>
    <n v="0.2"/>
    <n v="4.4352"/>
  </r>
  <r>
    <s v="Standard Class"/>
    <x v="2"/>
    <s v="United States"/>
    <s v="Dallas"/>
    <x v="5"/>
    <n v="75081"/>
    <x v="2"/>
    <x v="1"/>
    <x v="8"/>
    <n v="30.56"/>
    <n v="5"/>
    <n v="0.8"/>
    <n v="-45.84"/>
  </r>
  <r>
    <s v="Standard Class"/>
    <x v="2"/>
    <s v="United States"/>
    <s v="Dallas"/>
    <x v="5"/>
    <n v="75081"/>
    <x v="2"/>
    <x v="1"/>
    <x v="4"/>
    <n v="77.951999999999998"/>
    <n v="3"/>
    <n v="0.2"/>
    <n v="-15.590400000000001"/>
  </r>
  <r>
    <s v="Standard Class"/>
    <x v="2"/>
    <s v="United States"/>
    <s v="Dallas"/>
    <x v="5"/>
    <n v="75081"/>
    <x v="2"/>
    <x v="2"/>
    <x v="7"/>
    <n v="67.992000000000004"/>
    <n v="1"/>
    <n v="0.2"/>
    <n v="8.4990000000000006"/>
  </r>
  <r>
    <s v="Standard Class"/>
    <x v="2"/>
    <s v="United States"/>
    <s v="Dallas"/>
    <x v="5"/>
    <n v="75081"/>
    <x v="2"/>
    <x v="1"/>
    <x v="12"/>
    <n v="12.224"/>
    <n v="2"/>
    <n v="0.2"/>
    <n v="4.4311999999999996"/>
  </r>
  <r>
    <s v="Standard Class"/>
    <x v="2"/>
    <s v="United States"/>
    <s v="Dallas"/>
    <x v="5"/>
    <n v="75081"/>
    <x v="2"/>
    <x v="2"/>
    <x v="11"/>
    <n v="44.783999999999999"/>
    <n v="2"/>
    <n v="0.2"/>
    <n v="-0.55979999999999996"/>
  </r>
  <r>
    <s v="Standard Class"/>
    <x v="2"/>
    <s v="United States"/>
    <s v="Dallas"/>
    <x v="5"/>
    <n v="75081"/>
    <x v="2"/>
    <x v="0"/>
    <x v="5"/>
    <n v="22.847999999999999"/>
    <n v="3"/>
    <n v="0.6"/>
    <n v="-17.7072"/>
  </r>
  <r>
    <s v="First Class"/>
    <x v="0"/>
    <s v="United States"/>
    <s v="New York City"/>
    <x v="15"/>
    <n v="10035"/>
    <x v="3"/>
    <x v="1"/>
    <x v="9"/>
    <n v="206.43"/>
    <n v="3"/>
    <n v="0"/>
    <n v="90.8292"/>
  </r>
  <r>
    <s v="Same Day"/>
    <x v="1"/>
    <s v="United States"/>
    <s v="San Antonio"/>
    <x v="5"/>
    <n v="78207"/>
    <x v="2"/>
    <x v="1"/>
    <x v="8"/>
    <n v="210.392"/>
    <n v="2"/>
    <n v="0.8"/>
    <n v="-336.62720000000002"/>
  </r>
  <r>
    <s v="Second Class"/>
    <x v="0"/>
    <s v="United States"/>
    <s v="Cincinnati"/>
    <x v="24"/>
    <n v="45231"/>
    <x v="3"/>
    <x v="2"/>
    <x v="11"/>
    <n v="119.96"/>
    <n v="5"/>
    <n v="0.2"/>
    <n v="35.988"/>
  </r>
  <r>
    <s v="Second Class"/>
    <x v="0"/>
    <s v="United States"/>
    <s v="Cincinnati"/>
    <x v="24"/>
    <n v="45231"/>
    <x v="3"/>
    <x v="1"/>
    <x v="6"/>
    <n v="10.608000000000001"/>
    <n v="6"/>
    <n v="0.2"/>
    <n v="0.92820000000000003"/>
  </r>
  <r>
    <s v="Standard Class"/>
    <x v="1"/>
    <s v="United States"/>
    <s v="Austin"/>
    <x v="5"/>
    <n v="78745"/>
    <x v="2"/>
    <x v="0"/>
    <x v="1"/>
    <n v="347.80200000000002"/>
    <n v="7"/>
    <n v="0.3"/>
    <n v="-24.843"/>
  </r>
  <r>
    <s v="Second Class"/>
    <x v="1"/>
    <s v="United States"/>
    <s v="Seattle"/>
    <x v="4"/>
    <n v="98105"/>
    <x v="1"/>
    <x v="0"/>
    <x v="1"/>
    <n v="963.13599999999997"/>
    <n v="4"/>
    <n v="0.2"/>
    <n v="108.3528"/>
  </r>
  <r>
    <s v="Second Class"/>
    <x v="1"/>
    <s v="United States"/>
    <s v="Seattle"/>
    <x v="4"/>
    <n v="98105"/>
    <x v="1"/>
    <x v="2"/>
    <x v="7"/>
    <n v="88.775999999999996"/>
    <n v="3"/>
    <n v="0.2"/>
    <n v="7.7679"/>
  </r>
  <r>
    <s v="Second Class"/>
    <x v="1"/>
    <s v="United States"/>
    <s v="Los Angeles"/>
    <x v="1"/>
    <n v="90004"/>
    <x v="1"/>
    <x v="1"/>
    <x v="6"/>
    <n v="32.4"/>
    <n v="5"/>
    <n v="0"/>
    <n v="10.368"/>
  </r>
  <r>
    <s v="First Class"/>
    <x v="2"/>
    <s v="United States"/>
    <s v="New York City"/>
    <x v="15"/>
    <n v="10035"/>
    <x v="3"/>
    <x v="1"/>
    <x v="10"/>
    <n v="32.4"/>
    <n v="5"/>
    <n v="0"/>
    <n v="15.552"/>
  </r>
  <r>
    <s v="Standard Class"/>
    <x v="0"/>
    <s v="United States"/>
    <s v="Seattle"/>
    <x v="4"/>
    <n v="98103"/>
    <x v="1"/>
    <x v="1"/>
    <x v="2"/>
    <n v="31.05"/>
    <n v="3"/>
    <n v="0"/>
    <n v="14.904"/>
  </r>
  <r>
    <s v="First Class"/>
    <x v="0"/>
    <s v="United States"/>
    <s v="Newark"/>
    <x v="24"/>
    <n v="43055"/>
    <x v="3"/>
    <x v="2"/>
    <x v="11"/>
    <n v="2025.36"/>
    <n v="6"/>
    <n v="0.2"/>
    <n v="607.60799999999995"/>
  </r>
  <r>
    <s v="First Class"/>
    <x v="0"/>
    <s v="United States"/>
    <s v="Newark"/>
    <x v="24"/>
    <n v="43055"/>
    <x v="3"/>
    <x v="2"/>
    <x v="15"/>
    <n v="1799.9939999999999"/>
    <n v="2"/>
    <n v="0.7"/>
    <n v="-2639.9911999999999"/>
  </r>
  <r>
    <s v="First Class"/>
    <x v="0"/>
    <s v="United States"/>
    <s v="Newark"/>
    <x v="24"/>
    <n v="43055"/>
    <x v="3"/>
    <x v="2"/>
    <x v="7"/>
    <n v="101.988"/>
    <n v="2"/>
    <n v="0.4"/>
    <n v="-16.998000000000001"/>
  </r>
  <r>
    <s v="First Class"/>
    <x v="0"/>
    <s v="United States"/>
    <s v="Newark"/>
    <x v="24"/>
    <n v="43055"/>
    <x v="3"/>
    <x v="0"/>
    <x v="5"/>
    <n v="262.86399999999998"/>
    <n v="7"/>
    <n v="0.2"/>
    <n v="69.001800000000003"/>
  </r>
  <r>
    <s v="Standard Class"/>
    <x v="1"/>
    <s v="United States"/>
    <s v="Maple Grove"/>
    <x v="11"/>
    <n v="55369"/>
    <x v="2"/>
    <x v="1"/>
    <x v="8"/>
    <n v="735.98"/>
    <n v="2"/>
    <n v="0"/>
    <n v="331.19099999999997"/>
  </r>
  <r>
    <s v="Second Class"/>
    <x v="2"/>
    <s v="United States"/>
    <s v="Glendale"/>
    <x v="16"/>
    <n v="85301"/>
    <x v="1"/>
    <x v="1"/>
    <x v="10"/>
    <n v="93.024000000000001"/>
    <n v="3"/>
    <n v="0.2"/>
    <n v="33.721200000000003"/>
  </r>
  <r>
    <s v="Standard Class"/>
    <x v="1"/>
    <s v="United States"/>
    <s v="New York City"/>
    <x v="15"/>
    <n v="10009"/>
    <x v="3"/>
    <x v="0"/>
    <x v="3"/>
    <n v="284.36399999999998"/>
    <n v="2"/>
    <n v="0.4"/>
    <n v="-75.830399999999997"/>
  </r>
  <r>
    <s v="Standard Class"/>
    <x v="1"/>
    <s v="United States"/>
    <s v="New York City"/>
    <x v="15"/>
    <n v="10009"/>
    <x v="3"/>
    <x v="2"/>
    <x v="11"/>
    <n v="26"/>
    <n v="2"/>
    <n v="0"/>
    <n v="11.7"/>
  </r>
  <r>
    <s v="First Class"/>
    <x v="0"/>
    <s v="United States"/>
    <s v="Jacksonville"/>
    <x v="3"/>
    <n v="28540"/>
    <x v="0"/>
    <x v="1"/>
    <x v="4"/>
    <n v="67.64"/>
    <n v="5"/>
    <n v="0.2"/>
    <n v="5.9184999999999999"/>
  </r>
  <r>
    <s v="First Class"/>
    <x v="0"/>
    <s v="United States"/>
    <s v="Jacksonville"/>
    <x v="3"/>
    <n v="28540"/>
    <x v="0"/>
    <x v="2"/>
    <x v="11"/>
    <n v="119.976"/>
    <n v="3"/>
    <n v="0.2"/>
    <n v="-17.996400000000001"/>
  </r>
  <r>
    <s v="Second Class"/>
    <x v="0"/>
    <s v="United States"/>
    <s v="Houston"/>
    <x v="5"/>
    <n v="77070"/>
    <x v="2"/>
    <x v="1"/>
    <x v="8"/>
    <n v="5.18"/>
    <n v="5"/>
    <n v="0.8"/>
    <n v="-8.0289999999999999"/>
  </r>
  <r>
    <s v="Standard Class"/>
    <x v="0"/>
    <s v="United States"/>
    <s v="San Francisco"/>
    <x v="1"/>
    <n v="94109"/>
    <x v="1"/>
    <x v="1"/>
    <x v="12"/>
    <n v="15.56"/>
    <n v="2"/>
    <n v="0"/>
    <n v="7.3132000000000001"/>
  </r>
  <r>
    <s v="Standard Class"/>
    <x v="0"/>
    <s v="United States"/>
    <s v="San Francisco"/>
    <x v="1"/>
    <n v="94109"/>
    <x v="1"/>
    <x v="1"/>
    <x v="12"/>
    <n v="78.349999999999994"/>
    <n v="5"/>
    <n v="0"/>
    <n v="36.8245"/>
  </r>
  <r>
    <s v="Standard Class"/>
    <x v="0"/>
    <s v="United States"/>
    <s v="San Francisco"/>
    <x v="1"/>
    <n v="94109"/>
    <x v="1"/>
    <x v="1"/>
    <x v="6"/>
    <n v="59.52"/>
    <n v="3"/>
    <n v="0"/>
    <n v="15.475199999999999"/>
  </r>
  <r>
    <s v="Standard Class"/>
    <x v="0"/>
    <s v="United States"/>
    <s v="San Francisco"/>
    <x v="1"/>
    <n v="94109"/>
    <x v="1"/>
    <x v="1"/>
    <x v="10"/>
    <n v="38.520000000000003"/>
    <n v="9"/>
    <n v="0"/>
    <n v="17.334"/>
  </r>
  <r>
    <s v="Standard Class"/>
    <x v="0"/>
    <s v="United States"/>
    <s v="San Francisco"/>
    <x v="1"/>
    <n v="94109"/>
    <x v="1"/>
    <x v="2"/>
    <x v="7"/>
    <n v="239.98400000000001"/>
    <n v="2"/>
    <n v="0.2"/>
    <n v="23.9984"/>
  </r>
  <r>
    <s v="Standard Class"/>
    <x v="0"/>
    <s v="United States"/>
    <s v="San Francisco"/>
    <x v="1"/>
    <n v="94109"/>
    <x v="1"/>
    <x v="1"/>
    <x v="10"/>
    <n v="19.350000000000001"/>
    <n v="3"/>
    <n v="0"/>
    <n v="9.4815000000000005"/>
  </r>
  <r>
    <s v="First Class"/>
    <x v="0"/>
    <s v="United States"/>
    <s v="Lansing"/>
    <x v="12"/>
    <n v="48911"/>
    <x v="2"/>
    <x v="0"/>
    <x v="5"/>
    <n v="67"/>
    <n v="5"/>
    <n v="0"/>
    <n v="32.159999999999997"/>
  </r>
  <r>
    <s v="Standard Class"/>
    <x v="1"/>
    <s v="United States"/>
    <s v="Tallahassee"/>
    <x v="2"/>
    <n v="32303"/>
    <x v="0"/>
    <x v="0"/>
    <x v="1"/>
    <n v="390.27199999999999"/>
    <n v="8"/>
    <n v="0.2"/>
    <n v="-24.391999999999999"/>
  </r>
  <r>
    <s v="Standard Class"/>
    <x v="1"/>
    <s v="United States"/>
    <s v="Tallahassee"/>
    <x v="2"/>
    <n v="32303"/>
    <x v="0"/>
    <x v="1"/>
    <x v="10"/>
    <n v="62.192"/>
    <n v="13"/>
    <n v="0.2"/>
    <n v="19.434999999999999"/>
  </r>
  <r>
    <s v="Second Class"/>
    <x v="0"/>
    <s v="United States"/>
    <s v="Columbia"/>
    <x v="20"/>
    <n v="29203"/>
    <x v="0"/>
    <x v="1"/>
    <x v="8"/>
    <n v="23.88"/>
    <n v="6"/>
    <n v="0"/>
    <n v="11.223599999999999"/>
  </r>
  <r>
    <s v="Standard Class"/>
    <x v="0"/>
    <s v="United States"/>
    <s v="Chicago"/>
    <x v="10"/>
    <n v="60623"/>
    <x v="2"/>
    <x v="1"/>
    <x v="8"/>
    <n v="3.1680000000000001"/>
    <n v="2"/>
    <n v="0.8"/>
    <n v="-4.7519999999999998"/>
  </r>
  <r>
    <s v="Standard Class"/>
    <x v="0"/>
    <s v="United States"/>
    <s v="Chicago"/>
    <x v="10"/>
    <n v="60623"/>
    <x v="2"/>
    <x v="0"/>
    <x v="1"/>
    <n v="528.42999999999995"/>
    <n v="5"/>
    <n v="0.3"/>
    <n v="0"/>
  </r>
  <r>
    <s v="Standard Class"/>
    <x v="0"/>
    <s v="United States"/>
    <s v="Chicago"/>
    <x v="10"/>
    <n v="60623"/>
    <x v="2"/>
    <x v="1"/>
    <x v="6"/>
    <n v="13.391999999999999"/>
    <n v="3"/>
    <n v="0.2"/>
    <n v="1.5065999999999999"/>
  </r>
  <r>
    <s v="Standard Class"/>
    <x v="0"/>
    <s v="United States"/>
    <s v="Detroit"/>
    <x v="12"/>
    <n v="48227"/>
    <x v="2"/>
    <x v="1"/>
    <x v="6"/>
    <n v="181.86"/>
    <n v="7"/>
    <n v="0"/>
    <n v="50.9208"/>
  </r>
  <r>
    <s v="Standard Class"/>
    <x v="0"/>
    <s v="United States"/>
    <s v="Fort Collins"/>
    <x v="22"/>
    <n v="80525"/>
    <x v="1"/>
    <x v="0"/>
    <x v="0"/>
    <n v="180.58799999999999"/>
    <n v="2"/>
    <n v="0.7"/>
    <n v="-240.78399999999999"/>
  </r>
  <r>
    <s v="Standard Class"/>
    <x v="0"/>
    <s v="United States"/>
    <s v="Fort Collins"/>
    <x v="22"/>
    <n v="80525"/>
    <x v="1"/>
    <x v="2"/>
    <x v="11"/>
    <n v="47.984000000000002"/>
    <n v="2"/>
    <n v="0.2"/>
    <n v="0.5998"/>
  </r>
  <r>
    <s v="Same Day"/>
    <x v="0"/>
    <s v="United States"/>
    <s v="New York City"/>
    <x v="15"/>
    <n v="10024"/>
    <x v="3"/>
    <x v="1"/>
    <x v="10"/>
    <n v="18.760000000000002"/>
    <n v="2"/>
    <n v="0"/>
    <n v="9.0047999999999995"/>
  </r>
  <r>
    <s v="Standard Class"/>
    <x v="1"/>
    <s v="United States"/>
    <s v="New York City"/>
    <x v="15"/>
    <n v="10011"/>
    <x v="3"/>
    <x v="0"/>
    <x v="5"/>
    <n v="20.94"/>
    <n v="3"/>
    <n v="0"/>
    <n v="6.0726000000000004"/>
  </r>
  <r>
    <s v="Standard Class"/>
    <x v="1"/>
    <s v="United States"/>
    <s v="New York City"/>
    <x v="15"/>
    <n v="10011"/>
    <x v="3"/>
    <x v="0"/>
    <x v="5"/>
    <n v="58.68"/>
    <n v="2"/>
    <n v="0"/>
    <n v="18.190799999999999"/>
  </r>
  <r>
    <s v="Standard Class"/>
    <x v="1"/>
    <s v="United States"/>
    <s v="New York City"/>
    <x v="15"/>
    <n v="10011"/>
    <x v="3"/>
    <x v="1"/>
    <x v="9"/>
    <n v="254.9"/>
    <n v="5"/>
    <n v="0"/>
    <n v="68.822999999999993"/>
  </r>
  <r>
    <s v="Second Class"/>
    <x v="1"/>
    <s v="United States"/>
    <s v="Columbia"/>
    <x v="39"/>
    <n v="21044"/>
    <x v="3"/>
    <x v="1"/>
    <x v="8"/>
    <n v="9.64"/>
    <n v="2"/>
    <n v="0"/>
    <n v="4.4344000000000001"/>
  </r>
  <r>
    <s v="Second Class"/>
    <x v="1"/>
    <s v="United States"/>
    <s v="Columbia"/>
    <x v="39"/>
    <n v="21044"/>
    <x v="3"/>
    <x v="2"/>
    <x v="11"/>
    <n v="826.62"/>
    <n v="3"/>
    <n v="0"/>
    <n v="355.44659999999999"/>
  </r>
  <r>
    <s v="Second Class"/>
    <x v="1"/>
    <s v="United States"/>
    <s v="Columbia"/>
    <x v="39"/>
    <n v="21044"/>
    <x v="3"/>
    <x v="1"/>
    <x v="4"/>
    <n v="1633.14"/>
    <n v="9"/>
    <n v="0"/>
    <n v="473.61059999999998"/>
  </r>
  <r>
    <s v="Second Class"/>
    <x v="1"/>
    <s v="United States"/>
    <s v="Columbia"/>
    <x v="39"/>
    <n v="21044"/>
    <x v="3"/>
    <x v="1"/>
    <x v="4"/>
    <n v="544.38"/>
    <n v="3"/>
    <n v="0"/>
    <n v="157.87020000000001"/>
  </r>
  <r>
    <s v="First Class"/>
    <x v="1"/>
    <s v="United States"/>
    <s v="Houston"/>
    <x v="5"/>
    <n v="77041"/>
    <x v="2"/>
    <x v="1"/>
    <x v="8"/>
    <n v="26.045999999999999"/>
    <n v="3"/>
    <n v="0.8"/>
    <n v="-44.278199999999998"/>
  </r>
  <r>
    <s v="First Class"/>
    <x v="1"/>
    <s v="United States"/>
    <s v="Houston"/>
    <x v="5"/>
    <n v="77041"/>
    <x v="2"/>
    <x v="1"/>
    <x v="12"/>
    <n v="74.352000000000004"/>
    <n v="3"/>
    <n v="0.2"/>
    <n v="26.9526"/>
  </r>
  <r>
    <s v="Standard Class"/>
    <x v="1"/>
    <s v="United States"/>
    <s v="Lowell"/>
    <x v="31"/>
    <n v="1852"/>
    <x v="3"/>
    <x v="2"/>
    <x v="7"/>
    <n v="69.930000000000007"/>
    <n v="7"/>
    <n v="0"/>
    <n v="32.1678"/>
  </r>
  <r>
    <s v="Second Class"/>
    <x v="1"/>
    <s v="United States"/>
    <s v="Woodland"/>
    <x v="1"/>
    <n v="95695"/>
    <x v="1"/>
    <x v="1"/>
    <x v="2"/>
    <n v="3.75"/>
    <n v="1"/>
    <n v="0"/>
    <n v="1.8"/>
  </r>
  <r>
    <s v="Second Class"/>
    <x v="1"/>
    <s v="United States"/>
    <s v="Woodland"/>
    <x v="1"/>
    <n v="95695"/>
    <x v="1"/>
    <x v="1"/>
    <x v="8"/>
    <n v="20.928000000000001"/>
    <n v="4"/>
    <n v="0.2"/>
    <n v="7.5864000000000003"/>
  </r>
  <r>
    <s v="Standard Class"/>
    <x v="2"/>
    <s v="United States"/>
    <s v="Chicago"/>
    <x v="10"/>
    <n v="60610"/>
    <x v="2"/>
    <x v="1"/>
    <x v="4"/>
    <n v="12.672000000000001"/>
    <n v="3"/>
    <n v="0.2"/>
    <n v="-3.1680000000000001"/>
  </r>
  <r>
    <s v="Standard Class"/>
    <x v="1"/>
    <s v="United States"/>
    <s v="New York City"/>
    <x v="15"/>
    <n v="10035"/>
    <x v="3"/>
    <x v="2"/>
    <x v="7"/>
    <n v="65.989999999999995"/>
    <n v="1"/>
    <n v="0"/>
    <n v="17.157399999999999"/>
  </r>
  <r>
    <s v="Standard Class"/>
    <x v="1"/>
    <s v="United States"/>
    <s v="Missouri City"/>
    <x v="5"/>
    <n v="77489"/>
    <x v="2"/>
    <x v="1"/>
    <x v="8"/>
    <n v="6.37"/>
    <n v="7"/>
    <n v="0.8"/>
    <n v="-9.5549999999999997"/>
  </r>
  <r>
    <s v="First Class"/>
    <x v="0"/>
    <s v="United States"/>
    <s v="Houston"/>
    <x v="5"/>
    <n v="77036"/>
    <x v="2"/>
    <x v="1"/>
    <x v="8"/>
    <n v="3.6480000000000001"/>
    <n v="3"/>
    <n v="0.8"/>
    <n v="-6.0191999999999997"/>
  </r>
  <r>
    <s v="First Class"/>
    <x v="0"/>
    <s v="United States"/>
    <s v="Houston"/>
    <x v="5"/>
    <n v="77036"/>
    <x v="2"/>
    <x v="1"/>
    <x v="10"/>
    <n v="31.103999999999999"/>
    <n v="6"/>
    <n v="0.2"/>
    <n v="10.8864"/>
  </r>
  <r>
    <s v="Standard Class"/>
    <x v="2"/>
    <s v="United States"/>
    <s v="Jackson"/>
    <x v="35"/>
    <n v="39212"/>
    <x v="0"/>
    <x v="1"/>
    <x v="13"/>
    <n v="23.34"/>
    <n v="3"/>
    <n v="0"/>
    <n v="0.2334"/>
  </r>
  <r>
    <s v="Standard Class"/>
    <x v="1"/>
    <s v="United States"/>
    <s v="New York City"/>
    <x v="15"/>
    <n v="10009"/>
    <x v="3"/>
    <x v="2"/>
    <x v="7"/>
    <n v="29.97"/>
    <n v="3"/>
    <n v="0"/>
    <n v="14.085900000000001"/>
  </r>
  <r>
    <s v="Same Day"/>
    <x v="0"/>
    <s v="United States"/>
    <s v="Tempe"/>
    <x v="16"/>
    <n v="85281"/>
    <x v="1"/>
    <x v="1"/>
    <x v="8"/>
    <n v="3.3660000000000001"/>
    <n v="3"/>
    <n v="0.7"/>
    <n v="-2.2440000000000002"/>
  </r>
  <r>
    <s v="Standard Class"/>
    <x v="0"/>
    <s v="United States"/>
    <s v="Jacksonville"/>
    <x v="3"/>
    <n v="28540"/>
    <x v="0"/>
    <x v="2"/>
    <x v="7"/>
    <n v="95.968000000000004"/>
    <n v="4"/>
    <n v="0.2"/>
    <n v="9.5968"/>
  </r>
  <r>
    <s v="Standard Class"/>
    <x v="1"/>
    <s v="United States"/>
    <s v="Philadelphia"/>
    <x v="9"/>
    <n v="19134"/>
    <x v="3"/>
    <x v="1"/>
    <x v="6"/>
    <n v="18.704000000000001"/>
    <n v="7"/>
    <n v="0.2"/>
    <n v="2.3380000000000001"/>
  </r>
  <r>
    <s v="Second Class"/>
    <x v="0"/>
    <s v="United States"/>
    <s v="Akron"/>
    <x v="24"/>
    <n v="44312"/>
    <x v="3"/>
    <x v="0"/>
    <x v="5"/>
    <n v="149.232"/>
    <n v="3"/>
    <n v="0.2"/>
    <n v="3.7307999999999999"/>
  </r>
  <r>
    <s v="Second Class"/>
    <x v="0"/>
    <s v="United States"/>
    <s v="Akron"/>
    <x v="24"/>
    <n v="44312"/>
    <x v="3"/>
    <x v="1"/>
    <x v="10"/>
    <n v="15.936"/>
    <n v="4"/>
    <n v="0.2"/>
    <n v="5.7767999999999997"/>
  </r>
  <r>
    <s v="Standard Class"/>
    <x v="0"/>
    <s v="United States"/>
    <s v="San Diego"/>
    <x v="1"/>
    <n v="92037"/>
    <x v="1"/>
    <x v="2"/>
    <x v="7"/>
    <n v="601.53599999999994"/>
    <n v="8"/>
    <n v="0.2"/>
    <n v="60.153599999999997"/>
  </r>
  <r>
    <s v="Standard Class"/>
    <x v="0"/>
    <s v="United States"/>
    <s v="San Diego"/>
    <x v="1"/>
    <n v="92037"/>
    <x v="1"/>
    <x v="2"/>
    <x v="11"/>
    <n v="10.99"/>
    <n v="1"/>
    <n v="0"/>
    <n v="4.2861000000000002"/>
  </r>
  <r>
    <s v="Standard Class"/>
    <x v="0"/>
    <s v="United States"/>
    <s v="San Diego"/>
    <x v="1"/>
    <n v="92037"/>
    <x v="1"/>
    <x v="0"/>
    <x v="5"/>
    <n v="39.880000000000003"/>
    <n v="2"/>
    <n v="0"/>
    <n v="11.166399999999999"/>
  </r>
  <r>
    <s v="Standard Class"/>
    <x v="0"/>
    <s v="United States"/>
    <s v="San Diego"/>
    <x v="1"/>
    <n v="92037"/>
    <x v="1"/>
    <x v="1"/>
    <x v="10"/>
    <n v="62.24"/>
    <n v="8"/>
    <n v="0"/>
    <n v="28.007999999999999"/>
  </r>
  <r>
    <s v="Standard Class"/>
    <x v="0"/>
    <s v="United States"/>
    <s v="San Diego"/>
    <x v="1"/>
    <n v="92037"/>
    <x v="1"/>
    <x v="0"/>
    <x v="5"/>
    <n v="53.2"/>
    <n v="5"/>
    <n v="0"/>
    <n v="14.896000000000001"/>
  </r>
  <r>
    <s v="Standard Class"/>
    <x v="0"/>
    <s v="United States"/>
    <s v="San Diego"/>
    <x v="1"/>
    <n v="92037"/>
    <x v="1"/>
    <x v="1"/>
    <x v="2"/>
    <n v="39.840000000000003"/>
    <n v="8"/>
    <n v="0"/>
    <n v="18.3264"/>
  </r>
  <r>
    <s v="Standard Class"/>
    <x v="1"/>
    <s v="United States"/>
    <s v="Fresno"/>
    <x v="1"/>
    <n v="93727"/>
    <x v="1"/>
    <x v="2"/>
    <x v="11"/>
    <n v="349.95"/>
    <n v="5"/>
    <n v="0"/>
    <n v="118.983"/>
  </r>
  <r>
    <s v="Standard Class"/>
    <x v="1"/>
    <s v="United States"/>
    <s v="Fresno"/>
    <x v="1"/>
    <n v="93727"/>
    <x v="1"/>
    <x v="2"/>
    <x v="7"/>
    <n v="377.928"/>
    <n v="9"/>
    <n v="0.2"/>
    <n v="141.72300000000001"/>
  </r>
  <r>
    <s v="Standard Class"/>
    <x v="1"/>
    <s v="United States"/>
    <s v="Pearland"/>
    <x v="5"/>
    <n v="77581"/>
    <x v="2"/>
    <x v="1"/>
    <x v="12"/>
    <n v="13.391999999999999"/>
    <n v="3"/>
    <n v="0.2"/>
    <n v="5.0220000000000002"/>
  </r>
  <r>
    <s v="Standard Class"/>
    <x v="1"/>
    <s v="United States"/>
    <s v="Pearland"/>
    <x v="5"/>
    <n v="77581"/>
    <x v="2"/>
    <x v="1"/>
    <x v="8"/>
    <n v="11.228"/>
    <n v="7"/>
    <n v="0.8"/>
    <n v="-18.526199999999999"/>
  </r>
  <r>
    <s v="Standard Class"/>
    <x v="0"/>
    <s v="United States"/>
    <s v="Richmond"/>
    <x v="14"/>
    <n v="47374"/>
    <x v="2"/>
    <x v="1"/>
    <x v="9"/>
    <n v="207.24"/>
    <n v="11"/>
    <n v="0"/>
    <n v="58.027200000000001"/>
  </r>
  <r>
    <s v="Standard Class"/>
    <x v="1"/>
    <s v="United States"/>
    <s v="Philadelphia"/>
    <x v="9"/>
    <n v="19134"/>
    <x v="3"/>
    <x v="1"/>
    <x v="6"/>
    <n v="1.504"/>
    <n v="1"/>
    <n v="0.2"/>
    <n v="0.16919999999999999"/>
  </r>
  <r>
    <s v="Standard Class"/>
    <x v="1"/>
    <s v="United States"/>
    <s v="Philadelphia"/>
    <x v="9"/>
    <n v="19134"/>
    <x v="3"/>
    <x v="1"/>
    <x v="9"/>
    <n v="34.847999999999999"/>
    <n v="2"/>
    <n v="0.2"/>
    <n v="6.5339999999999998"/>
  </r>
  <r>
    <s v="First Class"/>
    <x v="0"/>
    <s v="United States"/>
    <s v="San Mateo"/>
    <x v="1"/>
    <n v="94403"/>
    <x v="1"/>
    <x v="1"/>
    <x v="2"/>
    <n v="75.180000000000007"/>
    <n v="6"/>
    <n v="0"/>
    <n v="35.334600000000002"/>
  </r>
  <r>
    <s v="Standard Class"/>
    <x v="0"/>
    <s v="United States"/>
    <s v="Oakland"/>
    <x v="1"/>
    <n v="94601"/>
    <x v="1"/>
    <x v="2"/>
    <x v="11"/>
    <n v="149.97"/>
    <n v="3"/>
    <n v="0"/>
    <n v="52.4895"/>
  </r>
  <r>
    <s v="Standard Class"/>
    <x v="1"/>
    <s v="United States"/>
    <s v="New York City"/>
    <x v="15"/>
    <n v="10024"/>
    <x v="3"/>
    <x v="1"/>
    <x v="8"/>
    <n v="931.17600000000004"/>
    <n v="3"/>
    <n v="0.2"/>
    <n v="314.27190000000002"/>
  </r>
  <r>
    <s v="Standard Class"/>
    <x v="1"/>
    <s v="United States"/>
    <s v="New York City"/>
    <x v="15"/>
    <n v="10024"/>
    <x v="3"/>
    <x v="2"/>
    <x v="7"/>
    <n v="430.88"/>
    <n v="2"/>
    <n v="0"/>
    <n v="124.9552"/>
  </r>
  <r>
    <s v="Standard Class"/>
    <x v="1"/>
    <s v="United States"/>
    <s v="Lakewood"/>
    <x v="30"/>
    <n v="8701"/>
    <x v="3"/>
    <x v="1"/>
    <x v="10"/>
    <n v="94.85"/>
    <n v="5"/>
    <n v="0"/>
    <n v="45.527999999999999"/>
  </r>
  <r>
    <s v="Standard Class"/>
    <x v="1"/>
    <s v="United States"/>
    <s v="Lakewood"/>
    <x v="30"/>
    <n v="8701"/>
    <x v="3"/>
    <x v="1"/>
    <x v="12"/>
    <n v="51.12"/>
    <n v="4"/>
    <n v="0"/>
    <n v="23.004000000000001"/>
  </r>
  <r>
    <s v="Standard Class"/>
    <x v="1"/>
    <s v="United States"/>
    <s v="Lakewood"/>
    <x v="30"/>
    <n v="8701"/>
    <x v="3"/>
    <x v="2"/>
    <x v="11"/>
    <n v="90"/>
    <n v="1"/>
    <n v="0"/>
    <n v="32.4"/>
  </r>
  <r>
    <s v="First Class"/>
    <x v="1"/>
    <s v="United States"/>
    <s v="Tempe"/>
    <x v="16"/>
    <n v="85281"/>
    <x v="1"/>
    <x v="1"/>
    <x v="10"/>
    <n v="9.4079999999999995"/>
    <n v="2"/>
    <n v="0.2"/>
    <n v="3.4104000000000001"/>
  </r>
  <r>
    <s v="First Class"/>
    <x v="1"/>
    <s v="United States"/>
    <s v="Tempe"/>
    <x v="16"/>
    <n v="85281"/>
    <x v="1"/>
    <x v="1"/>
    <x v="13"/>
    <n v="4.6719999999999997"/>
    <n v="2"/>
    <n v="0.2"/>
    <n v="1.46"/>
  </r>
  <r>
    <s v="First Class"/>
    <x v="1"/>
    <s v="United States"/>
    <s v="Tempe"/>
    <x v="16"/>
    <n v="85281"/>
    <x v="1"/>
    <x v="2"/>
    <x v="7"/>
    <n v="318.39999999999998"/>
    <n v="2"/>
    <n v="0.2"/>
    <n v="107.46"/>
  </r>
  <r>
    <s v="First Class"/>
    <x v="1"/>
    <s v="United States"/>
    <s v="Tempe"/>
    <x v="16"/>
    <n v="85281"/>
    <x v="1"/>
    <x v="1"/>
    <x v="12"/>
    <n v="12.768000000000001"/>
    <n v="6"/>
    <n v="0.2"/>
    <n v="4.6284000000000001"/>
  </r>
  <r>
    <s v="First Class"/>
    <x v="1"/>
    <s v="United States"/>
    <s v="Tempe"/>
    <x v="16"/>
    <n v="85281"/>
    <x v="1"/>
    <x v="1"/>
    <x v="14"/>
    <n v="15.36"/>
    <n v="2"/>
    <n v="0.2"/>
    <n v="-3.2639999999999998"/>
  </r>
  <r>
    <s v="First Class"/>
    <x v="1"/>
    <s v="United States"/>
    <s v="Tempe"/>
    <x v="16"/>
    <n v="85281"/>
    <x v="1"/>
    <x v="2"/>
    <x v="7"/>
    <n v="230.376"/>
    <n v="3"/>
    <n v="0.2"/>
    <n v="20.157900000000001"/>
  </r>
  <r>
    <s v="First Class"/>
    <x v="1"/>
    <s v="United States"/>
    <s v="Tempe"/>
    <x v="16"/>
    <n v="85281"/>
    <x v="1"/>
    <x v="2"/>
    <x v="11"/>
    <n v="7.16"/>
    <n v="1"/>
    <n v="0.2"/>
    <n v="-8.9499999999999996E-2"/>
  </r>
  <r>
    <s v="Standard Class"/>
    <x v="0"/>
    <s v="United States"/>
    <s v="New York City"/>
    <x v="15"/>
    <n v="10035"/>
    <x v="3"/>
    <x v="1"/>
    <x v="4"/>
    <n v="375.34"/>
    <n v="1"/>
    <n v="0"/>
    <n v="18.766999999999999"/>
  </r>
  <r>
    <s v="Second Class"/>
    <x v="0"/>
    <s v="United States"/>
    <s v="New York City"/>
    <x v="15"/>
    <n v="10009"/>
    <x v="3"/>
    <x v="0"/>
    <x v="5"/>
    <n v="114.9"/>
    <n v="5"/>
    <n v="0"/>
    <n v="39.066000000000003"/>
  </r>
  <r>
    <s v="Standard Class"/>
    <x v="0"/>
    <s v="United States"/>
    <s v="Houston"/>
    <x v="5"/>
    <n v="77095"/>
    <x v="2"/>
    <x v="1"/>
    <x v="8"/>
    <n v="26.045999999999999"/>
    <n v="3"/>
    <n v="0.8"/>
    <n v="-44.278199999999998"/>
  </r>
  <r>
    <s v="Standard Class"/>
    <x v="0"/>
    <s v="United States"/>
    <s v="Houston"/>
    <x v="5"/>
    <n v="77095"/>
    <x v="2"/>
    <x v="1"/>
    <x v="8"/>
    <n v="2.8959999999999999"/>
    <n v="1"/>
    <n v="0.8"/>
    <n v="-4.7784000000000004"/>
  </r>
  <r>
    <s v="Standard Class"/>
    <x v="0"/>
    <s v="United States"/>
    <s v="Houston"/>
    <x v="5"/>
    <n v="77095"/>
    <x v="2"/>
    <x v="1"/>
    <x v="4"/>
    <n v="32.543999999999997"/>
    <n v="2"/>
    <n v="0.2"/>
    <n v="-7.7291999999999996"/>
  </r>
  <r>
    <s v="First Class"/>
    <x v="0"/>
    <s v="United States"/>
    <s v="Riverside"/>
    <x v="1"/>
    <n v="92503"/>
    <x v="1"/>
    <x v="1"/>
    <x v="8"/>
    <n v="3.984"/>
    <n v="1"/>
    <n v="0.2"/>
    <n v="1.3944000000000001"/>
  </r>
  <r>
    <s v="Same Day"/>
    <x v="0"/>
    <s v="United States"/>
    <s v="Fairfield"/>
    <x v="29"/>
    <n v="6824"/>
    <x v="3"/>
    <x v="0"/>
    <x v="3"/>
    <n v="181.797"/>
    <n v="1"/>
    <n v="0.3"/>
    <n v="-15.582599999999999"/>
  </r>
  <r>
    <s v="Same Day"/>
    <x v="0"/>
    <s v="United States"/>
    <s v="New York City"/>
    <x v="15"/>
    <n v="10024"/>
    <x v="3"/>
    <x v="1"/>
    <x v="4"/>
    <n v="44.94"/>
    <n v="3"/>
    <n v="0"/>
    <n v="12.5832"/>
  </r>
  <r>
    <s v="Same Day"/>
    <x v="0"/>
    <s v="United States"/>
    <s v="New York City"/>
    <x v="15"/>
    <n v="10024"/>
    <x v="3"/>
    <x v="1"/>
    <x v="8"/>
    <n v="45.576000000000001"/>
    <n v="3"/>
    <n v="0.2"/>
    <n v="15.951599999999999"/>
  </r>
  <r>
    <s v="Standard Class"/>
    <x v="1"/>
    <s v="United States"/>
    <s v="Houston"/>
    <x v="5"/>
    <n v="77095"/>
    <x v="2"/>
    <x v="0"/>
    <x v="1"/>
    <n v="318.43"/>
    <n v="5"/>
    <n v="0.3"/>
    <n v="-77.332999999999998"/>
  </r>
  <r>
    <s v="Standard Class"/>
    <x v="1"/>
    <s v="United States"/>
    <s v="Houston"/>
    <x v="5"/>
    <n v="77095"/>
    <x v="2"/>
    <x v="2"/>
    <x v="7"/>
    <n v="122.92"/>
    <n v="7"/>
    <n v="0.2"/>
    <n v="46.094999999999999"/>
  </r>
  <r>
    <s v="Standard Class"/>
    <x v="1"/>
    <s v="United States"/>
    <s v="Houston"/>
    <x v="5"/>
    <n v="77095"/>
    <x v="2"/>
    <x v="0"/>
    <x v="5"/>
    <n v="7.0679999999999996"/>
    <n v="3"/>
    <n v="0.6"/>
    <n v="-2.8271999999999999"/>
  </r>
  <r>
    <s v="First Class"/>
    <x v="1"/>
    <s v="United States"/>
    <s v="Arlington"/>
    <x v="17"/>
    <n v="22204"/>
    <x v="0"/>
    <x v="1"/>
    <x v="4"/>
    <n v="56.45"/>
    <n v="5"/>
    <n v="0"/>
    <n v="14.677"/>
  </r>
  <r>
    <s v="Second Class"/>
    <x v="0"/>
    <s v="United States"/>
    <s v="Chicago"/>
    <x v="10"/>
    <n v="60623"/>
    <x v="2"/>
    <x v="1"/>
    <x v="8"/>
    <n v="13.468"/>
    <n v="13"/>
    <n v="0.8"/>
    <n v="-22.895600000000002"/>
  </r>
  <r>
    <s v="Standard Class"/>
    <x v="0"/>
    <s v="United States"/>
    <s v="Grand Prairie"/>
    <x v="5"/>
    <n v="75051"/>
    <x v="2"/>
    <x v="2"/>
    <x v="7"/>
    <n v="219.8"/>
    <n v="5"/>
    <n v="0.2"/>
    <n v="24.727499999999999"/>
  </r>
  <r>
    <s v="Standard Class"/>
    <x v="0"/>
    <s v="United States"/>
    <s v="Grand Prairie"/>
    <x v="5"/>
    <n v="75051"/>
    <x v="2"/>
    <x v="0"/>
    <x v="1"/>
    <n v="317.05799999999999"/>
    <n v="3"/>
    <n v="0.3"/>
    <n v="-18.117599999999999"/>
  </r>
  <r>
    <s v="Second Class"/>
    <x v="1"/>
    <s v="United States"/>
    <s v="Seattle"/>
    <x v="4"/>
    <n v="98103"/>
    <x v="1"/>
    <x v="2"/>
    <x v="11"/>
    <n v="49.08"/>
    <n v="3"/>
    <n v="0"/>
    <n v="4.9080000000000004"/>
  </r>
  <r>
    <s v="Second Class"/>
    <x v="1"/>
    <s v="United States"/>
    <s v="Seattle"/>
    <x v="4"/>
    <n v="98103"/>
    <x v="1"/>
    <x v="1"/>
    <x v="4"/>
    <n v="324.89999999999998"/>
    <n v="5"/>
    <n v="0"/>
    <n v="38.988"/>
  </r>
  <r>
    <s v="Second Class"/>
    <x v="1"/>
    <s v="United States"/>
    <s v="Seattle"/>
    <x v="4"/>
    <n v="98103"/>
    <x v="1"/>
    <x v="1"/>
    <x v="6"/>
    <n v="18.239999999999998"/>
    <n v="3"/>
    <n v="0"/>
    <n v="5.2896000000000001"/>
  </r>
  <r>
    <s v="Standard Class"/>
    <x v="2"/>
    <s v="United States"/>
    <s v="Seattle"/>
    <x v="4"/>
    <n v="98103"/>
    <x v="1"/>
    <x v="0"/>
    <x v="1"/>
    <n v="113.88800000000001"/>
    <n v="2"/>
    <n v="0.2"/>
    <n v="9.9651999999999994"/>
  </r>
  <r>
    <s v="Standard Class"/>
    <x v="2"/>
    <s v="United States"/>
    <s v="Seattle"/>
    <x v="4"/>
    <n v="98103"/>
    <x v="1"/>
    <x v="2"/>
    <x v="7"/>
    <n v="105.584"/>
    <n v="2"/>
    <n v="0.2"/>
    <n v="7.9188000000000001"/>
  </r>
  <r>
    <s v="Standard Class"/>
    <x v="1"/>
    <s v="United States"/>
    <s v="Grand Rapids"/>
    <x v="12"/>
    <n v="49505"/>
    <x v="2"/>
    <x v="1"/>
    <x v="13"/>
    <n v="24.85"/>
    <n v="7"/>
    <n v="0"/>
    <n v="11.679500000000001"/>
  </r>
  <r>
    <s v="First Class"/>
    <x v="0"/>
    <s v="United States"/>
    <s v="Philadelphia"/>
    <x v="9"/>
    <n v="19120"/>
    <x v="3"/>
    <x v="0"/>
    <x v="5"/>
    <n v="60.311999999999998"/>
    <n v="3"/>
    <n v="0.2"/>
    <n v="5.2773000000000003"/>
  </r>
  <r>
    <s v="Second Class"/>
    <x v="2"/>
    <s v="United States"/>
    <s v="Chicago"/>
    <x v="10"/>
    <n v="60610"/>
    <x v="2"/>
    <x v="1"/>
    <x v="6"/>
    <n v="7.056"/>
    <n v="3"/>
    <n v="0.2"/>
    <n v="2.2050000000000001"/>
  </r>
  <r>
    <s v="Second Class"/>
    <x v="2"/>
    <s v="United States"/>
    <s v="Chicago"/>
    <x v="10"/>
    <n v="60610"/>
    <x v="2"/>
    <x v="2"/>
    <x v="7"/>
    <n v="27.184000000000001"/>
    <n v="2"/>
    <n v="0.2"/>
    <n v="2.0388000000000002"/>
  </r>
  <r>
    <s v="Standard Class"/>
    <x v="0"/>
    <s v="United States"/>
    <s v="Seattle"/>
    <x v="4"/>
    <n v="98105"/>
    <x v="1"/>
    <x v="2"/>
    <x v="7"/>
    <n v="107.98399999999999"/>
    <n v="1"/>
    <n v="0.2"/>
    <n v="9.4486000000000008"/>
  </r>
  <r>
    <s v="Standard Class"/>
    <x v="0"/>
    <s v="United States"/>
    <s v="Seattle"/>
    <x v="4"/>
    <n v="98105"/>
    <x v="1"/>
    <x v="1"/>
    <x v="8"/>
    <n v="19.295999999999999"/>
    <n v="3"/>
    <n v="0.2"/>
    <n v="6.03"/>
  </r>
  <r>
    <s v="Standard Class"/>
    <x v="1"/>
    <s v="United States"/>
    <s v="Jacksonville"/>
    <x v="2"/>
    <n v="32216"/>
    <x v="0"/>
    <x v="1"/>
    <x v="2"/>
    <n v="4.6079999999999997"/>
    <n v="2"/>
    <n v="0.2"/>
    <n v="1.6704000000000001"/>
  </r>
  <r>
    <s v="Second Class"/>
    <x v="1"/>
    <s v="United States"/>
    <s v="Franklin"/>
    <x v="18"/>
    <n v="37064"/>
    <x v="0"/>
    <x v="0"/>
    <x v="3"/>
    <n v="79.974000000000004"/>
    <n v="3"/>
    <n v="0.4"/>
    <n v="-29.323799999999999"/>
  </r>
  <r>
    <s v="Second Class"/>
    <x v="1"/>
    <s v="United States"/>
    <s v="Franklin"/>
    <x v="18"/>
    <n v="37064"/>
    <x v="0"/>
    <x v="1"/>
    <x v="8"/>
    <n v="2.9460000000000002"/>
    <n v="2"/>
    <n v="0.7"/>
    <n v="-2.0621999999999998"/>
  </r>
  <r>
    <s v="Standard Class"/>
    <x v="2"/>
    <s v="United States"/>
    <s v="Highland Park"/>
    <x v="10"/>
    <n v="60035"/>
    <x v="2"/>
    <x v="1"/>
    <x v="8"/>
    <n v="3.1360000000000001"/>
    <n v="2"/>
    <n v="0.8"/>
    <n v="-4.7039999999999997"/>
  </r>
  <r>
    <s v="First Class"/>
    <x v="1"/>
    <s v="United States"/>
    <s v="Pasadena"/>
    <x v="5"/>
    <n v="77506"/>
    <x v="2"/>
    <x v="1"/>
    <x v="10"/>
    <n v="20.736000000000001"/>
    <n v="4"/>
    <n v="0.2"/>
    <n v="7.2576000000000001"/>
  </r>
  <r>
    <s v="First Class"/>
    <x v="1"/>
    <s v="United States"/>
    <s v="San Francisco"/>
    <x v="1"/>
    <n v="94109"/>
    <x v="1"/>
    <x v="2"/>
    <x v="11"/>
    <n v="99.98"/>
    <n v="2"/>
    <n v="0"/>
    <n v="7.9984000000000002"/>
  </r>
  <r>
    <s v="First Class"/>
    <x v="1"/>
    <s v="United States"/>
    <s v="San Francisco"/>
    <x v="1"/>
    <n v="94109"/>
    <x v="1"/>
    <x v="1"/>
    <x v="10"/>
    <n v="733.95"/>
    <n v="7"/>
    <n v="0"/>
    <n v="352.29599999999999"/>
  </r>
  <r>
    <s v="First Class"/>
    <x v="1"/>
    <s v="United States"/>
    <s v="San Francisco"/>
    <x v="1"/>
    <n v="94109"/>
    <x v="1"/>
    <x v="1"/>
    <x v="9"/>
    <n v="241.44"/>
    <n v="3"/>
    <n v="0"/>
    <n v="72.432000000000002"/>
  </r>
  <r>
    <s v="Second Class"/>
    <x v="1"/>
    <s v="United States"/>
    <s v="Miami"/>
    <x v="2"/>
    <n v="33180"/>
    <x v="0"/>
    <x v="1"/>
    <x v="2"/>
    <n v="10.08"/>
    <n v="4"/>
    <n v="0.2"/>
    <n v="3.528"/>
  </r>
  <r>
    <s v="Standard Class"/>
    <x v="0"/>
    <s v="United States"/>
    <s v="Philadelphia"/>
    <x v="9"/>
    <n v="19120"/>
    <x v="3"/>
    <x v="1"/>
    <x v="4"/>
    <n v="281.904"/>
    <n v="2"/>
    <n v="0.2"/>
    <n v="10.571400000000001"/>
  </r>
  <r>
    <s v="Standard Class"/>
    <x v="0"/>
    <s v="United States"/>
    <s v="Philadelphia"/>
    <x v="9"/>
    <n v="19120"/>
    <x v="3"/>
    <x v="1"/>
    <x v="12"/>
    <n v="201.43199999999999"/>
    <n v="3"/>
    <n v="0.2"/>
    <n v="67.9833"/>
  </r>
  <r>
    <s v="Standard Class"/>
    <x v="0"/>
    <s v="United States"/>
    <s v="Decatur"/>
    <x v="19"/>
    <n v="35601"/>
    <x v="0"/>
    <x v="2"/>
    <x v="7"/>
    <n v="135.97999999999999"/>
    <n v="2"/>
    <n v="0"/>
    <n v="33.994999999999997"/>
  </r>
  <r>
    <s v="Standard Class"/>
    <x v="0"/>
    <s v="United States"/>
    <s v="Decatur"/>
    <x v="19"/>
    <n v="35601"/>
    <x v="0"/>
    <x v="2"/>
    <x v="7"/>
    <n v="44.95"/>
    <n v="1"/>
    <n v="0"/>
    <n v="12.586"/>
  </r>
  <r>
    <s v="Standard Class"/>
    <x v="1"/>
    <s v="United States"/>
    <s v="Sioux Falls"/>
    <x v="44"/>
    <n v="57103"/>
    <x v="2"/>
    <x v="2"/>
    <x v="11"/>
    <n v="2.97"/>
    <n v="3"/>
    <n v="0"/>
    <n v="1.3068"/>
  </r>
  <r>
    <s v="Standard Class"/>
    <x v="1"/>
    <s v="United States"/>
    <s v="Sioux Falls"/>
    <x v="44"/>
    <n v="57103"/>
    <x v="2"/>
    <x v="1"/>
    <x v="13"/>
    <n v="6.54"/>
    <n v="3"/>
    <n v="0"/>
    <n v="2.6814"/>
  </r>
  <r>
    <s v="Second Class"/>
    <x v="1"/>
    <s v="United States"/>
    <s v="Visalia"/>
    <x v="1"/>
    <n v="93277"/>
    <x v="1"/>
    <x v="2"/>
    <x v="11"/>
    <n v="7.92"/>
    <n v="8"/>
    <n v="0"/>
    <n v="3.4847999999999999"/>
  </r>
  <r>
    <s v="Standard Class"/>
    <x v="0"/>
    <s v="United States"/>
    <s v="Los Angeles"/>
    <x v="1"/>
    <n v="90049"/>
    <x v="1"/>
    <x v="0"/>
    <x v="1"/>
    <n v="203.92"/>
    <n v="5"/>
    <n v="0.2"/>
    <n v="22.940999999999999"/>
  </r>
  <r>
    <s v="Standard Class"/>
    <x v="2"/>
    <s v="United States"/>
    <s v="Los Angeles"/>
    <x v="1"/>
    <n v="90032"/>
    <x v="1"/>
    <x v="2"/>
    <x v="16"/>
    <n v="3359.9520000000002"/>
    <n v="6"/>
    <n v="0.2"/>
    <n v="1049.9849999999999"/>
  </r>
  <r>
    <s v="Standard Class"/>
    <x v="1"/>
    <s v="United States"/>
    <s v="Overland Park"/>
    <x v="41"/>
    <n v="66212"/>
    <x v="2"/>
    <x v="1"/>
    <x v="13"/>
    <n v="18.239999999999998"/>
    <n v="3"/>
    <n v="0"/>
    <n v="9.1199999999999992"/>
  </r>
  <r>
    <s v="Standard Class"/>
    <x v="1"/>
    <s v="United States"/>
    <s v="Overland Park"/>
    <x v="41"/>
    <n v="66212"/>
    <x v="2"/>
    <x v="1"/>
    <x v="6"/>
    <n v="27.78"/>
    <n v="6"/>
    <n v="0"/>
    <n v="9.1674000000000007"/>
  </r>
  <r>
    <s v="Second Class"/>
    <x v="1"/>
    <s v="United States"/>
    <s v="Alexandria"/>
    <x v="17"/>
    <n v="22304"/>
    <x v="0"/>
    <x v="1"/>
    <x v="6"/>
    <n v="22.96"/>
    <n v="7"/>
    <n v="0"/>
    <n v="7.5768000000000004"/>
  </r>
  <r>
    <s v="Second Class"/>
    <x v="1"/>
    <s v="United States"/>
    <s v="Alexandria"/>
    <x v="17"/>
    <n v="22304"/>
    <x v="0"/>
    <x v="2"/>
    <x v="7"/>
    <n v="28.99"/>
    <n v="1"/>
    <n v="0"/>
    <n v="8.4070999999999998"/>
  </r>
  <r>
    <s v="Second Class"/>
    <x v="1"/>
    <s v="United States"/>
    <s v="Alexandria"/>
    <x v="17"/>
    <n v="22304"/>
    <x v="0"/>
    <x v="1"/>
    <x v="10"/>
    <n v="12.96"/>
    <n v="2"/>
    <n v="0"/>
    <n v="6.3503999999999996"/>
  </r>
  <r>
    <s v="Second Class"/>
    <x v="1"/>
    <s v="United States"/>
    <s v="Alexandria"/>
    <x v="17"/>
    <n v="22304"/>
    <x v="0"/>
    <x v="1"/>
    <x v="6"/>
    <n v="22.96"/>
    <n v="7"/>
    <n v="0"/>
    <n v="6.6584000000000003"/>
  </r>
  <r>
    <s v="Second Class"/>
    <x v="1"/>
    <s v="United States"/>
    <s v="Alexandria"/>
    <x v="17"/>
    <n v="22304"/>
    <x v="0"/>
    <x v="1"/>
    <x v="14"/>
    <n v="4164.05"/>
    <n v="5"/>
    <n v="0"/>
    <n v="83.281000000000006"/>
  </r>
  <r>
    <s v="Standard Class"/>
    <x v="0"/>
    <s v="United States"/>
    <s v="Raleigh"/>
    <x v="3"/>
    <n v="27604"/>
    <x v="0"/>
    <x v="2"/>
    <x v="11"/>
    <n v="47.984000000000002"/>
    <n v="2"/>
    <n v="0.2"/>
    <n v="13.195600000000001"/>
  </r>
  <r>
    <s v="Standard Class"/>
    <x v="0"/>
    <s v="United States"/>
    <s v="Raleigh"/>
    <x v="3"/>
    <n v="27604"/>
    <x v="0"/>
    <x v="1"/>
    <x v="10"/>
    <n v="4.6239999999999997"/>
    <n v="1"/>
    <n v="0.2"/>
    <n v="1.6761999999999999"/>
  </r>
  <r>
    <s v="Standard Class"/>
    <x v="1"/>
    <s v="United States"/>
    <s v="New York City"/>
    <x v="15"/>
    <n v="10035"/>
    <x v="3"/>
    <x v="0"/>
    <x v="5"/>
    <n v="15.24"/>
    <n v="3"/>
    <n v="0"/>
    <n v="5.1816000000000004"/>
  </r>
  <r>
    <s v="Standard Class"/>
    <x v="0"/>
    <s v="United States"/>
    <s v="Fairfield"/>
    <x v="24"/>
    <n v="45014"/>
    <x v="3"/>
    <x v="1"/>
    <x v="8"/>
    <n v="63.923999999999999"/>
    <n v="7"/>
    <n v="0.7"/>
    <n v="-46.877600000000001"/>
  </r>
  <r>
    <s v="Standard Class"/>
    <x v="2"/>
    <s v="United States"/>
    <s v="Muskogee"/>
    <x v="26"/>
    <n v="74403"/>
    <x v="2"/>
    <x v="1"/>
    <x v="6"/>
    <n v="6.56"/>
    <n v="2"/>
    <n v="0"/>
    <n v="1.9024000000000001"/>
  </r>
  <r>
    <s v="Standard Class"/>
    <x v="2"/>
    <s v="United States"/>
    <s v="Muskogee"/>
    <x v="26"/>
    <n v="74403"/>
    <x v="2"/>
    <x v="1"/>
    <x v="9"/>
    <n v="13.11"/>
    <n v="3"/>
    <n v="0"/>
    <n v="3.4085999999999999"/>
  </r>
  <r>
    <s v="First Class"/>
    <x v="0"/>
    <s v="United States"/>
    <s v="Temecula"/>
    <x v="1"/>
    <n v="92592"/>
    <x v="1"/>
    <x v="2"/>
    <x v="7"/>
    <n v="494.37599999999998"/>
    <n v="3"/>
    <n v="0.2"/>
    <n v="49.437600000000003"/>
  </r>
  <r>
    <s v="First Class"/>
    <x v="0"/>
    <s v="United States"/>
    <s v="Temecula"/>
    <x v="1"/>
    <n v="92592"/>
    <x v="1"/>
    <x v="1"/>
    <x v="8"/>
    <n v="29.2"/>
    <n v="5"/>
    <n v="0.2"/>
    <n v="9.8550000000000004"/>
  </r>
  <r>
    <s v="First Class"/>
    <x v="0"/>
    <s v="United States"/>
    <s v="Temecula"/>
    <x v="1"/>
    <n v="92592"/>
    <x v="1"/>
    <x v="2"/>
    <x v="11"/>
    <n v="248.85"/>
    <n v="5"/>
    <n v="0"/>
    <n v="27.3735"/>
  </r>
  <r>
    <s v="First Class"/>
    <x v="0"/>
    <s v="United States"/>
    <s v="Temecula"/>
    <x v="1"/>
    <n v="92592"/>
    <x v="1"/>
    <x v="2"/>
    <x v="11"/>
    <n v="36.24"/>
    <n v="1"/>
    <n v="0"/>
    <n v="15.220800000000001"/>
  </r>
  <r>
    <s v="Standard Class"/>
    <x v="0"/>
    <s v="United States"/>
    <s v="Sterling Heights"/>
    <x v="12"/>
    <n v="48310"/>
    <x v="2"/>
    <x v="1"/>
    <x v="6"/>
    <n v="11.68"/>
    <n v="2"/>
    <n v="0"/>
    <n v="3.504"/>
  </r>
  <r>
    <s v="Standard Class"/>
    <x v="0"/>
    <s v="United States"/>
    <s v="San Diego"/>
    <x v="1"/>
    <n v="92024"/>
    <x v="1"/>
    <x v="1"/>
    <x v="14"/>
    <n v="11.91"/>
    <n v="3"/>
    <n v="0"/>
    <n v="0.1191"/>
  </r>
  <r>
    <s v="Standard Class"/>
    <x v="0"/>
    <s v="United States"/>
    <s v="San Diego"/>
    <x v="1"/>
    <n v="92024"/>
    <x v="1"/>
    <x v="0"/>
    <x v="5"/>
    <n v="3.48"/>
    <n v="2"/>
    <n v="0"/>
    <n v="1.1135999999999999"/>
  </r>
  <r>
    <s v="First Class"/>
    <x v="0"/>
    <s v="United States"/>
    <s v="Dallas"/>
    <x v="5"/>
    <n v="75081"/>
    <x v="2"/>
    <x v="1"/>
    <x v="8"/>
    <n v="30.96"/>
    <n v="8"/>
    <n v="0.8"/>
    <n v="-52.631999999999998"/>
  </r>
  <r>
    <s v="First Class"/>
    <x v="2"/>
    <s v="United States"/>
    <s v="New York City"/>
    <x v="15"/>
    <n v="10035"/>
    <x v="3"/>
    <x v="2"/>
    <x v="15"/>
    <n v="1704.89"/>
    <n v="11"/>
    <n v="0"/>
    <n v="767.20050000000003"/>
  </r>
  <r>
    <s v="Standard Class"/>
    <x v="0"/>
    <s v="United States"/>
    <s v="Phoenix"/>
    <x v="16"/>
    <n v="85023"/>
    <x v="1"/>
    <x v="1"/>
    <x v="8"/>
    <n v="19.193999999999999"/>
    <n v="7"/>
    <n v="0.7"/>
    <n v="-12.795999999999999"/>
  </r>
  <r>
    <s v="Standard Class"/>
    <x v="0"/>
    <s v="United States"/>
    <s v="Phoenix"/>
    <x v="16"/>
    <n v="85023"/>
    <x v="1"/>
    <x v="1"/>
    <x v="9"/>
    <n v="121.792"/>
    <n v="4"/>
    <n v="0.2"/>
    <n v="13.701599999999999"/>
  </r>
  <r>
    <s v="Same Day"/>
    <x v="1"/>
    <s v="United States"/>
    <s v="San Francisco"/>
    <x v="1"/>
    <n v="94122"/>
    <x v="1"/>
    <x v="2"/>
    <x v="15"/>
    <n v="1919.9760000000001"/>
    <n v="3"/>
    <n v="0.2"/>
    <n v="215.9973"/>
  </r>
  <r>
    <s v="Standard Class"/>
    <x v="0"/>
    <s v="United States"/>
    <s v="Philadelphia"/>
    <x v="9"/>
    <n v="19140"/>
    <x v="3"/>
    <x v="1"/>
    <x v="8"/>
    <n v="50.997"/>
    <n v="1"/>
    <n v="0.7"/>
    <n v="-40.797600000000003"/>
  </r>
  <r>
    <s v="Standard Class"/>
    <x v="0"/>
    <s v="United States"/>
    <s v="Philadelphia"/>
    <x v="9"/>
    <n v="19140"/>
    <x v="3"/>
    <x v="1"/>
    <x v="4"/>
    <n v="76.792000000000002"/>
    <n v="1"/>
    <n v="0.2"/>
    <n v="-16.318300000000001"/>
  </r>
  <r>
    <s v="Standard Class"/>
    <x v="0"/>
    <s v="United States"/>
    <s v="Philadelphia"/>
    <x v="9"/>
    <n v="19140"/>
    <x v="3"/>
    <x v="2"/>
    <x v="7"/>
    <n v="539.96400000000006"/>
    <n v="6"/>
    <n v="0.4"/>
    <n v="-107.9928"/>
  </r>
  <r>
    <s v="Standard Class"/>
    <x v="0"/>
    <s v="United States"/>
    <s v="Philadelphia"/>
    <x v="9"/>
    <n v="19140"/>
    <x v="3"/>
    <x v="0"/>
    <x v="5"/>
    <n v="60.311999999999998"/>
    <n v="3"/>
    <n v="0.2"/>
    <n v="5.2773000000000003"/>
  </r>
  <r>
    <s v="Standard Class"/>
    <x v="0"/>
    <s v="United States"/>
    <s v="Philadelphia"/>
    <x v="9"/>
    <n v="19140"/>
    <x v="3"/>
    <x v="1"/>
    <x v="8"/>
    <n v="1.944"/>
    <n v="3"/>
    <n v="0.7"/>
    <n v="-1.4256"/>
  </r>
  <r>
    <s v="Second Class"/>
    <x v="1"/>
    <s v="United States"/>
    <s v="Laredo"/>
    <x v="5"/>
    <n v="78041"/>
    <x v="2"/>
    <x v="1"/>
    <x v="12"/>
    <n v="12.984"/>
    <n v="3"/>
    <n v="0.2"/>
    <n v="4.7066999999999997"/>
  </r>
  <r>
    <s v="Second Class"/>
    <x v="1"/>
    <s v="United States"/>
    <s v="Laredo"/>
    <x v="5"/>
    <n v="78041"/>
    <x v="2"/>
    <x v="2"/>
    <x v="7"/>
    <n v="217.584"/>
    <n v="2"/>
    <n v="0.2"/>
    <n v="19.038599999999999"/>
  </r>
  <r>
    <s v="Second Class"/>
    <x v="1"/>
    <s v="United States"/>
    <s v="Laredo"/>
    <x v="5"/>
    <n v="78041"/>
    <x v="2"/>
    <x v="2"/>
    <x v="7"/>
    <n v="328.77600000000001"/>
    <n v="3"/>
    <n v="0.2"/>
    <n v="28.767900000000001"/>
  </r>
  <r>
    <s v="Second Class"/>
    <x v="1"/>
    <s v="United States"/>
    <s v="Laredo"/>
    <x v="5"/>
    <n v="78041"/>
    <x v="2"/>
    <x v="1"/>
    <x v="8"/>
    <n v="2.286"/>
    <n v="3"/>
    <n v="0.8"/>
    <n v="-3.6576"/>
  </r>
  <r>
    <s v="Second Class"/>
    <x v="1"/>
    <s v="United States"/>
    <s v="Laredo"/>
    <x v="5"/>
    <n v="78041"/>
    <x v="2"/>
    <x v="2"/>
    <x v="11"/>
    <n v="47.984000000000002"/>
    <n v="2"/>
    <n v="0.2"/>
    <n v="14.395200000000001"/>
  </r>
  <r>
    <s v="Standard Class"/>
    <x v="1"/>
    <s v="United States"/>
    <s v="New York City"/>
    <x v="15"/>
    <n v="10009"/>
    <x v="3"/>
    <x v="1"/>
    <x v="8"/>
    <n v="25.344000000000001"/>
    <n v="6"/>
    <n v="0.2"/>
    <n v="8.8704000000000001"/>
  </r>
  <r>
    <s v="Standard Class"/>
    <x v="0"/>
    <s v="United States"/>
    <s v="New York City"/>
    <x v="15"/>
    <n v="10035"/>
    <x v="3"/>
    <x v="1"/>
    <x v="8"/>
    <n v="232.4"/>
    <n v="5"/>
    <n v="0.2"/>
    <n v="78.435000000000002"/>
  </r>
  <r>
    <s v="Second Class"/>
    <x v="1"/>
    <s v="United States"/>
    <s v="Gulfport"/>
    <x v="35"/>
    <n v="39503"/>
    <x v="0"/>
    <x v="0"/>
    <x v="5"/>
    <n v="86.45"/>
    <n v="7"/>
    <n v="0"/>
    <n v="38.037999999999997"/>
  </r>
  <r>
    <s v="Standard Class"/>
    <x v="0"/>
    <s v="United States"/>
    <s v="San Diego"/>
    <x v="1"/>
    <n v="92037"/>
    <x v="1"/>
    <x v="0"/>
    <x v="1"/>
    <n v="603.91999999999996"/>
    <n v="5"/>
    <n v="0.2"/>
    <n v="45.293999999999997"/>
  </r>
  <r>
    <s v="Standard Class"/>
    <x v="0"/>
    <s v="United States"/>
    <s v="San Diego"/>
    <x v="1"/>
    <n v="92037"/>
    <x v="1"/>
    <x v="1"/>
    <x v="10"/>
    <n v="81.98"/>
    <n v="2"/>
    <n v="0"/>
    <n v="40.170200000000001"/>
  </r>
  <r>
    <s v="Standard Class"/>
    <x v="0"/>
    <s v="United States"/>
    <s v="Oceanside"/>
    <x v="15"/>
    <n v="11572"/>
    <x v="3"/>
    <x v="0"/>
    <x v="1"/>
    <n v="271.76400000000001"/>
    <n v="2"/>
    <n v="0.1"/>
    <n v="48.313600000000001"/>
  </r>
  <r>
    <s v="Standard Class"/>
    <x v="0"/>
    <s v="United States"/>
    <s v="Oceanside"/>
    <x v="15"/>
    <n v="11572"/>
    <x v="3"/>
    <x v="1"/>
    <x v="8"/>
    <n v="14.375999999999999"/>
    <n v="3"/>
    <n v="0.2"/>
    <n v="4.8518999999999997"/>
  </r>
  <r>
    <s v="Second Class"/>
    <x v="1"/>
    <s v="United States"/>
    <s v="Round Rock"/>
    <x v="5"/>
    <n v="78664"/>
    <x v="2"/>
    <x v="0"/>
    <x v="5"/>
    <n v="341.96"/>
    <n v="5"/>
    <n v="0.6"/>
    <n v="-427.45"/>
  </r>
  <r>
    <s v="Standard Class"/>
    <x v="0"/>
    <s v="United States"/>
    <s v="Redlands"/>
    <x v="1"/>
    <n v="92374"/>
    <x v="1"/>
    <x v="1"/>
    <x v="6"/>
    <n v="181.35"/>
    <n v="9"/>
    <n v="0"/>
    <n v="48.964500000000001"/>
  </r>
  <r>
    <s v="Standard Class"/>
    <x v="0"/>
    <s v="United States"/>
    <s v="Redlands"/>
    <x v="1"/>
    <n v="92374"/>
    <x v="1"/>
    <x v="1"/>
    <x v="2"/>
    <n v="8.64"/>
    <n v="3"/>
    <n v="0"/>
    <n v="4.2336"/>
  </r>
  <r>
    <s v="Standard Class"/>
    <x v="0"/>
    <s v="United States"/>
    <s v="Columbia"/>
    <x v="18"/>
    <n v="38401"/>
    <x v="0"/>
    <x v="1"/>
    <x v="9"/>
    <n v="43.512"/>
    <n v="7"/>
    <n v="0.2"/>
    <n v="3.8073000000000001"/>
  </r>
  <r>
    <s v="Standard Class"/>
    <x v="0"/>
    <s v="United States"/>
    <s v="Columbia"/>
    <x v="18"/>
    <n v="38401"/>
    <x v="0"/>
    <x v="0"/>
    <x v="1"/>
    <n v="662.88"/>
    <n v="3"/>
    <n v="0.2"/>
    <n v="74.573999999999998"/>
  </r>
  <r>
    <s v="Standard Class"/>
    <x v="0"/>
    <s v="United States"/>
    <s v="Columbia"/>
    <x v="18"/>
    <n v="38401"/>
    <x v="0"/>
    <x v="1"/>
    <x v="10"/>
    <n v="25.92"/>
    <n v="5"/>
    <n v="0.2"/>
    <n v="9.0719999999999992"/>
  </r>
  <r>
    <s v="Standard Class"/>
    <x v="2"/>
    <s v="United States"/>
    <s v="New York City"/>
    <x v="15"/>
    <n v="10009"/>
    <x v="3"/>
    <x v="1"/>
    <x v="9"/>
    <n v="68.94"/>
    <n v="3"/>
    <n v="0"/>
    <n v="20.681999999999999"/>
  </r>
  <r>
    <s v="Standard Class"/>
    <x v="2"/>
    <s v="United States"/>
    <s v="New York City"/>
    <x v="15"/>
    <n v="10009"/>
    <x v="3"/>
    <x v="0"/>
    <x v="5"/>
    <n v="128.82"/>
    <n v="3"/>
    <n v="0"/>
    <n v="50.239800000000002"/>
  </r>
  <r>
    <s v="Standard Class"/>
    <x v="0"/>
    <s v="United States"/>
    <s v="Houston"/>
    <x v="5"/>
    <n v="77095"/>
    <x v="2"/>
    <x v="1"/>
    <x v="8"/>
    <n v="896.99"/>
    <n v="5"/>
    <n v="0.8"/>
    <n v="-1480.0335"/>
  </r>
  <r>
    <s v="Standard Class"/>
    <x v="0"/>
    <s v="United States"/>
    <s v="Houston"/>
    <x v="5"/>
    <n v="77095"/>
    <x v="2"/>
    <x v="1"/>
    <x v="8"/>
    <n v="1.234"/>
    <n v="1"/>
    <n v="0.8"/>
    <n v="-1.9743999999999999"/>
  </r>
  <r>
    <s v="Standard Class"/>
    <x v="0"/>
    <s v="United States"/>
    <s v="Houston"/>
    <x v="5"/>
    <n v="77095"/>
    <x v="2"/>
    <x v="1"/>
    <x v="6"/>
    <n v="67.56"/>
    <n v="3"/>
    <n v="0.2"/>
    <n v="6.7560000000000002"/>
  </r>
  <r>
    <s v="Standard Class"/>
    <x v="0"/>
    <s v="United States"/>
    <s v="Houston"/>
    <x v="5"/>
    <n v="77095"/>
    <x v="2"/>
    <x v="1"/>
    <x v="10"/>
    <n v="21.72"/>
    <n v="5"/>
    <n v="0.2"/>
    <n v="7.8734999999999999"/>
  </r>
  <r>
    <s v="Standard Class"/>
    <x v="0"/>
    <s v="United States"/>
    <s v="Houston"/>
    <x v="5"/>
    <n v="77095"/>
    <x v="2"/>
    <x v="1"/>
    <x v="10"/>
    <n v="262.33600000000001"/>
    <n v="8"/>
    <n v="0.2"/>
    <n v="95.096800000000002"/>
  </r>
  <r>
    <s v="Standard Class"/>
    <x v="0"/>
    <s v="United States"/>
    <s v="Houston"/>
    <x v="5"/>
    <n v="77095"/>
    <x v="2"/>
    <x v="2"/>
    <x v="7"/>
    <n v="148.47999999999999"/>
    <n v="2"/>
    <n v="0.2"/>
    <n v="16.704000000000001"/>
  </r>
  <r>
    <s v="Standard Class"/>
    <x v="0"/>
    <s v="United States"/>
    <s v="Houston"/>
    <x v="5"/>
    <n v="77095"/>
    <x v="2"/>
    <x v="2"/>
    <x v="7"/>
    <n v="241.17599999999999"/>
    <n v="3"/>
    <n v="0.2"/>
    <n v="15.073499999999999"/>
  </r>
  <r>
    <s v="Standard Class"/>
    <x v="2"/>
    <s v="United States"/>
    <s v="Chicago"/>
    <x v="10"/>
    <n v="60653"/>
    <x v="2"/>
    <x v="2"/>
    <x v="11"/>
    <n v="227.976"/>
    <n v="3"/>
    <n v="0.2"/>
    <n v="28.497"/>
  </r>
  <r>
    <s v="Standard Class"/>
    <x v="2"/>
    <s v="United States"/>
    <s v="Chicago"/>
    <x v="10"/>
    <n v="60653"/>
    <x v="2"/>
    <x v="2"/>
    <x v="7"/>
    <n v="52.68"/>
    <n v="3"/>
    <n v="0.2"/>
    <n v="19.754999999999999"/>
  </r>
  <r>
    <s v="Standard Class"/>
    <x v="2"/>
    <s v="United States"/>
    <s v="Chicago"/>
    <x v="10"/>
    <n v="60653"/>
    <x v="2"/>
    <x v="0"/>
    <x v="5"/>
    <n v="2.032"/>
    <n v="1"/>
    <n v="0.6"/>
    <n v="-1.3208"/>
  </r>
  <r>
    <s v="First Class"/>
    <x v="0"/>
    <s v="United States"/>
    <s v="Oakland"/>
    <x v="1"/>
    <n v="94601"/>
    <x v="1"/>
    <x v="1"/>
    <x v="6"/>
    <n v="17.12"/>
    <n v="4"/>
    <n v="0"/>
    <n v="4.9648000000000003"/>
  </r>
  <r>
    <s v="First Class"/>
    <x v="0"/>
    <s v="United States"/>
    <s v="Oakland"/>
    <x v="1"/>
    <n v="94601"/>
    <x v="1"/>
    <x v="2"/>
    <x v="7"/>
    <n v="431.96800000000002"/>
    <n v="4"/>
    <n v="0.2"/>
    <n v="37.797199999999997"/>
  </r>
  <r>
    <s v="First Class"/>
    <x v="0"/>
    <s v="United States"/>
    <s v="Oakland"/>
    <x v="1"/>
    <n v="94601"/>
    <x v="1"/>
    <x v="0"/>
    <x v="5"/>
    <n v="129.91999999999999"/>
    <n v="4"/>
    <n v="0"/>
    <n v="10.393599999999999"/>
  </r>
  <r>
    <s v="First Class"/>
    <x v="0"/>
    <s v="United States"/>
    <s v="Oakland"/>
    <x v="1"/>
    <n v="94601"/>
    <x v="1"/>
    <x v="0"/>
    <x v="3"/>
    <n v="568.72799999999995"/>
    <n v="3"/>
    <n v="0.2"/>
    <n v="28.436399999999999"/>
  </r>
  <r>
    <s v="First Class"/>
    <x v="0"/>
    <s v="United States"/>
    <s v="Oakland"/>
    <x v="1"/>
    <n v="94601"/>
    <x v="1"/>
    <x v="1"/>
    <x v="8"/>
    <n v="117.14400000000001"/>
    <n v="9"/>
    <n v="0.2"/>
    <n v="42.464700000000001"/>
  </r>
  <r>
    <s v="First Class"/>
    <x v="0"/>
    <s v="United States"/>
    <s v="Oakland"/>
    <x v="1"/>
    <n v="94601"/>
    <x v="1"/>
    <x v="1"/>
    <x v="9"/>
    <n v="203.52"/>
    <n v="3"/>
    <n v="0"/>
    <n v="54.950400000000002"/>
  </r>
  <r>
    <s v="First Class"/>
    <x v="0"/>
    <s v="United States"/>
    <s v="Oakland"/>
    <x v="1"/>
    <n v="94601"/>
    <x v="1"/>
    <x v="1"/>
    <x v="2"/>
    <n v="51.75"/>
    <n v="5"/>
    <n v="0"/>
    <n v="24.84"/>
  </r>
  <r>
    <s v="Second Class"/>
    <x v="0"/>
    <s v="United States"/>
    <s v="Quincy"/>
    <x v="31"/>
    <n v="2169"/>
    <x v="3"/>
    <x v="1"/>
    <x v="10"/>
    <n v="122.97"/>
    <n v="3"/>
    <n v="0"/>
    <n v="60.255299999999998"/>
  </r>
  <r>
    <s v="Second Class"/>
    <x v="0"/>
    <s v="United States"/>
    <s v="Quincy"/>
    <x v="31"/>
    <n v="2169"/>
    <x v="3"/>
    <x v="0"/>
    <x v="3"/>
    <n v="244.61500000000001"/>
    <n v="1"/>
    <n v="0.3"/>
    <n v="20.966999999999999"/>
  </r>
  <r>
    <s v="Second Class"/>
    <x v="0"/>
    <s v="United States"/>
    <s v="Quincy"/>
    <x v="31"/>
    <n v="2169"/>
    <x v="3"/>
    <x v="2"/>
    <x v="7"/>
    <n v="59.97"/>
    <n v="3"/>
    <n v="0"/>
    <n v="28.785599999999999"/>
  </r>
  <r>
    <s v="Second Class"/>
    <x v="0"/>
    <s v="United States"/>
    <s v="Quincy"/>
    <x v="31"/>
    <n v="2169"/>
    <x v="3"/>
    <x v="1"/>
    <x v="10"/>
    <n v="81.540000000000006"/>
    <n v="9"/>
    <n v="0"/>
    <n v="36.692999999999998"/>
  </r>
  <r>
    <s v="Second Class"/>
    <x v="0"/>
    <s v="United States"/>
    <s v="Quincy"/>
    <x v="31"/>
    <n v="2169"/>
    <x v="3"/>
    <x v="1"/>
    <x v="13"/>
    <n v="11.68"/>
    <n v="4"/>
    <n v="0"/>
    <n v="5.2560000000000002"/>
  </r>
  <r>
    <s v="Second Class"/>
    <x v="0"/>
    <s v="United States"/>
    <s v="Quincy"/>
    <x v="31"/>
    <n v="2169"/>
    <x v="3"/>
    <x v="1"/>
    <x v="8"/>
    <n v="29"/>
    <n v="5"/>
    <n v="0"/>
    <n v="13.92"/>
  </r>
  <r>
    <s v="Standard Class"/>
    <x v="1"/>
    <s v="United States"/>
    <s v="Yucaipa"/>
    <x v="1"/>
    <n v="92399"/>
    <x v="1"/>
    <x v="1"/>
    <x v="6"/>
    <n v="50.8"/>
    <n v="5"/>
    <n v="0"/>
    <n v="13.208"/>
  </r>
  <r>
    <s v="First Class"/>
    <x v="1"/>
    <s v="United States"/>
    <s v="Chicago"/>
    <x v="10"/>
    <n v="60623"/>
    <x v="2"/>
    <x v="1"/>
    <x v="8"/>
    <n v="16.03"/>
    <n v="5"/>
    <n v="0.8"/>
    <n v="-25.648"/>
  </r>
  <r>
    <s v="Standard Class"/>
    <x v="0"/>
    <s v="United States"/>
    <s v="Seattle"/>
    <x v="4"/>
    <n v="98105"/>
    <x v="1"/>
    <x v="1"/>
    <x v="8"/>
    <n v="15.712"/>
    <n v="4"/>
    <n v="0.2"/>
    <n v="5.6955999999999998"/>
  </r>
  <r>
    <s v="Standard Class"/>
    <x v="0"/>
    <s v="United States"/>
    <s v="New York City"/>
    <x v="15"/>
    <n v="10024"/>
    <x v="3"/>
    <x v="2"/>
    <x v="11"/>
    <n v="89.97"/>
    <n v="3"/>
    <n v="0"/>
    <n v="18.893699999999999"/>
  </r>
  <r>
    <s v="Standard Class"/>
    <x v="1"/>
    <s v="United States"/>
    <s v="San Diego"/>
    <x v="1"/>
    <n v="92037"/>
    <x v="1"/>
    <x v="0"/>
    <x v="0"/>
    <n v="435.99900000000002"/>
    <n v="3"/>
    <n v="0.15"/>
    <n v="20.517600000000002"/>
  </r>
  <r>
    <s v="Standard Class"/>
    <x v="1"/>
    <s v="United States"/>
    <s v="San Diego"/>
    <x v="1"/>
    <n v="92037"/>
    <x v="1"/>
    <x v="2"/>
    <x v="7"/>
    <n v="83.983999999999995"/>
    <n v="2"/>
    <n v="0.2"/>
    <n v="31.494"/>
  </r>
  <r>
    <s v="Standard Class"/>
    <x v="1"/>
    <s v="United States"/>
    <s v="Bristol"/>
    <x v="29"/>
    <n v="6010"/>
    <x v="3"/>
    <x v="2"/>
    <x v="7"/>
    <n v="359.98"/>
    <n v="2"/>
    <n v="0"/>
    <n v="93.594800000000006"/>
  </r>
  <r>
    <s v="Standard Class"/>
    <x v="1"/>
    <s v="United States"/>
    <s v="Bristol"/>
    <x v="29"/>
    <n v="6010"/>
    <x v="3"/>
    <x v="0"/>
    <x v="3"/>
    <n v="70.56"/>
    <n v="1"/>
    <n v="0.3"/>
    <n v="-4.032"/>
  </r>
  <r>
    <s v="Standard Class"/>
    <x v="1"/>
    <s v="United States"/>
    <s v="Bristol"/>
    <x v="29"/>
    <n v="6010"/>
    <x v="3"/>
    <x v="1"/>
    <x v="8"/>
    <n v="20.88"/>
    <n v="2"/>
    <n v="0"/>
    <n v="9.6047999999999991"/>
  </r>
  <r>
    <s v="Standard Class"/>
    <x v="1"/>
    <s v="United States"/>
    <s v="Bristol"/>
    <x v="29"/>
    <n v="6010"/>
    <x v="3"/>
    <x v="1"/>
    <x v="8"/>
    <n v="3.81"/>
    <n v="1"/>
    <n v="0"/>
    <n v="1.8288"/>
  </r>
  <r>
    <s v="Standard Class"/>
    <x v="2"/>
    <s v="United States"/>
    <s v="Chicago"/>
    <x v="10"/>
    <n v="60610"/>
    <x v="2"/>
    <x v="1"/>
    <x v="10"/>
    <n v="73.007999999999996"/>
    <n v="9"/>
    <n v="0.2"/>
    <n v="26.465399999999999"/>
  </r>
  <r>
    <s v="Standard Class"/>
    <x v="0"/>
    <s v="United States"/>
    <s v="Chicago"/>
    <x v="10"/>
    <n v="60610"/>
    <x v="2"/>
    <x v="1"/>
    <x v="8"/>
    <n v="3.2080000000000002"/>
    <n v="2"/>
    <n v="0.8"/>
    <n v="-5.2931999999999997"/>
  </r>
  <r>
    <s v="Standard Class"/>
    <x v="0"/>
    <s v="United States"/>
    <s v="Chicago"/>
    <x v="10"/>
    <n v="60610"/>
    <x v="2"/>
    <x v="2"/>
    <x v="11"/>
    <n v="26.175999999999998"/>
    <n v="2"/>
    <n v="0.2"/>
    <n v="-3.2719999999999998"/>
  </r>
  <r>
    <s v="Second Class"/>
    <x v="2"/>
    <s v="United States"/>
    <s v="New York City"/>
    <x v="15"/>
    <n v="10024"/>
    <x v="3"/>
    <x v="1"/>
    <x v="10"/>
    <n v="30.44"/>
    <n v="4"/>
    <n v="0"/>
    <n v="14.306800000000001"/>
  </r>
  <r>
    <s v="Second Class"/>
    <x v="2"/>
    <s v="United States"/>
    <s v="New York City"/>
    <x v="15"/>
    <n v="10024"/>
    <x v="3"/>
    <x v="0"/>
    <x v="5"/>
    <n v="35.28"/>
    <n v="3"/>
    <n v="0"/>
    <n v="11.995200000000001"/>
  </r>
  <r>
    <s v="Standard Class"/>
    <x v="2"/>
    <s v="United States"/>
    <s v="Revere"/>
    <x v="31"/>
    <n v="2151"/>
    <x v="3"/>
    <x v="1"/>
    <x v="10"/>
    <n v="19.440000000000001"/>
    <n v="3"/>
    <n v="0"/>
    <n v="9.3312000000000008"/>
  </r>
  <r>
    <s v="Standard Class"/>
    <x v="2"/>
    <s v="United States"/>
    <s v="Revere"/>
    <x v="31"/>
    <n v="2151"/>
    <x v="3"/>
    <x v="1"/>
    <x v="8"/>
    <n v="37.880000000000003"/>
    <n v="2"/>
    <n v="0"/>
    <n v="18.940000000000001"/>
  </r>
  <r>
    <s v="Second Class"/>
    <x v="1"/>
    <s v="United States"/>
    <s v="Houston"/>
    <x v="5"/>
    <n v="77036"/>
    <x v="2"/>
    <x v="0"/>
    <x v="5"/>
    <n v="9.5519999999999996"/>
    <n v="3"/>
    <n v="0.6"/>
    <n v="-3.8208000000000002"/>
  </r>
  <r>
    <s v="First Class"/>
    <x v="0"/>
    <s v="United States"/>
    <s v="Mission Viejo"/>
    <x v="1"/>
    <n v="92691"/>
    <x v="1"/>
    <x v="0"/>
    <x v="0"/>
    <n v="290.666"/>
    <n v="2"/>
    <n v="0.15"/>
    <n v="3.4196"/>
  </r>
  <r>
    <s v="Standard Class"/>
    <x v="1"/>
    <s v="United States"/>
    <s v="Dallas"/>
    <x v="5"/>
    <n v="75217"/>
    <x v="2"/>
    <x v="1"/>
    <x v="10"/>
    <n v="10.368"/>
    <n v="2"/>
    <n v="0.2"/>
    <n v="3.6288"/>
  </r>
  <r>
    <s v="Standard Class"/>
    <x v="1"/>
    <s v="United States"/>
    <s v="Dallas"/>
    <x v="5"/>
    <n v="75217"/>
    <x v="2"/>
    <x v="1"/>
    <x v="10"/>
    <n v="14.352"/>
    <n v="3"/>
    <n v="0.2"/>
    <n v="4.4850000000000003"/>
  </r>
  <r>
    <s v="Standard Class"/>
    <x v="0"/>
    <s v="United States"/>
    <s v="Las Vegas"/>
    <x v="33"/>
    <n v="89115"/>
    <x v="1"/>
    <x v="0"/>
    <x v="0"/>
    <n v="141.96"/>
    <n v="2"/>
    <n v="0"/>
    <n v="41.168399999999998"/>
  </r>
  <r>
    <s v="Standard Class"/>
    <x v="0"/>
    <s v="United States"/>
    <s v="Las Vegas"/>
    <x v="33"/>
    <n v="89115"/>
    <x v="1"/>
    <x v="1"/>
    <x v="8"/>
    <n v="66.048000000000002"/>
    <n v="4"/>
    <n v="0.2"/>
    <n v="23.116800000000001"/>
  </r>
  <r>
    <s v="Same Day"/>
    <x v="0"/>
    <s v="United States"/>
    <s v="Norman"/>
    <x v="26"/>
    <n v="73071"/>
    <x v="2"/>
    <x v="2"/>
    <x v="11"/>
    <n v="1287.45"/>
    <n v="5"/>
    <n v="0"/>
    <n v="244.6155"/>
  </r>
  <r>
    <s v="Standard Class"/>
    <x v="0"/>
    <s v="United States"/>
    <s v="San Francisco"/>
    <x v="1"/>
    <n v="94122"/>
    <x v="1"/>
    <x v="1"/>
    <x v="8"/>
    <n v="25.824000000000002"/>
    <n v="6"/>
    <n v="0.2"/>
    <n v="9.0383999999999993"/>
  </r>
  <r>
    <s v="Standard Class"/>
    <x v="0"/>
    <s v="United States"/>
    <s v="San Francisco"/>
    <x v="1"/>
    <n v="94122"/>
    <x v="1"/>
    <x v="1"/>
    <x v="9"/>
    <n v="160.96"/>
    <n v="2"/>
    <n v="0"/>
    <n v="48.287999999999997"/>
  </r>
  <r>
    <s v="Standard Class"/>
    <x v="0"/>
    <s v="United States"/>
    <s v="Hempstead"/>
    <x v="15"/>
    <n v="11550"/>
    <x v="3"/>
    <x v="0"/>
    <x v="5"/>
    <n v="28.44"/>
    <n v="3"/>
    <n v="0"/>
    <n v="11.375999999999999"/>
  </r>
  <r>
    <s v="Standard Class"/>
    <x v="0"/>
    <s v="United States"/>
    <s v="Hempstead"/>
    <x v="15"/>
    <n v="11550"/>
    <x v="3"/>
    <x v="0"/>
    <x v="1"/>
    <n v="364.41"/>
    <n v="5"/>
    <n v="0.1"/>
    <n v="8.0980000000000008"/>
  </r>
  <r>
    <s v="Standard Class"/>
    <x v="0"/>
    <s v="United States"/>
    <s v="Hempstead"/>
    <x v="15"/>
    <n v="11550"/>
    <x v="3"/>
    <x v="2"/>
    <x v="7"/>
    <n v="39.96"/>
    <n v="4"/>
    <n v="0"/>
    <n v="10.3896"/>
  </r>
  <r>
    <s v="Standard Class"/>
    <x v="0"/>
    <s v="United States"/>
    <s v="Hempstead"/>
    <x v="15"/>
    <n v="11550"/>
    <x v="3"/>
    <x v="0"/>
    <x v="1"/>
    <n v="361.76400000000001"/>
    <n v="2"/>
    <n v="0.1"/>
    <n v="68.333200000000005"/>
  </r>
  <r>
    <s v="First Class"/>
    <x v="1"/>
    <s v="United States"/>
    <s v="Conroe"/>
    <x v="5"/>
    <n v="77301"/>
    <x v="2"/>
    <x v="1"/>
    <x v="4"/>
    <n v="111.672"/>
    <n v="9"/>
    <n v="0.2"/>
    <n v="6.9794999999999998"/>
  </r>
  <r>
    <s v="Standard Class"/>
    <x v="2"/>
    <s v="United States"/>
    <s v="Houston"/>
    <x v="5"/>
    <n v="77095"/>
    <x v="2"/>
    <x v="1"/>
    <x v="8"/>
    <n v="13.776"/>
    <n v="6"/>
    <n v="0.8"/>
    <n v="-22.041599999999999"/>
  </r>
  <r>
    <s v="Standard Class"/>
    <x v="2"/>
    <s v="United States"/>
    <s v="Houston"/>
    <x v="5"/>
    <n v="77095"/>
    <x v="2"/>
    <x v="1"/>
    <x v="10"/>
    <n v="10.272"/>
    <n v="3"/>
    <n v="0.2"/>
    <n v="3.21"/>
  </r>
  <r>
    <s v="First Class"/>
    <x v="0"/>
    <s v="United States"/>
    <s v="Philadelphia"/>
    <x v="9"/>
    <n v="19120"/>
    <x v="3"/>
    <x v="0"/>
    <x v="5"/>
    <n v="24.047999999999998"/>
    <n v="9"/>
    <n v="0.2"/>
    <n v="7.2144000000000004"/>
  </r>
  <r>
    <s v="First Class"/>
    <x v="1"/>
    <s v="United States"/>
    <s v="Tampa"/>
    <x v="2"/>
    <n v="33614"/>
    <x v="0"/>
    <x v="1"/>
    <x v="12"/>
    <n v="2.8959999999999999"/>
    <n v="1"/>
    <n v="0.2"/>
    <n v="0.97740000000000005"/>
  </r>
  <r>
    <s v="Second Class"/>
    <x v="0"/>
    <s v="United States"/>
    <s v="New York City"/>
    <x v="15"/>
    <n v="10035"/>
    <x v="3"/>
    <x v="1"/>
    <x v="12"/>
    <n v="17.940000000000001"/>
    <n v="3"/>
    <n v="0"/>
    <n v="8.7905999999999995"/>
  </r>
  <r>
    <s v="Second Class"/>
    <x v="0"/>
    <s v="United States"/>
    <s v="New York City"/>
    <x v="15"/>
    <n v="10035"/>
    <x v="3"/>
    <x v="0"/>
    <x v="1"/>
    <n v="384.17399999999998"/>
    <n v="7"/>
    <n v="0.1"/>
    <n v="29.880199999999999"/>
  </r>
  <r>
    <s v="Second Class"/>
    <x v="0"/>
    <s v="United States"/>
    <s v="New York City"/>
    <x v="15"/>
    <n v="10035"/>
    <x v="3"/>
    <x v="2"/>
    <x v="7"/>
    <n v="1799.75"/>
    <n v="5"/>
    <n v="0"/>
    <n v="539.92499999999995"/>
  </r>
  <r>
    <s v="Standard Class"/>
    <x v="2"/>
    <s v="United States"/>
    <s v="Charlotte"/>
    <x v="3"/>
    <n v="28205"/>
    <x v="0"/>
    <x v="1"/>
    <x v="4"/>
    <n v="580.67200000000003"/>
    <n v="4"/>
    <n v="0.2"/>
    <n v="65.325599999999994"/>
  </r>
  <r>
    <s v="Standard Class"/>
    <x v="2"/>
    <s v="United States"/>
    <s v="Charlotte"/>
    <x v="3"/>
    <n v="28205"/>
    <x v="0"/>
    <x v="1"/>
    <x v="13"/>
    <n v="18.936"/>
    <n v="3"/>
    <n v="0.2"/>
    <n v="5.9175000000000004"/>
  </r>
  <r>
    <s v="Standard Class"/>
    <x v="2"/>
    <s v="United States"/>
    <s v="Charlotte"/>
    <x v="3"/>
    <n v="28205"/>
    <x v="0"/>
    <x v="2"/>
    <x v="7"/>
    <n v="222.38399999999999"/>
    <n v="2"/>
    <n v="0.2"/>
    <n v="16.678799999999999"/>
  </r>
  <r>
    <s v="Standard Class"/>
    <x v="2"/>
    <s v="United States"/>
    <s v="Charlotte"/>
    <x v="3"/>
    <n v="28205"/>
    <x v="0"/>
    <x v="1"/>
    <x v="8"/>
    <n v="50.454000000000001"/>
    <n v="6"/>
    <n v="0.7"/>
    <n v="-33.636000000000003"/>
  </r>
  <r>
    <s v="Standard Class"/>
    <x v="2"/>
    <s v="United States"/>
    <s v="Charlotte"/>
    <x v="3"/>
    <n v="28205"/>
    <x v="0"/>
    <x v="0"/>
    <x v="3"/>
    <n v="154.76400000000001"/>
    <n v="3"/>
    <n v="0.4"/>
    <n v="-36.111600000000003"/>
  </r>
  <r>
    <s v="Second Class"/>
    <x v="0"/>
    <s v="United States"/>
    <s v="Dallas"/>
    <x v="5"/>
    <n v="75081"/>
    <x v="2"/>
    <x v="1"/>
    <x v="10"/>
    <n v="6.8479999999999999"/>
    <n v="2"/>
    <n v="0.2"/>
    <n v="2.14"/>
  </r>
  <r>
    <s v="Standard Class"/>
    <x v="2"/>
    <s v="United States"/>
    <s v="Seattle"/>
    <x v="4"/>
    <n v="98103"/>
    <x v="1"/>
    <x v="2"/>
    <x v="7"/>
    <n v="1091.1679999999999"/>
    <n v="4"/>
    <n v="0.2"/>
    <n v="68.197999999999993"/>
  </r>
  <r>
    <s v="Standard Class"/>
    <x v="2"/>
    <s v="United States"/>
    <s v="Seattle"/>
    <x v="4"/>
    <n v="98103"/>
    <x v="1"/>
    <x v="2"/>
    <x v="7"/>
    <n v="219.16800000000001"/>
    <n v="2"/>
    <n v="0.2"/>
    <n v="-43.833599999999997"/>
  </r>
  <r>
    <s v="First Class"/>
    <x v="0"/>
    <s v="United States"/>
    <s v="Pasadena"/>
    <x v="5"/>
    <n v="77506"/>
    <x v="2"/>
    <x v="1"/>
    <x v="8"/>
    <n v="6.9279999999999999"/>
    <n v="1"/>
    <n v="0.8"/>
    <n v="-11.0848"/>
  </r>
  <r>
    <s v="Same Day"/>
    <x v="0"/>
    <s v="United States"/>
    <s v="Philadelphia"/>
    <x v="9"/>
    <n v="19143"/>
    <x v="3"/>
    <x v="1"/>
    <x v="10"/>
    <n v="40.031999999999996"/>
    <n v="6"/>
    <n v="0.2"/>
    <n v="15.012"/>
  </r>
  <r>
    <s v="Standard Class"/>
    <x v="2"/>
    <s v="United States"/>
    <s v="Indianapolis"/>
    <x v="14"/>
    <n v="46203"/>
    <x v="2"/>
    <x v="1"/>
    <x v="4"/>
    <n v="443.92"/>
    <n v="4"/>
    <n v="0"/>
    <n v="13.317600000000001"/>
  </r>
  <r>
    <s v="Standard Class"/>
    <x v="2"/>
    <s v="United States"/>
    <s v="Indianapolis"/>
    <x v="14"/>
    <n v="46203"/>
    <x v="2"/>
    <x v="1"/>
    <x v="8"/>
    <n v="169.99"/>
    <n v="1"/>
    <n v="0"/>
    <n v="78.195400000000006"/>
  </r>
  <r>
    <s v="Standard Class"/>
    <x v="2"/>
    <s v="United States"/>
    <s v="Indianapolis"/>
    <x v="14"/>
    <n v="46203"/>
    <x v="2"/>
    <x v="1"/>
    <x v="10"/>
    <n v="25.92"/>
    <n v="4"/>
    <n v="0"/>
    <n v="12.441599999999999"/>
  </r>
  <r>
    <s v="Standard Class"/>
    <x v="1"/>
    <s v="United States"/>
    <s v="Richmond"/>
    <x v="0"/>
    <n v="40475"/>
    <x v="0"/>
    <x v="2"/>
    <x v="7"/>
    <n v="36.99"/>
    <n v="1"/>
    <n v="0"/>
    <n v="9.9872999999999994"/>
  </r>
  <r>
    <s v="Standard Class"/>
    <x v="1"/>
    <s v="United States"/>
    <s v="Richmond"/>
    <x v="0"/>
    <n v="40475"/>
    <x v="0"/>
    <x v="1"/>
    <x v="10"/>
    <n v="629.1"/>
    <n v="6"/>
    <n v="0"/>
    <n v="301.96800000000002"/>
  </r>
  <r>
    <s v="Standard Class"/>
    <x v="1"/>
    <s v="United States"/>
    <s v="Richmond"/>
    <x v="0"/>
    <n v="40475"/>
    <x v="0"/>
    <x v="1"/>
    <x v="4"/>
    <n v="193.95"/>
    <n v="3"/>
    <n v="0"/>
    <n v="9.6974999999999998"/>
  </r>
  <r>
    <s v="Standard Class"/>
    <x v="1"/>
    <s v="United States"/>
    <s v="Richmond"/>
    <x v="0"/>
    <n v="40475"/>
    <x v="0"/>
    <x v="1"/>
    <x v="6"/>
    <n v="5.46"/>
    <n v="3"/>
    <n v="0"/>
    <n v="1.4742"/>
  </r>
  <r>
    <s v="First Class"/>
    <x v="1"/>
    <s v="United States"/>
    <s v="Tinley Park"/>
    <x v="10"/>
    <n v="60477"/>
    <x v="2"/>
    <x v="0"/>
    <x v="5"/>
    <n v="22.288"/>
    <n v="7"/>
    <n v="0.6"/>
    <n v="-8.9152000000000005"/>
  </r>
  <r>
    <s v="Standard Class"/>
    <x v="0"/>
    <s v="United States"/>
    <s v="Houston"/>
    <x v="5"/>
    <n v="77095"/>
    <x v="2"/>
    <x v="0"/>
    <x v="5"/>
    <n v="65.424000000000007"/>
    <n v="4"/>
    <n v="0.6"/>
    <n v="-52.339199999999998"/>
  </r>
  <r>
    <s v="Same Day"/>
    <x v="0"/>
    <s v="United States"/>
    <s v="Los Angeles"/>
    <x v="1"/>
    <n v="90004"/>
    <x v="1"/>
    <x v="1"/>
    <x v="4"/>
    <n v="77.88"/>
    <n v="2"/>
    <n v="0"/>
    <n v="3.8940000000000001"/>
  </r>
  <r>
    <s v="Standard Class"/>
    <x v="2"/>
    <s v="United States"/>
    <s v="Columbus"/>
    <x v="24"/>
    <n v="43229"/>
    <x v="3"/>
    <x v="0"/>
    <x v="1"/>
    <n v="281.37200000000001"/>
    <n v="2"/>
    <n v="0.3"/>
    <n v="-12.0588"/>
  </r>
  <r>
    <s v="Standard Class"/>
    <x v="2"/>
    <s v="United States"/>
    <s v="Columbus"/>
    <x v="24"/>
    <n v="43229"/>
    <x v="3"/>
    <x v="0"/>
    <x v="1"/>
    <n v="281.37200000000001"/>
    <n v="2"/>
    <n v="0.3"/>
    <n v="-12.0588"/>
  </r>
  <r>
    <s v="Standard Class"/>
    <x v="2"/>
    <s v="United States"/>
    <s v="Columbus"/>
    <x v="24"/>
    <n v="43229"/>
    <x v="3"/>
    <x v="1"/>
    <x v="8"/>
    <n v="7.4880000000000004"/>
    <n v="8"/>
    <n v="0.7"/>
    <n v="-5.2416"/>
  </r>
  <r>
    <s v="Standard Class"/>
    <x v="2"/>
    <s v="United States"/>
    <s v="Columbus"/>
    <x v="24"/>
    <n v="43229"/>
    <x v="3"/>
    <x v="0"/>
    <x v="5"/>
    <n v="22.335999999999999"/>
    <n v="4"/>
    <n v="0.2"/>
    <n v="7.8175999999999997"/>
  </r>
  <r>
    <s v="Standard Class"/>
    <x v="0"/>
    <s v="United States"/>
    <s v="Columbus"/>
    <x v="24"/>
    <n v="43229"/>
    <x v="3"/>
    <x v="1"/>
    <x v="10"/>
    <n v="10.368"/>
    <n v="2"/>
    <n v="0.2"/>
    <n v="3.6288"/>
  </r>
  <r>
    <s v="Standard Class"/>
    <x v="1"/>
    <s v="United States"/>
    <s v="San Francisco"/>
    <x v="1"/>
    <n v="94122"/>
    <x v="1"/>
    <x v="1"/>
    <x v="10"/>
    <n v="65.790000000000006"/>
    <n v="9"/>
    <n v="0"/>
    <n v="30.263400000000001"/>
  </r>
  <r>
    <s v="Standard Class"/>
    <x v="1"/>
    <s v="United States"/>
    <s v="San Francisco"/>
    <x v="1"/>
    <n v="94122"/>
    <x v="1"/>
    <x v="1"/>
    <x v="8"/>
    <n v="271.98399999999998"/>
    <n v="2"/>
    <n v="0.2"/>
    <n v="88.394800000000004"/>
  </r>
  <r>
    <s v="Standard Class"/>
    <x v="1"/>
    <s v="United States"/>
    <s v="San Francisco"/>
    <x v="1"/>
    <n v="94122"/>
    <x v="1"/>
    <x v="1"/>
    <x v="6"/>
    <n v="11.76"/>
    <n v="4"/>
    <n v="0"/>
    <n v="3.1751999999999998"/>
  </r>
  <r>
    <s v="Standard Class"/>
    <x v="1"/>
    <s v="United States"/>
    <s v="San Francisco"/>
    <x v="1"/>
    <n v="94122"/>
    <x v="1"/>
    <x v="1"/>
    <x v="10"/>
    <n v="77.52"/>
    <n v="2"/>
    <n v="0"/>
    <n v="37.9848"/>
  </r>
  <r>
    <s v="Standard Class"/>
    <x v="1"/>
    <s v="United States"/>
    <s v="San Francisco"/>
    <x v="1"/>
    <n v="94122"/>
    <x v="1"/>
    <x v="1"/>
    <x v="8"/>
    <n v="48.64"/>
    <n v="2"/>
    <n v="0.2"/>
    <n v="15.808"/>
  </r>
  <r>
    <s v="Same Day"/>
    <x v="0"/>
    <s v="United States"/>
    <s v="Madison"/>
    <x v="6"/>
    <n v="53711"/>
    <x v="2"/>
    <x v="1"/>
    <x v="13"/>
    <n v="1.81"/>
    <n v="1"/>
    <n v="0"/>
    <n v="0.65159999999999996"/>
  </r>
  <r>
    <s v="Same Day"/>
    <x v="0"/>
    <s v="United States"/>
    <s v="Madison"/>
    <x v="6"/>
    <n v="53711"/>
    <x v="2"/>
    <x v="1"/>
    <x v="8"/>
    <n v="8.26"/>
    <n v="2"/>
    <n v="0"/>
    <n v="3.8822000000000001"/>
  </r>
  <r>
    <s v="Standard Class"/>
    <x v="2"/>
    <s v="United States"/>
    <s v="Aurora"/>
    <x v="22"/>
    <n v="80013"/>
    <x v="1"/>
    <x v="1"/>
    <x v="9"/>
    <n v="43.56"/>
    <n v="5"/>
    <n v="0.2"/>
    <n v="3.2669999999999999"/>
  </r>
  <r>
    <s v="Standard Class"/>
    <x v="2"/>
    <s v="United States"/>
    <s v="Aurora"/>
    <x v="22"/>
    <n v="80013"/>
    <x v="1"/>
    <x v="1"/>
    <x v="14"/>
    <n v="5.84"/>
    <n v="2"/>
    <n v="0.2"/>
    <n v="0.73"/>
  </r>
  <r>
    <s v="Standard Class"/>
    <x v="2"/>
    <s v="United States"/>
    <s v="New York City"/>
    <x v="15"/>
    <n v="10024"/>
    <x v="3"/>
    <x v="0"/>
    <x v="1"/>
    <n v="271.76400000000001"/>
    <n v="2"/>
    <n v="0.1"/>
    <n v="60.392000000000003"/>
  </r>
  <r>
    <s v="Standard Class"/>
    <x v="0"/>
    <s v="United States"/>
    <s v="Los Angeles"/>
    <x v="1"/>
    <n v="90004"/>
    <x v="1"/>
    <x v="1"/>
    <x v="9"/>
    <n v="262.24"/>
    <n v="2"/>
    <n v="0"/>
    <n v="78.671999999999997"/>
  </r>
  <r>
    <s v="Standard Class"/>
    <x v="0"/>
    <s v="United States"/>
    <s v="Los Angeles"/>
    <x v="1"/>
    <n v="90004"/>
    <x v="1"/>
    <x v="1"/>
    <x v="10"/>
    <n v="182.72"/>
    <n v="8"/>
    <n v="0"/>
    <n v="84.051199999999994"/>
  </r>
  <r>
    <s v="Standard Class"/>
    <x v="0"/>
    <s v="United States"/>
    <s v="Los Angeles"/>
    <x v="1"/>
    <n v="90004"/>
    <x v="1"/>
    <x v="2"/>
    <x v="11"/>
    <n v="131.6"/>
    <n v="7"/>
    <n v="0"/>
    <n v="7.8959999999999999"/>
  </r>
  <r>
    <s v="Standard Class"/>
    <x v="0"/>
    <s v="United States"/>
    <s v="Los Angeles"/>
    <x v="1"/>
    <n v="90004"/>
    <x v="1"/>
    <x v="1"/>
    <x v="8"/>
    <n v="22.72"/>
    <n v="4"/>
    <n v="0.2"/>
    <n v="7.3840000000000003"/>
  </r>
  <r>
    <s v="Standard Class"/>
    <x v="0"/>
    <s v="United States"/>
    <s v="Los Angeles"/>
    <x v="1"/>
    <n v="90004"/>
    <x v="1"/>
    <x v="2"/>
    <x v="15"/>
    <n v="558.4"/>
    <n v="2"/>
    <n v="0.2"/>
    <n v="41.88"/>
  </r>
  <r>
    <s v="Standard Class"/>
    <x v="2"/>
    <s v="United States"/>
    <s v="Dubuque"/>
    <x v="23"/>
    <n v="52001"/>
    <x v="2"/>
    <x v="1"/>
    <x v="8"/>
    <n v="15.24"/>
    <n v="4"/>
    <n v="0"/>
    <n v="6.8579999999999997"/>
  </r>
  <r>
    <s v="Standard Class"/>
    <x v="2"/>
    <s v="United States"/>
    <s v="Dubuque"/>
    <x v="23"/>
    <n v="52001"/>
    <x v="2"/>
    <x v="0"/>
    <x v="1"/>
    <n v="1408.1"/>
    <n v="10"/>
    <n v="0"/>
    <n v="394.26799999999997"/>
  </r>
  <r>
    <s v="Second Class"/>
    <x v="2"/>
    <s v="United States"/>
    <s v="Lancaster"/>
    <x v="24"/>
    <n v="43130"/>
    <x v="3"/>
    <x v="1"/>
    <x v="10"/>
    <n v="32.896000000000001"/>
    <n v="4"/>
    <n v="0.2"/>
    <n v="11.102399999999999"/>
  </r>
  <r>
    <s v="Second Class"/>
    <x v="2"/>
    <s v="United States"/>
    <s v="Lancaster"/>
    <x v="24"/>
    <n v="43130"/>
    <x v="3"/>
    <x v="0"/>
    <x v="3"/>
    <n v="215.148"/>
    <n v="2"/>
    <n v="0.4"/>
    <n v="-103.98820000000001"/>
  </r>
  <r>
    <s v="Second Class"/>
    <x v="2"/>
    <s v="United States"/>
    <s v="Lancaster"/>
    <x v="24"/>
    <n v="43130"/>
    <x v="3"/>
    <x v="1"/>
    <x v="10"/>
    <n v="30.96"/>
    <n v="6"/>
    <n v="0.2"/>
    <n v="11.223000000000001"/>
  </r>
  <r>
    <s v="First Class"/>
    <x v="0"/>
    <s v="United States"/>
    <s v="Inglewood"/>
    <x v="1"/>
    <n v="90301"/>
    <x v="1"/>
    <x v="1"/>
    <x v="4"/>
    <n v="29.79"/>
    <n v="3"/>
    <n v="0"/>
    <n v="8.6390999999999991"/>
  </r>
  <r>
    <s v="First Class"/>
    <x v="0"/>
    <s v="United States"/>
    <s v="Inglewood"/>
    <x v="1"/>
    <n v="90301"/>
    <x v="1"/>
    <x v="0"/>
    <x v="5"/>
    <n v="128.9"/>
    <n v="2"/>
    <n v="0"/>
    <n v="15.468"/>
  </r>
  <r>
    <s v="First Class"/>
    <x v="0"/>
    <s v="United States"/>
    <s v="Inglewood"/>
    <x v="1"/>
    <n v="90301"/>
    <x v="1"/>
    <x v="1"/>
    <x v="10"/>
    <n v="60.12"/>
    <n v="9"/>
    <n v="0"/>
    <n v="28.857600000000001"/>
  </r>
  <r>
    <s v="Standard Class"/>
    <x v="0"/>
    <s v="United States"/>
    <s v="Bellevue"/>
    <x v="4"/>
    <n v="98006"/>
    <x v="1"/>
    <x v="1"/>
    <x v="8"/>
    <n v="24.815999999999999"/>
    <n v="3"/>
    <n v="0.2"/>
    <n v="8.3754000000000008"/>
  </r>
  <r>
    <s v="Standard Class"/>
    <x v="0"/>
    <s v="United States"/>
    <s v="Bellevue"/>
    <x v="4"/>
    <n v="98006"/>
    <x v="1"/>
    <x v="1"/>
    <x v="8"/>
    <n v="14.976000000000001"/>
    <n v="6"/>
    <n v="0.2"/>
    <n v="5.4287999999999998"/>
  </r>
  <r>
    <s v="First Class"/>
    <x v="0"/>
    <s v="United States"/>
    <s v="Chicago"/>
    <x v="10"/>
    <n v="60610"/>
    <x v="2"/>
    <x v="1"/>
    <x v="8"/>
    <n v="15.08"/>
    <n v="2"/>
    <n v="0.8"/>
    <n v="-22.62"/>
  </r>
  <r>
    <s v="First Class"/>
    <x v="0"/>
    <s v="United States"/>
    <s v="Chicago"/>
    <x v="10"/>
    <n v="60610"/>
    <x v="2"/>
    <x v="0"/>
    <x v="5"/>
    <n v="24.288"/>
    <n v="3"/>
    <n v="0.6"/>
    <n v="-12.751200000000001"/>
  </r>
  <r>
    <s v="Same Day"/>
    <x v="0"/>
    <s v="United States"/>
    <s v="Dallas"/>
    <x v="5"/>
    <n v="75217"/>
    <x v="2"/>
    <x v="0"/>
    <x v="5"/>
    <n v="16.192"/>
    <n v="2"/>
    <n v="0.6"/>
    <n v="-8.5007999999999999"/>
  </r>
  <r>
    <s v="Same Day"/>
    <x v="0"/>
    <s v="United States"/>
    <s v="Dallas"/>
    <x v="5"/>
    <n v="75217"/>
    <x v="2"/>
    <x v="0"/>
    <x v="3"/>
    <n v="251.006"/>
    <n v="2"/>
    <n v="0.3"/>
    <n v="-68.130200000000002"/>
  </r>
  <r>
    <s v="Same Day"/>
    <x v="0"/>
    <s v="United States"/>
    <s v="Dallas"/>
    <x v="5"/>
    <n v="75217"/>
    <x v="2"/>
    <x v="1"/>
    <x v="4"/>
    <n v="54.192"/>
    <n v="6"/>
    <n v="0.2"/>
    <n v="4.0644"/>
  </r>
  <r>
    <s v="Same Day"/>
    <x v="2"/>
    <s v="United States"/>
    <s v="San Francisco"/>
    <x v="1"/>
    <n v="94122"/>
    <x v="1"/>
    <x v="1"/>
    <x v="8"/>
    <n v="4.3040000000000003"/>
    <n v="1"/>
    <n v="0.2"/>
    <n v="1.5602"/>
  </r>
  <r>
    <s v="Second Class"/>
    <x v="0"/>
    <s v="United States"/>
    <s v="New York City"/>
    <x v="15"/>
    <n v="10024"/>
    <x v="3"/>
    <x v="1"/>
    <x v="10"/>
    <n v="108.92"/>
    <n v="14"/>
    <n v="0"/>
    <n v="49.014000000000003"/>
  </r>
  <r>
    <s v="Standard Class"/>
    <x v="1"/>
    <s v="United States"/>
    <s v="New York City"/>
    <x v="15"/>
    <n v="10011"/>
    <x v="3"/>
    <x v="1"/>
    <x v="12"/>
    <n v="16.739999999999998"/>
    <n v="3"/>
    <n v="0"/>
    <n v="8.3699999999999992"/>
  </r>
  <r>
    <s v="Standard Class"/>
    <x v="1"/>
    <s v="United States"/>
    <s v="New York City"/>
    <x v="15"/>
    <n v="10011"/>
    <x v="3"/>
    <x v="1"/>
    <x v="9"/>
    <n v="2504.7399999999998"/>
    <n v="7"/>
    <n v="0"/>
    <n v="626.18499999999995"/>
  </r>
  <r>
    <s v="Standard Class"/>
    <x v="1"/>
    <s v="United States"/>
    <s v="Philadelphia"/>
    <x v="9"/>
    <n v="19140"/>
    <x v="3"/>
    <x v="1"/>
    <x v="4"/>
    <n v="84.784000000000006"/>
    <n v="2"/>
    <n v="0.2"/>
    <n v="-16.956800000000001"/>
  </r>
  <r>
    <s v="Standard Class"/>
    <x v="0"/>
    <s v="United States"/>
    <s v="Newark"/>
    <x v="13"/>
    <n v="19711"/>
    <x v="3"/>
    <x v="1"/>
    <x v="4"/>
    <n v="29.9"/>
    <n v="5"/>
    <n v="0"/>
    <n v="5.0830000000000002"/>
  </r>
  <r>
    <s v="First Class"/>
    <x v="1"/>
    <s v="United States"/>
    <s v="New York City"/>
    <x v="15"/>
    <n v="10024"/>
    <x v="3"/>
    <x v="1"/>
    <x v="10"/>
    <n v="70.88"/>
    <n v="2"/>
    <n v="0"/>
    <n v="33.313600000000001"/>
  </r>
  <r>
    <s v="Standard Class"/>
    <x v="2"/>
    <s v="United States"/>
    <s v="Auburn"/>
    <x v="19"/>
    <n v="36830"/>
    <x v="0"/>
    <x v="1"/>
    <x v="6"/>
    <n v="3.76"/>
    <n v="2"/>
    <n v="0"/>
    <n v="1.0904"/>
  </r>
  <r>
    <s v="Standard Class"/>
    <x v="0"/>
    <s v="United States"/>
    <s v="Los Angeles"/>
    <x v="1"/>
    <n v="90049"/>
    <x v="1"/>
    <x v="1"/>
    <x v="8"/>
    <n v="27.263999999999999"/>
    <n v="2"/>
    <n v="0.2"/>
    <n v="8.8607999999999993"/>
  </r>
  <r>
    <s v="Standard Class"/>
    <x v="2"/>
    <s v="United States"/>
    <s v="San Francisco"/>
    <x v="1"/>
    <n v="94110"/>
    <x v="1"/>
    <x v="1"/>
    <x v="9"/>
    <n v="56.65"/>
    <n v="5"/>
    <n v="0"/>
    <n v="24.359500000000001"/>
  </r>
  <r>
    <s v="Standard Class"/>
    <x v="2"/>
    <s v="United States"/>
    <s v="San Francisco"/>
    <x v="1"/>
    <n v="94110"/>
    <x v="1"/>
    <x v="1"/>
    <x v="4"/>
    <n v="14.97"/>
    <n v="1"/>
    <n v="0"/>
    <n v="4.1916000000000002"/>
  </r>
  <r>
    <s v="Standard Class"/>
    <x v="2"/>
    <s v="United States"/>
    <s v="San Francisco"/>
    <x v="1"/>
    <n v="94110"/>
    <x v="1"/>
    <x v="1"/>
    <x v="13"/>
    <n v="4.0199999999999996"/>
    <n v="2"/>
    <n v="0"/>
    <n v="1.9698"/>
  </r>
  <r>
    <s v="Second Class"/>
    <x v="2"/>
    <s v="United States"/>
    <s v="Raleigh"/>
    <x v="3"/>
    <n v="27604"/>
    <x v="0"/>
    <x v="2"/>
    <x v="7"/>
    <n v="471.92"/>
    <n v="2"/>
    <n v="0.2"/>
    <n v="29.495000000000001"/>
  </r>
  <r>
    <s v="Second Class"/>
    <x v="0"/>
    <s v="United States"/>
    <s v="Macon"/>
    <x v="32"/>
    <n v="31204"/>
    <x v="0"/>
    <x v="1"/>
    <x v="8"/>
    <n v="58.72"/>
    <n v="4"/>
    <n v="0"/>
    <n v="27.011199999999999"/>
  </r>
  <r>
    <s v="Standard Class"/>
    <x v="0"/>
    <s v="United States"/>
    <s v="Nashville"/>
    <x v="18"/>
    <n v="37211"/>
    <x v="0"/>
    <x v="1"/>
    <x v="6"/>
    <n v="5.16"/>
    <n v="3"/>
    <n v="0.2"/>
    <n v="0.83850000000000002"/>
  </r>
  <r>
    <s v="Standard Class"/>
    <x v="0"/>
    <s v="United States"/>
    <s v="Nashville"/>
    <x v="18"/>
    <n v="37211"/>
    <x v="0"/>
    <x v="1"/>
    <x v="10"/>
    <n v="16.495999999999999"/>
    <n v="2"/>
    <n v="0.2"/>
    <n v="5.5674000000000001"/>
  </r>
  <r>
    <s v="First Class"/>
    <x v="0"/>
    <s v="United States"/>
    <s v="Philadelphia"/>
    <x v="9"/>
    <n v="19143"/>
    <x v="3"/>
    <x v="2"/>
    <x v="11"/>
    <n v="71.975999999999999"/>
    <n v="3"/>
    <n v="0.2"/>
    <n v="19.793399999999998"/>
  </r>
  <r>
    <s v="First Class"/>
    <x v="0"/>
    <s v="United States"/>
    <s v="Philadelphia"/>
    <x v="9"/>
    <n v="19143"/>
    <x v="3"/>
    <x v="0"/>
    <x v="5"/>
    <n v="22.512"/>
    <n v="3"/>
    <n v="0.2"/>
    <n v="2.2511999999999999"/>
  </r>
  <r>
    <s v="First Class"/>
    <x v="0"/>
    <s v="United States"/>
    <s v="Philadelphia"/>
    <x v="9"/>
    <n v="19143"/>
    <x v="3"/>
    <x v="1"/>
    <x v="8"/>
    <n v="3.444"/>
    <n v="2"/>
    <n v="0.7"/>
    <n v="-2.7551999999999999"/>
  </r>
  <r>
    <s v="First Class"/>
    <x v="0"/>
    <s v="United States"/>
    <s v="Philadelphia"/>
    <x v="9"/>
    <n v="19143"/>
    <x v="3"/>
    <x v="1"/>
    <x v="8"/>
    <n v="538.19399999999996"/>
    <n v="2"/>
    <n v="0.7"/>
    <n v="-412.61540000000002"/>
  </r>
  <r>
    <s v="First Class"/>
    <x v="0"/>
    <s v="United States"/>
    <s v="Philadelphia"/>
    <x v="9"/>
    <n v="19143"/>
    <x v="3"/>
    <x v="2"/>
    <x v="11"/>
    <n v="47.984000000000002"/>
    <n v="2"/>
    <n v="0.2"/>
    <n v="14.395200000000001"/>
  </r>
  <r>
    <s v="Second Class"/>
    <x v="1"/>
    <s v="United States"/>
    <s v="Dallas"/>
    <x v="5"/>
    <n v="75081"/>
    <x v="2"/>
    <x v="2"/>
    <x v="7"/>
    <n v="492.76799999999997"/>
    <n v="4"/>
    <n v="0.2"/>
    <n v="55.436399999999999"/>
  </r>
  <r>
    <s v="Second Class"/>
    <x v="0"/>
    <s v="United States"/>
    <s v="Perth Amboy"/>
    <x v="30"/>
    <n v="8861"/>
    <x v="3"/>
    <x v="1"/>
    <x v="6"/>
    <n v="286.79000000000002"/>
    <n v="7"/>
    <n v="0"/>
    <n v="74.565399999999997"/>
  </r>
  <r>
    <s v="Standard Class"/>
    <x v="2"/>
    <s v="United States"/>
    <s v="Jacksonville"/>
    <x v="2"/>
    <n v="32216"/>
    <x v="0"/>
    <x v="1"/>
    <x v="10"/>
    <n v="5.08"/>
    <n v="1"/>
    <n v="0.2"/>
    <n v="1.651"/>
  </r>
  <r>
    <s v="Second Class"/>
    <x v="0"/>
    <s v="United States"/>
    <s v="Jacksonville"/>
    <x v="2"/>
    <n v="32216"/>
    <x v="0"/>
    <x v="2"/>
    <x v="11"/>
    <n v="47.991999999999997"/>
    <n v="1"/>
    <n v="0.2"/>
    <n v="7.1988000000000003"/>
  </r>
  <r>
    <s v="Standard Class"/>
    <x v="1"/>
    <s v="United States"/>
    <s v="Revere"/>
    <x v="31"/>
    <n v="2151"/>
    <x v="3"/>
    <x v="1"/>
    <x v="9"/>
    <n v="61.96"/>
    <n v="2"/>
    <n v="0"/>
    <n v="16.1096"/>
  </r>
  <r>
    <s v="Standard Class"/>
    <x v="1"/>
    <s v="United States"/>
    <s v="Revere"/>
    <x v="31"/>
    <n v="2151"/>
    <x v="3"/>
    <x v="0"/>
    <x v="0"/>
    <n v="361.96"/>
    <n v="2"/>
    <n v="0"/>
    <n v="83.250799999999998"/>
  </r>
  <r>
    <s v="Standard Class"/>
    <x v="1"/>
    <s v="United States"/>
    <s v="Revere"/>
    <x v="31"/>
    <n v="2151"/>
    <x v="3"/>
    <x v="1"/>
    <x v="10"/>
    <n v="278.82"/>
    <n v="9"/>
    <n v="0"/>
    <n v="125.46899999999999"/>
  </r>
  <r>
    <s v="Standard Class"/>
    <x v="0"/>
    <s v="United States"/>
    <s v="Jackson"/>
    <x v="35"/>
    <n v="39212"/>
    <x v="0"/>
    <x v="0"/>
    <x v="5"/>
    <n v="133.38"/>
    <n v="6"/>
    <n v="0"/>
    <n v="58.687199999999997"/>
  </r>
  <r>
    <s v="Standard Class"/>
    <x v="0"/>
    <s v="United States"/>
    <s v="Jacksonville"/>
    <x v="3"/>
    <n v="28540"/>
    <x v="0"/>
    <x v="1"/>
    <x v="10"/>
    <n v="47.951999999999998"/>
    <n v="3"/>
    <n v="0.2"/>
    <n v="16.183800000000002"/>
  </r>
  <r>
    <s v="Standard Class"/>
    <x v="0"/>
    <s v="United States"/>
    <s v="San Francisco"/>
    <x v="1"/>
    <n v="94122"/>
    <x v="1"/>
    <x v="0"/>
    <x v="5"/>
    <n v="16.739999999999998"/>
    <n v="2"/>
    <n v="0"/>
    <n v="4.3524000000000003"/>
  </r>
  <r>
    <s v="Standard Class"/>
    <x v="1"/>
    <s v="United States"/>
    <s v="Columbus"/>
    <x v="24"/>
    <n v="43229"/>
    <x v="3"/>
    <x v="1"/>
    <x v="10"/>
    <n v="10.848000000000001"/>
    <n v="2"/>
    <n v="0.2"/>
    <n v="3.5255999999999998"/>
  </r>
  <r>
    <s v="Standard Class"/>
    <x v="1"/>
    <s v="United States"/>
    <s v="Columbus"/>
    <x v="24"/>
    <n v="43229"/>
    <x v="3"/>
    <x v="2"/>
    <x v="11"/>
    <n v="18.544"/>
    <n v="2"/>
    <n v="0.2"/>
    <n v="3.0133999999999999"/>
  </r>
  <r>
    <s v="Standard Class"/>
    <x v="0"/>
    <s v="United States"/>
    <s v="Dearborn Heights"/>
    <x v="12"/>
    <n v="48127"/>
    <x v="2"/>
    <x v="0"/>
    <x v="1"/>
    <n v="180.98"/>
    <n v="1"/>
    <n v="0"/>
    <n v="47.0548"/>
  </r>
  <r>
    <s v="Standard Class"/>
    <x v="0"/>
    <s v="United States"/>
    <s v="Dearborn Heights"/>
    <x v="12"/>
    <n v="48127"/>
    <x v="2"/>
    <x v="2"/>
    <x v="11"/>
    <n v="99.98"/>
    <n v="2"/>
    <n v="0"/>
    <n v="42.991399999999999"/>
  </r>
  <r>
    <s v="First Class"/>
    <x v="1"/>
    <s v="United States"/>
    <s v="Overland Park"/>
    <x v="41"/>
    <n v="66212"/>
    <x v="2"/>
    <x v="2"/>
    <x v="11"/>
    <n v="34.950000000000003"/>
    <n v="5"/>
    <n v="0"/>
    <n v="15.378"/>
  </r>
  <r>
    <s v="First Class"/>
    <x v="1"/>
    <s v="United States"/>
    <s v="Overland Park"/>
    <x v="41"/>
    <n v="66212"/>
    <x v="2"/>
    <x v="1"/>
    <x v="8"/>
    <n v="152"/>
    <n v="5"/>
    <n v="0"/>
    <n v="69.92"/>
  </r>
  <r>
    <s v="Standard Class"/>
    <x v="0"/>
    <s v="United States"/>
    <s v="Santa Fe"/>
    <x v="27"/>
    <n v="87505"/>
    <x v="1"/>
    <x v="2"/>
    <x v="11"/>
    <n v="92.52"/>
    <n v="9"/>
    <n v="0"/>
    <n v="18.504000000000001"/>
  </r>
  <r>
    <s v="Standard Class"/>
    <x v="1"/>
    <s v="United States"/>
    <s v="San Francisco"/>
    <x v="1"/>
    <n v="94110"/>
    <x v="1"/>
    <x v="1"/>
    <x v="6"/>
    <n v="8.56"/>
    <n v="2"/>
    <n v="0"/>
    <n v="2.4824000000000002"/>
  </r>
  <r>
    <s v="Standard Class"/>
    <x v="1"/>
    <s v="United States"/>
    <s v="San Francisco"/>
    <x v="1"/>
    <n v="94110"/>
    <x v="1"/>
    <x v="1"/>
    <x v="10"/>
    <n v="45.36"/>
    <n v="7"/>
    <n v="0"/>
    <n v="21.7728"/>
  </r>
  <r>
    <s v="Standard Class"/>
    <x v="1"/>
    <s v="United States"/>
    <s v="San Francisco"/>
    <x v="1"/>
    <n v="94110"/>
    <x v="1"/>
    <x v="0"/>
    <x v="3"/>
    <n v="1421.664"/>
    <n v="6"/>
    <n v="0.2"/>
    <n v="-195.47880000000001"/>
  </r>
  <r>
    <s v="First Class"/>
    <x v="0"/>
    <s v="United States"/>
    <s v="Mobile"/>
    <x v="19"/>
    <n v="36608"/>
    <x v="0"/>
    <x v="0"/>
    <x v="5"/>
    <n v="8.9600000000000009"/>
    <n v="2"/>
    <n v="0"/>
    <n v="2.7776000000000001"/>
  </r>
  <r>
    <s v="First Class"/>
    <x v="1"/>
    <s v="United States"/>
    <s v="Springfield"/>
    <x v="17"/>
    <n v="22153"/>
    <x v="0"/>
    <x v="2"/>
    <x v="7"/>
    <n v="579.95000000000005"/>
    <n v="5"/>
    <n v="0"/>
    <n v="168.18549999999999"/>
  </r>
  <r>
    <s v="First Class"/>
    <x v="1"/>
    <s v="United States"/>
    <s v="Springfield"/>
    <x v="17"/>
    <n v="22153"/>
    <x v="0"/>
    <x v="0"/>
    <x v="5"/>
    <n v="29.12"/>
    <n v="4"/>
    <n v="0"/>
    <n v="12.521599999999999"/>
  </r>
  <r>
    <s v="First Class"/>
    <x v="1"/>
    <s v="United States"/>
    <s v="Springfield"/>
    <x v="17"/>
    <n v="22153"/>
    <x v="0"/>
    <x v="0"/>
    <x v="3"/>
    <n v="1202.94"/>
    <n v="3"/>
    <n v="0"/>
    <n v="300.73500000000001"/>
  </r>
  <r>
    <s v="Standard Class"/>
    <x v="1"/>
    <s v="United States"/>
    <s v="Newark"/>
    <x v="13"/>
    <n v="19711"/>
    <x v="3"/>
    <x v="1"/>
    <x v="8"/>
    <n v="7.92"/>
    <n v="4"/>
    <n v="0"/>
    <n v="3.5640000000000001"/>
  </r>
  <r>
    <s v="Same Day"/>
    <x v="0"/>
    <s v="United States"/>
    <s v="Hickory"/>
    <x v="3"/>
    <n v="28601"/>
    <x v="0"/>
    <x v="2"/>
    <x v="7"/>
    <n v="36.192"/>
    <n v="1"/>
    <n v="0.2"/>
    <n v="2.7143999999999999"/>
  </r>
  <r>
    <s v="Standard Class"/>
    <x v="2"/>
    <s v="United States"/>
    <s v="Fort Lauderdale"/>
    <x v="2"/>
    <n v="33311"/>
    <x v="0"/>
    <x v="1"/>
    <x v="4"/>
    <n v="147.184"/>
    <n v="2"/>
    <n v="0.2"/>
    <n v="-29.436800000000002"/>
  </r>
  <r>
    <s v="Standard Class"/>
    <x v="0"/>
    <s v="United States"/>
    <s v="Carol Stream"/>
    <x v="10"/>
    <n v="60188"/>
    <x v="2"/>
    <x v="0"/>
    <x v="1"/>
    <n v="408.42200000000003"/>
    <n v="2"/>
    <n v="0.3"/>
    <n v="-5.8346"/>
  </r>
  <r>
    <s v="Standard Class"/>
    <x v="0"/>
    <s v="United States"/>
    <s v="Carol Stream"/>
    <x v="10"/>
    <n v="60188"/>
    <x v="2"/>
    <x v="0"/>
    <x v="1"/>
    <n v="382.11599999999999"/>
    <n v="6"/>
    <n v="0.3"/>
    <n v="-92.799599999999998"/>
  </r>
  <r>
    <s v="Standard Class"/>
    <x v="0"/>
    <s v="United States"/>
    <s v="Carol Stream"/>
    <x v="10"/>
    <n v="60188"/>
    <x v="2"/>
    <x v="1"/>
    <x v="4"/>
    <n v="68.599999999999994"/>
    <n v="5"/>
    <n v="0.2"/>
    <n v="6.0025000000000004"/>
  </r>
  <r>
    <s v="Standard Class"/>
    <x v="0"/>
    <s v="United States"/>
    <s v="Carol Stream"/>
    <x v="10"/>
    <n v="60188"/>
    <x v="2"/>
    <x v="1"/>
    <x v="4"/>
    <n v="435.50400000000002"/>
    <n v="3"/>
    <n v="0.2"/>
    <n v="48.994199999999999"/>
  </r>
  <r>
    <s v="Standard Class"/>
    <x v="0"/>
    <s v="United States"/>
    <s v="Carol Stream"/>
    <x v="10"/>
    <n v="60188"/>
    <x v="2"/>
    <x v="1"/>
    <x v="10"/>
    <n v="11.167999999999999"/>
    <n v="2"/>
    <n v="0.2"/>
    <n v="3.7692000000000001"/>
  </r>
  <r>
    <s v="Standard Class"/>
    <x v="1"/>
    <s v="United States"/>
    <s v="Saint Cloud"/>
    <x v="11"/>
    <n v="56301"/>
    <x v="2"/>
    <x v="2"/>
    <x v="11"/>
    <n v="72"/>
    <n v="4"/>
    <n v="0"/>
    <n v="12.96"/>
  </r>
  <r>
    <s v="Standard Class"/>
    <x v="1"/>
    <s v="United States"/>
    <s v="Saint Cloud"/>
    <x v="11"/>
    <n v="56301"/>
    <x v="2"/>
    <x v="2"/>
    <x v="11"/>
    <n v="655.9"/>
    <n v="5"/>
    <n v="0"/>
    <n v="275.47800000000001"/>
  </r>
  <r>
    <s v="Standard Class"/>
    <x v="1"/>
    <s v="United States"/>
    <s v="Saint Cloud"/>
    <x v="11"/>
    <n v="56301"/>
    <x v="2"/>
    <x v="0"/>
    <x v="1"/>
    <n v="603.91999999999996"/>
    <n v="4"/>
    <n v="0"/>
    <n v="181.17599999999999"/>
  </r>
  <r>
    <s v="Standard Class"/>
    <x v="2"/>
    <s v="United States"/>
    <s v="Los Angeles"/>
    <x v="1"/>
    <n v="90036"/>
    <x v="1"/>
    <x v="0"/>
    <x v="3"/>
    <n v="513.024"/>
    <n v="2"/>
    <n v="0.2"/>
    <n v="12.8256"/>
  </r>
  <r>
    <s v="Standard Class"/>
    <x v="2"/>
    <s v="United States"/>
    <s v="Los Angeles"/>
    <x v="1"/>
    <n v="90036"/>
    <x v="1"/>
    <x v="1"/>
    <x v="9"/>
    <n v="487.92"/>
    <n v="6"/>
    <n v="0"/>
    <n v="136.61760000000001"/>
  </r>
  <r>
    <s v="Standard Class"/>
    <x v="2"/>
    <s v="United States"/>
    <s v="Los Angeles"/>
    <x v="1"/>
    <n v="90036"/>
    <x v="1"/>
    <x v="1"/>
    <x v="8"/>
    <n v="15.24"/>
    <n v="5"/>
    <n v="0.2"/>
    <n v="5.3339999999999996"/>
  </r>
  <r>
    <s v="Standard Class"/>
    <x v="0"/>
    <s v="United States"/>
    <s v="Mobile"/>
    <x v="19"/>
    <n v="36608"/>
    <x v="0"/>
    <x v="2"/>
    <x v="11"/>
    <n v="209.97"/>
    <n v="3"/>
    <n v="0"/>
    <n v="71.389799999999994"/>
  </r>
  <r>
    <s v="Standard Class"/>
    <x v="0"/>
    <s v="United States"/>
    <s v="Mobile"/>
    <x v="19"/>
    <n v="36608"/>
    <x v="0"/>
    <x v="1"/>
    <x v="8"/>
    <n v="62.94"/>
    <n v="3"/>
    <n v="0"/>
    <n v="30.211200000000002"/>
  </r>
  <r>
    <s v="Standard Class"/>
    <x v="0"/>
    <s v="United States"/>
    <s v="Mobile"/>
    <x v="19"/>
    <n v="36608"/>
    <x v="0"/>
    <x v="1"/>
    <x v="6"/>
    <n v="25.92"/>
    <n v="9"/>
    <n v="0"/>
    <n v="7.7759999999999998"/>
  </r>
  <r>
    <s v="Same Day"/>
    <x v="0"/>
    <s v="United States"/>
    <s v="Austin"/>
    <x v="5"/>
    <n v="78745"/>
    <x v="2"/>
    <x v="1"/>
    <x v="10"/>
    <n v="10.368"/>
    <n v="2"/>
    <n v="0.2"/>
    <n v="3.6288"/>
  </r>
  <r>
    <s v="Same Day"/>
    <x v="0"/>
    <s v="United States"/>
    <s v="Austin"/>
    <x v="5"/>
    <n v="78745"/>
    <x v="2"/>
    <x v="2"/>
    <x v="11"/>
    <n v="95.736000000000004"/>
    <n v="3"/>
    <n v="0.2"/>
    <n v="20.343900000000001"/>
  </r>
  <r>
    <s v="Second Class"/>
    <x v="2"/>
    <s v="United States"/>
    <s v="New York City"/>
    <x v="15"/>
    <n v="10009"/>
    <x v="3"/>
    <x v="1"/>
    <x v="4"/>
    <n v="900.08"/>
    <n v="4"/>
    <n v="0"/>
    <n v="117.0104"/>
  </r>
  <r>
    <s v="Standard Class"/>
    <x v="0"/>
    <s v="United States"/>
    <s v="Plano"/>
    <x v="5"/>
    <n v="75023"/>
    <x v="2"/>
    <x v="2"/>
    <x v="7"/>
    <n v="201.584"/>
    <n v="2"/>
    <n v="0.2"/>
    <n v="20.1584"/>
  </r>
  <r>
    <s v="Standard Class"/>
    <x v="0"/>
    <s v="United States"/>
    <s v="Plano"/>
    <x v="5"/>
    <n v="75023"/>
    <x v="2"/>
    <x v="1"/>
    <x v="8"/>
    <n v="3.3919999999999999"/>
    <n v="4"/>
    <n v="0.8"/>
    <n v="-5.0880000000000001"/>
  </r>
  <r>
    <s v="Standard Class"/>
    <x v="0"/>
    <s v="United States"/>
    <s v="Plano"/>
    <x v="5"/>
    <n v="75023"/>
    <x v="2"/>
    <x v="0"/>
    <x v="0"/>
    <n v="193.06559999999999"/>
    <n v="4"/>
    <n v="0.32"/>
    <n v="-19.874400000000001"/>
  </r>
  <r>
    <s v="Standard Class"/>
    <x v="0"/>
    <s v="United States"/>
    <s v="Plano"/>
    <x v="5"/>
    <n v="75023"/>
    <x v="2"/>
    <x v="1"/>
    <x v="10"/>
    <n v="15.552"/>
    <n v="3"/>
    <n v="0.2"/>
    <n v="5.4432"/>
  </r>
  <r>
    <s v="Standard Class"/>
    <x v="0"/>
    <s v="United States"/>
    <s v="Plano"/>
    <x v="5"/>
    <n v="75023"/>
    <x v="2"/>
    <x v="1"/>
    <x v="10"/>
    <n v="11.648"/>
    <n v="2"/>
    <n v="0.2"/>
    <n v="4.0768000000000004"/>
  </r>
  <r>
    <s v="Standard Class"/>
    <x v="0"/>
    <s v="United States"/>
    <s v="Plano"/>
    <x v="5"/>
    <n v="75023"/>
    <x v="2"/>
    <x v="2"/>
    <x v="15"/>
    <n v="418.8"/>
    <n v="2"/>
    <n v="0.4"/>
    <n v="-97.72"/>
  </r>
  <r>
    <s v="Standard Class"/>
    <x v="0"/>
    <s v="United States"/>
    <s v="Plano"/>
    <x v="5"/>
    <n v="75023"/>
    <x v="2"/>
    <x v="1"/>
    <x v="4"/>
    <n v="509.488"/>
    <n v="7"/>
    <n v="0.2"/>
    <n v="-127.372"/>
  </r>
  <r>
    <s v="First Class"/>
    <x v="1"/>
    <s v="United States"/>
    <s v="Chicago"/>
    <x v="10"/>
    <n v="60653"/>
    <x v="2"/>
    <x v="0"/>
    <x v="0"/>
    <n v="825.17399999999998"/>
    <n v="9"/>
    <n v="0.3"/>
    <n v="-117.88200000000001"/>
  </r>
  <r>
    <s v="First Class"/>
    <x v="1"/>
    <s v="United States"/>
    <s v="Chicago"/>
    <x v="10"/>
    <n v="60653"/>
    <x v="2"/>
    <x v="1"/>
    <x v="10"/>
    <n v="17.760000000000002"/>
    <n v="3"/>
    <n v="0.2"/>
    <n v="5.55"/>
  </r>
  <r>
    <s v="First Class"/>
    <x v="1"/>
    <s v="United States"/>
    <s v="Chicago"/>
    <x v="10"/>
    <n v="60653"/>
    <x v="2"/>
    <x v="1"/>
    <x v="6"/>
    <n v="6.9119999999999999"/>
    <n v="3"/>
    <n v="0.2"/>
    <n v="0.86399999999999999"/>
  </r>
  <r>
    <s v="Standard Class"/>
    <x v="0"/>
    <s v="United States"/>
    <s v="Jackson"/>
    <x v="35"/>
    <n v="39212"/>
    <x v="0"/>
    <x v="2"/>
    <x v="11"/>
    <n v="66.3"/>
    <n v="3"/>
    <n v="0"/>
    <n v="8.6189999999999998"/>
  </r>
  <r>
    <s v="First Class"/>
    <x v="0"/>
    <s v="United States"/>
    <s v="Fayetteville"/>
    <x v="3"/>
    <n v="28314"/>
    <x v="0"/>
    <x v="1"/>
    <x v="10"/>
    <n v="30.815999999999999"/>
    <n v="9"/>
    <n v="0.2"/>
    <n v="9.6300000000000008"/>
  </r>
  <r>
    <s v="First Class"/>
    <x v="0"/>
    <s v="United States"/>
    <s v="Fayetteville"/>
    <x v="3"/>
    <n v="28314"/>
    <x v="0"/>
    <x v="2"/>
    <x v="7"/>
    <n v="44.783999999999999"/>
    <n v="2"/>
    <n v="0.2"/>
    <n v="4.4783999999999997"/>
  </r>
  <r>
    <s v="First Class"/>
    <x v="0"/>
    <s v="United States"/>
    <s v="Fayetteville"/>
    <x v="3"/>
    <n v="28314"/>
    <x v="0"/>
    <x v="1"/>
    <x v="9"/>
    <n v="569.53599999999994"/>
    <n v="4"/>
    <n v="0.2"/>
    <n v="64.072800000000001"/>
  </r>
  <r>
    <s v="First Class"/>
    <x v="2"/>
    <s v="United States"/>
    <s v="Aurora"/>
    <x v="10"/>
    <n v="60505"/>
    <x v="2"/>
    <x v="0"/>
    <x v="3"/>
    <n v="796.42499999999995"/>
    <n v="7"/>
    <n v="0.5"/>
    <n v="-525.64049999999997"/>
  </r>
  <r>
    <s v="Standard Class"/>
    <x v="1"/>
    <s v="United States"/>
    <s v="Sacramento"/>
    <x v="1"/>
    <n v="95823"/>
    <x v="1"/>
    <x v="1"/>
    <x v="8"/>
    <n v="12.832000000000001"/>
    <n v="2"/>
    <n v="0.2"/>
    <n v="4.3308"/>
  </r>
  <r>
    <s v="Second Class"/>
    <x v="1"/>
    <s v="United States"/>
    <s v="Des Moines"/>
    <x v="23"/>
    <n v="50315"/>
    <x v="2"/>
    <x v="1"/>
    <x v="10"/>
    <n v="40.46"/>
    <n v="7"/>
    <n v="0"/>
    <n v="19.825399999999998"/>
  </r>
  <r>
    <s v="Second Class"/>
    <x v="1"/>
    <s v="United States"/>
    <s v="Des Moines"/>
    <x v="23"/>
    <n v="50315"/>
    <x v="2"/>
    <x v="2"/>
    <x v="7"/>
    <n v="404.94"/>
    <n v="3"/>
    <n v="0"/>
    <n v="109.3338"/>
  </r>
  <r>
    <s v="Standard Class"/>
    <x v="1"/>
    <s v="United States"/>
    <s v="San Diego"/>
    <x v="1"/>
    <n v="92105"/>
    <x v="1"/>
    <x v="2"/>
    <x v="11"/>
    <n v="116"/>
    <n v="8"/>
    <n v="0"/>
    <n v="29"/>
  </r>
  <r>
    <s v="Standard Class"/>
    <x v="0"/>
    <s v="United States"/>
    <s v="Dallas"/>
    <x v="5"/>
    <n v="75081"/>
    <x v="2"/>
    <x v="2"/>
    <x v="7"/>
    <n v="657.55200000000002"/>
    <n v="6"/>
    <n v="0.2"/>
    <n v="49.316400000000002"/>
  </r>
  <r>
    <s v="Second Class"/>
    <x v="2"/>
    <s v="United States"/>
    <s v="Jackson"/>
    <x v="35"/>
    <n v="39212"/>
    <x v="0"/>
    <x v="2"/>
    <x v="11"/>
    <n v="599.97"/>
    <n v="3"/>
    <n v="0"/>
    <n v="257.9871"/>
  </r>
  <r>
    <s v="Second Class"/>
    <x v="2"/>
    <s v="United States"/>
    <s v="Jackson"/>
    <x v="35"/>
    <n v="39212"/>
    <x v="0"/>
    <x v="2"/>
    <x v="7"/>
    <n v="38.97"/>
    <n v="3"/>
    <n v="0"/>
    <n v="0.77939999999999998"/>
  </r>
  <r>
    <s v="Second Class"/>
    <x v="2"/>
    <s v="United States"/>
    <s v="Jackson"/>
    <x v="35"/>
    <n v="39212"/>
    <x v="0"/>
    <x v="1"/>
    <x v="8"/>
    <n v="45.84"/>
    <n v="8"/>
    <n v="0"/>
    <n v="22.0032"/>
  </r>
  <r>
    <s v="Standard Class"/>
    <x v="0"/>
    <s v="United States"/>
    <s v="San Diego"/>
    <x v="1"/>
    <n v="92024"/>
    <x v="1"/>
    <x v="2"/>
    <x v="7"/>
    <n v="38.24"/>
    <n v="4"/>
    <n v="0.2"/>
    <n v="-9.56"/>
  </r>
  <r>
    <s v="Standard Class"/>
    <x v="0"/>
    <s v="United States"/>
    <s v="Orlando"/>
    <x v="2"/>
    <n v="32839"/>
    <x v="0"/>
    <x v="2"/>
    <x v="11"/>
    <n v="87.168000000000006"/>
    <n v="3"/>
    <n v="0.2"/>
    <n v="10.896000000000001"/>
  </r>
  <r>
    <s v="Standard Class"/>
    <x v="1"/>
    <s v="United States"/>
    <s v="Lafayette"/>
    <x v="14"/>
    <n v="47905"/>
    <x v="2"/>
    <x v="1"/>
    <x v="6"/>
    <n v="21.4"/>
    <n v="5"/>
    <n v="0"/>
    <n v="6.2060000000000004"/>
  </r>
  <r>
    <s v="Same Day"/>
    <x v="1"/>
    <s v="United States"/>
    <s v="New York City"/>
    <x v="15"/>
    <n v="10035"/>
    <x v="3"/>
    <x v="1"/>
    <x v="14"/>
    <n v="54.9"/>
    <n v="5"/>
    <n v="0"/>
    <n v="15.372"/>
  </r>
  <r>
    <s v="Standard Class"/>
    <x v="0"/>
    <s v="United States"/>
    <s v="Los Angeles"/>
    <x v="1"/>
    <n v="90049"/>
    <x v="1"/>
    <x v="2"/>
    <x v="15"/>
    <n v="287.96800000000002"/>
    <n v="4"/>
    <n v="0.2"/>
    <n v="97.1892"/>
  </r>
  <r>
    <s v="Standard Class"/>
    <x v="0"/>
    <s v="United States"/>
    <s v="Los Angeles"/>
    <x v="1"/>
    <n v="90049"/>
    <x v="1"/>
    <x v="1"/>
    <x v="6"/>
    <n v="13.12"/>
    <n v="4"/>
    <n v="0"/>
    <n v="3.8048000000000002"/>
  </r>
  <r>
    <s v="Standard Class"/>
    <x v="0"/>
    <s v="United States"/>
    <s v="Los Angeles"/>
    <x v="1"/>
    <n v="90049"/>
    <x v="1"/>
    <x v="1"/>
    <x v="6"/>
    <n v="10.75"/>
    <n v="5"/>
    <n v="0"/>
    <n v="3.5474999999999999"/>
  </r>
  <r>
    <s v="Standard Class"/>
    <x v="0"/>
    <s v="United States"/>
    <s v="Los Angeles"/>
    <x v="1"/>
    <n v="90049"/>
    <x v="1"/>
    <x v="1"/>
    <x v="13"/>
    <n v="11.62"/>
    <n v="2"/>
    <n v="0"/>
    <n v="3.6021999999999998"/>
  </r>
  <r>
    <s v="Second Class"/>
    <x v="0"/>
    <s v="United States"/>
    <s v="New York City"/>
    <x v="15"/>
    <n v="10024"/>
    <x v="3"/>
    <x v="1"/>
    <x v="4"/>
    <n v="40.74"/>
    <n v="3"/>
    <n v="0"/>
    <n v="0.40739999999999998"/>
  </r>
  <r>
    <s v="Same Day"/>
    <x v="1"/>
    <s v="United States"/>
    <s v="Henderson"/>
    <x v="0"/>
    <n v="42420"/>
    <x v="0"/>
    <x v="1"/>
    <x v="4"/>
    <n v="83.25"/>
    <n v="3"/>
    <n v="0"/>
    <n v="14.984999999999999"/>
  </r>
  <r>
    <s v="Same Day"/>
    <x v="1"/>
    <s v="United States"/>
    <s v="Henderson"/>
    <x v="0"/>
    <n v="42420"/>
    <x v="0"/>
    <x v="1"/>
    <x v="2"/>
    <n v="9.4499999999999993"/>
    <n v="3"/>
    <n v="0"/>
    <n v="4.5359999999999996"/>
  </r>
  <r>
    <s v="Same Day"/>
    <x v="1"/>
    <s v="United States"/>
    <s v="Henderson"/>
    <x v="0"/>
    <n v="42420"/>
    <x v="0"/>
    <x v="1"/>
    <x v="2"/>
    <n v="20.65"/>
    <n v="5"/>
    <n v="0"/>
    <n v="9.4990000000000006"/>
  </r>
  <r>
    <s v="Same Day"/>
    <x v="1"/>
    <s v="United States"/>
    <s v="Henderson"/>
    <x v="0"/>
    <n v="42420"/>
    <x v="0"/>
    <x v="1"/>
    <x v="10"/>
    <n v="45.36"/>
    <n v="7"/>
    <n v="0"/>
    <n v="21.7728"/>
  </r>
  <r>
    <s v="First Class"/>
    <x v="0"/>
    <s v="United States"/>
    <s v="Columbus"/>
    <x v="24"/>
    <n v="43229"/>
    <x v="3"/>
    <x v="0"/>
    <x v="5"/>
    <n v="5.3520000000000003"/>
    <n v="3"/>
    <n v="0.2"/>
    <n v="1.6055999999999999"/>
  </r>
  <r>
    <s v="First Class"/>
    <x v="0"/>
    <s v="United States"/>
    <s v="Columbus"/>
    <x v="24"/>
    <n v="43229"/>
    <x v="3"/>
    <x v="0"/>
    <x v="1"/>
    <n v="99.372"/>
    <n v="2"/>
    <n v="0.3"/>
    <n v="-7.0979999999999999"/>
  </r>
  <r>
    <s v="First Class"/>
    <x v="0"/>
    <s v="United States"/>
    <s v="Columbus"/>
    <x v="24"/>
    <n v="43229"/>
    <x v="3"/>
    <x v="1"/>
    <x v="6"/>
    <n v="2.6720000000000002"/>
    <n v="1"/>
    <n v="0.2"/>
    <n v="0.3674"/>
  </r>
  <r>
    <s v="Second Class"/>
    <x v="0"/>
    <s v="United States"/>
    <s v="College Station"/>
    <x v="5"/>
    <n v="77840"/>
    <x v="2"/>
    <x v="1"/>
    <x v="10"/>
    <n v="28.672000000000001"/>
    <n v="8"/>
    <n v="0.2"/>
    <n v="10.393599999999999"/>
  </r>
  <r>
    <s v="Second Class"/>
    <x v="0"/>
    <s v="United States"/>
    <s v="College Station"/>
    <x v="5"/>
    <n v="77840"/>
    <x v="2"/>
    <x v="1"/>
    <x v="9"/>
    <n v="29.312000000000001"/>
    <n v="8"/>
    <n v="0.8"/>
    <n v="-74.745599999999996"/>
  </r>
  <r>
    <s v="First Class"/>
    <x v="2"/>
    <s v="United States"/>
    <s v="Richmond"/>
    <x v="0"/>
    <n v="40475"/>
    <x v="0"/>
    <x v="1"/>
    <x v="4"/>
    <n v="105.98"/>
    <n v="7"/>
    <n v="0"/>
    <n v="4.2392000000000003"/>
  </r>
  <r>
    <s v="First Class"/>
    <x v="2"/>
    <s v="United States"/>
    <s v="Richmond"/>
    <x v="0"/>
    <n v="40475"/>
    <x v="0"/>
    <x v="1"/>
    <x v="14"/>
    <n v="35.06"/>
    <n v="2"/>
    <n v="0"/>
    <n v="10.518000000000001"/>
  </r>
  <r>
    <s v="First Class"/>
    <x v="2"/>
    <s v="United States"/>
    <s v="Richmond"/>
    <x v="0"/>
    <n v="40475"/>
    <x v="0"/>
    <x v="0"/>
    <x v="1"/>
    <n v="33.94"/>
    <n v="1"/>
    <n v="0"/>
    <n v="9.1638000000000002"/>
  </r>
  <r>
    <s v="First Class"/>
    <x v="2"/>
    <s v="United States"/>
    <s v="Richmond"/>
    <x v="0"/>
    <n v="40475"/>
    <x v="0"/>
    <x v="1"/>
    <x v="2"/>
    <n v="30"/>
    <n v="8"/>
    <n v="0"/>
    <n v="14.4"/>
  </r>
  <r>
    <s v="Second Class"/>
    <x v="2"/>
    <s v="United States"/>
    <s v="Chicago"/>
    <x v="10"/>
    <n v="60653"/>
    <x v="2"/>
    <x v="1"/>
    <x v="10"/>
    <n v="45.527999999999999"/>
    <n v="3"/>
    <n v="0.2"/>
    <n v="15.934799999999999"/>
  </r>
  <r>
    <s v="Second Class"/>
    <x v="2"/>
    <s v="United States"/>
    <s v="Chicago"/>
    <x v="10"/>
    <n v="60653"/>
    <x v="2"/>
    <x v="0"/>
    <x v="1"/>
    <n v="844.11599999999999"/>
    <n v="6"/>
    <n v="0.3"/>
    <n v="-36.176400000000001"/>
  </r>
  <r>
    <s v="Second Class"/>
    <x v="2"/>
    <s v="United States"/>
    <s v="Chicago"/>
    <x v="10"/>
    <n v="60653"/>
    <x v="2"/>
    <x v="2"/>
    <x v="7"/>
    <n v="812.73599999999999"/>
    <n v="8"/>
    <n v="0.2"/>
    <n v="60.955199999999998"/>
  </r>
  <r>
    <s v="Second Class"/>
    <x v="1"/>
    <s v="United States"/>
    <s v="Philadelphia"/>
    <x v="9"/>
    <n v="19120"/>
    <x v="3"/>
    <x v="1"/>
    <x v="8"/>
    <n v="7.476"/>
    <n v="1"/>
    <n v="0.7"/>
    <n v="-5.9808000000000003"/>
  </r>
  <r>
    <s v="Second Class"/>
    <x v="0"/>
    <s v="United States"/>
    <s v="Los Angeles"/>
    <x v="1"/>
    <n v="90036"/>
    <x v="1"/>
    <x v="1"/>
    <x v="4"/>
    <n v="330.4"/>
    <n v="2"/>
    <n v="0"/>
    <n v="85.903999999999996"/>
  </r>
  <r>
    <s v="Second Class"/>
    <x v="0"/>
    <s v="United States"/>
    <s v="Los Angeles"/>
    <x v="1"/>
    <n v="90036"/>
    <x v="1"/>
    <x v="2"/>
    <x v="7"/>
    <n v="604.75199999999995"/>
    <n v="6"/>
    <n v="0.2"/>
    <n v="37.796999999999997"/>
  </r>
  <r>
    <s v="Standard Class"/>
    <x v="0"/>
    <s v="United States"/>
    <s v="Los Angeles"/>
    <x v="1"/>
    <n v="90008"/>
    <x v="1"/>
    <x v="1"/>
    <x v="10"/>
    <n v="45.36"/>
    <n v="7"/>
    <n v="0"/>
    <n v="21.7728"/>
  </r>
  <r>
    <s v="Standard Class"/>
    <x v="0"/>
    <s v="United States"/>
    <s v="Los Angeles"/>
    <x v="1"/>
    <n v="90008"/>
    <x v="1"/>
    <x v="1"/>
    <x v="8"/>
    <n v="10.128"/>
    <n v="2"/>
    <n v="0.2"/>
    <n v="3.6714000000000002"/>
  </r>
  <r>
    <s v="Standard Class"/>
    <x v="0"/>
    <s v="United States"/>
    <s v="San Francisco"/>
    <x v="1"/>
    <n v="94122"/>
    <x v="1"/>
    <x v="1"/>
    <x v="8"/>
    <n v="21.792000000000002"/>
    <n v="4"/>
    <n v="0.2"/>
    <n v="7.6272000000000002"/>
  </r>
  <r>
    <s v="Standard Class"/>
    <x v="0"/>
    <s v="United States"/>
    <s v="San Francisco"/>
    <x v="1"/>
    <n v="94122"/>
    <x v="1"/>
    <x v="2"/>
    <x v="11"/>
    <n v="439.8"/>
    <n v="4"/>
    <n v="0"/>
    <n v="145.13399999999999"/>
  </r>
  <r>
    <s v="Second Class"/>
    <x v="0"/>
    <s v="United States"/>
    <s v="Akron"/>
    <x v="24"/>
    <n v="44312"/>
    <x v="3"/>
    <x v="1"/>
    <x v="6"/>
    <n v="8.2560000000000002"/>
    <n v="4"/>
    <n v="0.2"/>
    <n v="0.61919999999999997"/>
  </r>
  <r>
    <s v="Second Class"/>
    <x v="0"/>
    <s v="United States"/>
    <s v="Akron"/>
    <x v="24"/>
    <n v="44312"/>
    <x v="3"/>
    <x v="1"/>
    <x v="8"/>
    <n v="25.56"/>
    <n v="5"/>
    <n v="0.7"/>
    <n v="-20.448"/>
  </r>
  <r>
    <s v="Second Class"/>
    <x v="0"/>
    <s v="United States"/>
    <s v="Akron"/>
    <x v="24"/>
    <n v="44312"/>
    <x v="3"/>
    <x v="1"/>
    <x v="8"/>
    <n v="4.3680000000000003"/>
    <n v="2"/>
    <n v="0.7"/>
    <n v="-3.0575999999999999"/>
  </r>
  <r>
    <s v="Second Class"/>
    <x v="0"/>
    <s v="United States"/>
    <s v="Akron"/>
    <x v="24"/>
    <n v="44312"/>
    <x v="3"/>
    <x v="1"/>
    <x v="10"/>
    <n v="11.52"/>
    <n v="4"/>
    <n v="0.2"/>
    <n v="3.7440000000000002"/>
  </r>
  <r>
    <s v="First Class"/>
    <x v="0"/>
    <s v="United States"/>
    <s v="Los Angeles"/>
    <x v="1"/>
    <n v="90049"/>
    <x v="1"/>
    <x v="1"/>
    <x v="10"/>
    <n v="12.96"/>
    <n v="2"/>
    <n v="0"/>
    <n v="6.2207999999999997"/>
  </r>
  <r>
    <s v="First Class"/>
    <x v="0"/>
    <s v="United States"/>
    <s v="Los Angeles"/>
    <x v="1"/>
    <n v="90049"/>
    <x v="1"/>
    <x v="1"/>
    <x v="13"/>
    <n v="3.96"/>
    <n v="2"/>
    <n v="0"/>
    <n v="7.9200000000000007E-2"/>
  </r>
  <r>
    <s v="Standard Class"/>
    <x v="2"/>
    <s v="United States"/>
    <s v="Independence"/>
    <x v="25"/>
    <n v="64055"/>
    <x v="2"/>
    <x v="1"/>
    <x v="8"/>
    <n v="1577.94"/>
    <n v="3"/>
    <n v="0"/>
    <n v="757.41120000000001"/>
  </r>
  <r>
    <s v="Second Class"/>
    <x v="2"/>
    <s v="United States"/>
    <s v="Dallas"/>
    <x v="5"/>
    <n v="75220"/>
    <x v="2"/>
    <x v="0"/>
    <x v="5"/>
    <n v="15.007999999999999"/>
    <n v="4"/>
    <n v="0.6"/>
    <n v="-12.006399999999999"/>
  </r>
  <r>
    <s v="Same Day"/>
    <x v="2"/>
    <s v="United States"/>
    <s v="Seattle"/>
    <x v="4"/>
    <n v="98105"/>
    <x v="1"/>
    <x v="2"/>
    <x v="11"/>
    <n v="59.98"/>
    <n v="2"/>
    <n v="0"/>
    <n v="26.391200000000001"/>
  </r>
  <r>
    <s v="Same Day"/>
    <x v="2"/>
    <s v="United States"/>
    <s v="Seattle"/>
    <x v="4"/>
    <n v="98105"/>
    <x v="1"/>
    <x v="2"/>
    <x v="15"/>
    <n v="2395.1999999999998"/>
    <n v="6"/>
    <n v="0.2"/>
    <n v="209.58"/>
  </r>
  <r>
    <s v="Same Day"/>
    <x v="2"/>
    <s v="United States"/>
    <s v="Seattle"/>
    <x v="4"/>
    <n v="98105"/>
    <x v="1"/>
    <x v="2"/>
    <x v="11"/>
    <n v="1687.8"/>
    <n v="4"/>
    <n v="0"/>
    <n v="742.63199999999995"/>
  </r>
  <r>
    <s v="Same Day"/>
    <x v="2"/>
    <s v="United States"/>
    <s v="Seattle"/>
    <x v="4"/>
    <n v="98105"/>
    <x v="1"/>
    <x v="2"/>
    <x v="7"/>
    <n v="7.992"/>
    <n v="1"/>
    <n v="0.2"/>
    <n v="2.6972999999999998"/>
  </r>
  <r>
    <s v="Standard Class"/>
    <x v="1"/>
    <s v="United States"/>
    <s v="Mesquite"/>
    <x v="5"/>
    <n v="75150"/>
    <x v="2"/>
    <x v="1"/>
    <x v="10"/>
    <n v="5.1840000000000002"/>
    <n v="1"/>
    <n v="0.2"/>
    <n v="1.8144"/>
  </r>
  <r>
    <s v="Standard Class"/>
    <x v="0"/>
    <s v="United States"/>
    <s v="Long Beach"/>
    <x v="15"/>
    <n v="11561"/>
    <x v="3"/>
    <x v="1"/>
    <x v="6"/>
    <n v="11.68"/>
    <n v="2"/>
    <n v="0"/>
    <n v="5.4896000000000003"/>
  </r>
  <r>
    <s v="Standard Class"/>
    <x v="0"/>
    <s v="United States"/>
    <s v="Long Beach"/>
    <x v="15"/>
    <n v="11561"/>
    <x v="3"/>
    <x v="1"/>
    <x v="6"/>
    <n v="104.8"/>
    <n v="10"/>
    <n v="0"/>
    <n v="26.2"/>
  </r>
  <r>
    <s v="Standard Class"/>
    <x v="0"/>
    <s v="United States"/>
    <s v="North Miami"/>
    <x v="2"/>
    <n v="33161"/>
    <x v="0"/>
    <x v="1"/>
    <x v="10"/>
    <n v="14.496"/>
    <n v="3"/>
    <n v="0.2"/>
    <n v="4.8924000000000003"/>
  </r>
  <r>
    <s v="Standard Class"/>
    <x v="2"/>
    <s v="United States"/>
    <s v="Bakersfield"/>
    <x v="1"/>
    <n v="93309"/>
    <x v="1"/>
    <x v="1"/>
    <x v="8"/>
    <n v="4.7839999999999998"/>
    <n v="1"/>
    <n v="0.2"/>
    <n v="1.5548"/>
  </r>
  <r>
    <s v="Standard Class"/>
    <x v="2"/>
    <s v="United States"/>
    <s v="Bakersfield"/>
    <x v="1"/>
    <n v="93309"/>
    <x v="1"/>
    <x v="1"/>
    <x v="10"/>
    <n v="4.7300000000000004"/>
    <n v="1"/>
    <n v="0"/>
    <n v="2.3176999999999999"/>
  </r>
  <r>
    <s v="Standard Class"/>
    <x v="0"/>
    <s v="United States"/>
    <s v="Jackson"/>
    <x v="35"/>
    <n v="39212"/>
    <x v="0"/>
    <x v="1"/>
    <x v="4"/>
    <n v="7.89"/>
    <n v="1"/>
    <n v="0"/>
    <n v="0.31559999999999999"/>
  </r>
  <r>
    <s v="Standard Class"/>
    <x v="0"/>
    <s v="United States"/>
    <s v="Jackson"/>
    <x v="35"/>
    <n v="39212"/>
    <x v="0"/>
    <x v="1"/>
    <x v="10"/>
    <n v="65.5"/>
    <n v="5"/>
    <n v="0"/>
    <n v="32.094999999999999"/>
  </r>
  <r>
    <s v="Standard Class"/>
    <x v="0"/>
    <s v="United States"/>
    <s v="Jackson"/>
    <x v="35"/>
    <n v="39212"/>
    <x v="0"/>
    <x v="0"/>
    <x v="3"/>
    <n v="2430.08"/>
    <n v="8"/>
    <n v="0"/>
    <n v="388.81279999999998"/>
  </r>
  <r>
    <s v="Standard Class"/>
    <x v="0"/>
    <s v="United States"/>
    <s v="Fremont"/>
    <x v="8"/>
    <n v="68025"/>
    <x v="2"/>
    <x v="1"/>
    <x v="10"/>
    <n v="104.85"/>
    <n v="1"/>
    <n v="0"/>
    <n v="50.328000000000003"/>
  </r>
  <r>
    <s v="Standard Class"/>
    <x v="1"/>
    <s v="United States"/>
    <s v="Jackson"/>
    <x v="12"/>
    <n v="49201"/>
    <x v="2"/>
    <x v="1"/>
    <x v="6"/>
    <n v="3.9"/>
    <n v="2"/>
    <n v="0"/>
    <n v="1.5209999999999999"/>
  </r>
  <r>
    <s v="Standard Class"/>
    <x v="1"/>
    <s v="United States"/>
    <s v="Jackson"/>
    <x v="12"/>
    <n v="49201"/>
    <x v="2"/>
    <x v="0"/>
    <x v="3"/>
    <n v="801.96"/>
    <n v="2"/>
    <n v="0"/>
    <n v="200.49"/>
  </r>
  <r>
    <s v="Standard Class"/>
    <x v="1"/>
    <s v="United States"/>
    <s v="Jackson"/>
    <x v="12"/>
    <n v="49201"/>
    <x v="2"/>
    <x v="0"/>
    <x v="1"/>
    <n v="191.96"/>
    <n v="2"/>
    <n v="0"/>
    <n v="32.633200000000002"/>
  </r>
  <r>
    <s v="Standard Class"/>
    <x v="1"/>
    <s v="United States"/>
    <s v="Jackson"/>
    <x v="12"/>
    <n v="49201"/>
    <x v="2"/>
    <x v="1"/>
    <x v="2"/>
    <n v="2.61"/>
    <n v="1"/>
    <n v="0"/>
    <n v="1.2005999999999999"/>
  </r>
  <r>
    <s v="Standard Class"/>
    <x v="1"/>
    <s v="United States"/>
    <s v="San Francisco"/>
    <x v="1"/>
    <n v="94122"/>
    <x v="1"/>
    <x v="1"/>
    <x v="6"/>
    <n v="5.96"/>
    <n v="2"/>
    <n v="0"/>
    <n v="1.6688000000000001"/>
  </r>
  <r>
    <s v="Standard Class"/>
    <x v="2"/>
    <s v="United States"/>
    <s v="Lancaster"/>
    <x v="24"/>
    <n v="43130"/>
    <x v="3"/>
    <x v="2"/>
    <x v="7"/>
    <n v="1169.694"/>
    <n v="3"/>
    <n v="0.4"/>
    <n v="-253.43369999999999"/>
  </r>
  <r>
    <s v="First Class"/>
    <x v="0"/>
    <s v="United States"/>
    <s v="Lafayette"/>
    <x v="28"/>
    <n v="70506"/>
    <x v="0"/>
    <x v="1"/>
    <x v="14"/>
    <n v="1665.62"/>
    <n v="2"/>
    <n v="0"/>
    <n v="33.312399999999997"/>
  </r>
  <r>
    <s v="Standard Class"/>
    <x v="2"/>
    <s v="United States"/>
    <s v="Richmond"/>
    <x v="0"/>
    <n v="40475"/>
    <x v="0"/>
    <x v="1"/>
    <x v="8"/>
    <n v="2.88"/>
    <n v="1"/>
    <n v="0"/>
    <n v="1.4112"/>
  </r>
  <r>
    <s v="Standard Class"/>
    <x v="2"/>
    <s v="United States"/>
    <s v="Richmond"/>
    <x v="0"/>
    <n v="40475"/>
    <x v="0"/>
    <x v="1"/>
    <x v="4"/>
    <n v="1443.96"/>
    <n v="12"/>
    <n v="0"/>
    <n v="375.42959999999999"/>
  </r>
  <r>
    <s v="Second Class"/>
    <x v="0"/>
    <s v="United States"/>
    <s v="Houston"/>
    <x v="5"/>
    <n v="77070"/>
    <x v="2"/>
    <x v="1"/>
    <x v="14"/>
    <n v="2.92"/>
    <n v="1"/>
    <n v="0.2"/>
    <n v="0.36499999999999999"/>
  </r>
  <r>
    <s v="Second Class"/>
    <x v="0"/>
    <s v="United States"/>
    <s v="New York City"/>
    <x v="15"/>
    <n v="10024"/>
    <x v="3"/>
    <x v="1"/>
    <x v="4"/>
    <n v="465.18"/>
    <n v="3"/>
    <n v="0"/>
    <n v="120.9468"/>
  </r>
  <r>
    <s v="Standard Class"/>
    <x v="2"/>
    <s v="United States"/>
    <s v="Toledo"/>
    <x v="24"/>
    <n v="43615"/>
    <x v="3"/>
    <x v="1"/>
    <x v="8"/>
    <n v="22.428000000000001"/>
    <n v="3"/>
    <n v="0.7"/>
    <n v="-17.942399999999999"/>
  </r>
  <r>
    <s v="Standard Class"/>
    <x v="2"/>
    <s v="United States"/>
    <s v="Toledo"/>
    <x v="24"/>
    <n v="43615"/>
    <x v="3"/>
    <x v="1"/>
    <x v="4"/>
    <n v="37.520000000000003"/>
    <n v="5"/>
    <n v="0.2"/>
    <n v="3.7519999999999998"/>
  </r>
  <r>
    <s v="Standard Class"/>
    <x v="1"/>
    <s v="United States"/>
    <s v="Philadelphia"/>
    <x v="9"/>
    <n v="19143"/>
    <x v="3"/>
    <x v="1"/>
    <x v="6"/>
    <n v="2.6240000000000001"/>
    <n v="1"/>
    <n v="0.2"/>
    <n v="0.4264"/>
  </r>
  <r>
    <s v="Second Class"/>
    <x v="0"/>
    <s v="United States"/>
    <s v="Philadelphia"/>
    <x v="9"/>
    <n v="19140"/>
    <x v="3"/>
    <x v="1"/>
    <x v="10"/>
    <n v="15.552"/>
    <n v="3"/>
    <n v="0.2"/>
    <n v="5.4432"/>
  </r>
  <r>
    <s v="Second Class"/>
    <x v="0"/>
    <s v="United States"/>
    <s v="Philadelphia"/>
    <x v="9"/>
    <n v="19140"/>
    <x v="3"/>
    <x v="2"/>
    <x v="11"/>
    <n v="64.703999999999994"/>
    <n v="6"/>
    <n v="0.2"/>
    <n v="-4.8528000000000002"/>
  </r>
  <r>
    <s v="Second Class"/>
    <x v="0"/>
    <s v="United States"/>
    <s v="Philadelphia"/>
    <x v="9"/>
    <n v="19140"/>
    <x v="3"/>
    <x v="0"/>
    <x v="5"/>
    <n v="17.472000000000001"/>
    <n v="3"/>
    <n v="0.2"/>
    <n v="5.0232000000000001"/>
  </r>
  <r>
    <s v="Second Class"/>
    <x v="0"/>
    <s v="United States"/>
    <s v="Philadelphia"/>
    <x v="9"/>
    <n v="19140"/>
    <x v="3"/>
    <x v="2"/>
    <x v="7"/>
    <n v="135.51599999999999"/>
    <n v="1"/>
    <n v="0.4"/>
    <n v="-31.6204"/>
  </r>
  <r>
    <s v="Standard Class"/>
    <x v="0"/>
    <s v="United States"/>
    <s v="Denver"/>
    <x v="22"/>
    <n v="80219"/>
    <x v="1"/>
    <x v="2"/>
    <x v="11"/>
    <n v="431.928"/>
    <n v="9"/>
    <n v="0.2"/>
    <n v="64.789199999999994"/>
  </r>
  <r>
    <s v="Standard Class"/>
    <x v="0"/>
    <s v="United States"/>
    <s v="Philadelphia"/>
    <x v="9"/>
    <n v="19143"/>
    <x v="3"/>
    <x v="1"/>
    <x v="10"/>
    <n v="12.448"/>
    <n v="2"/>
    <n v="0.2"/>
    <n v="3.89"/>
  </r>
  <r>
    <s v="Standard Class"/>
    <x v="0"/>
    <s v="United States"/>
    <s v="Philadelphia"/>
    <x v="9"/>
    <n v="19143"/>
    <x v="3"/>
    <x v="0"/>
    <x v="1"/>
    <n v="657.93"/>
    <n v="5"/>
    <n v="0.3"/>
    <n v="-93.99"/>
  </r>
  <r>
    <s v="Standard Class"/>
    <x v="2"/>
    <s v="United States"/>
    <s v="Columbia"/>
    <x v="39"/>
    <n v="21044"/>
    <x v="3"/>
    <x v="1"/>
    <x v="10"/>
    <n v="277.39999999999998"/>
    <n v="5"/>
    <n v="0"/>
    <n v="133.15199999999999"/>
  </r>
  <r>
    <s v="Standard Class"/>
    <x v="2"/>
    <s v="United States"/>
    <s v="Columbia"/>
    <x v="39"/>
    <n v="21044"/>
    <x v="3"/>
    <x v="0"/>
    <x v="5"/>
    <n v="25.16"/>
    <n v="2"/>
    <n v="0"/>
    <n v="8.5543999999999993"/>
  </r>
  <r>
    <s v="Standard Class"/>
    <x v="2"/>
    <s v="United States"/>
    <s v="Columbia"/>
    <x v="39"/>
    <n v="21044"/>
    <x v="3"/>
    <x v="0"/>
    <x v="5"/>
    <n v="91.92"/>
    <n v="4"/>
    <n v="0"/>
    <n v="31.252800000000001"/>
  </r>
  <r>
    <s v="Second Class"/>
    <x v="0"/>
    <s v="United States"/>
    <s v="New York City"/>
    <x v="15"/>
    <n v="10024"/>
    <x v="3"/>
    <x v="1"/>
    <x v="12"/>
    <n v="29.34"/>
    <n v="3"/>
    <n v="0"/>
    <n v="13.4964"/>
  </r>
  <r>
    <s v="Second Class"/>
    <x v="0"/>
    <s v="United States"/>
    <s v="New York City"/>
    <x v="15"/>
    <n v="10035"/>
    <x v="3"/>
    <x v="1"/>
    <x v="8"/>
    <n v="139.44"/>
    <n v="3"/>
    <n v="0.2"/>
    <n v="47.061"/>
  </r>
  <r>
    <s v="Standard Class"/>
    <x v="1"/>
    <s v="United States"/>
    <s v="Newark"/>
    <x v="24"/>
    <n v="43055"/>
    <x v="3"/>
    <x v="1"/>
    <x v="2"/>
    <n v="6.9119999999999999"/>
    <n v="3"/>
    <n v="0.2"/>
    <n v="2.5055999999999998"/>
  </r>
  <r>
    <s v="Standard Class"/>
    <x v="1"/>
    <s v="United States"/>
    <s v="Newark"/>
    <x v="24"/>
    <n v="43055"/>
    <x v="3"/>
    <x v="1"/>
    <x v="4"/>
    <n v="27.096"/>
    <n v="3"/>
    <n v="0.2"/>
    <n v="2.0322"/>
  </r>
  <r>
    <s v="Standard Class"/>
    <x v="1"/>
    <s v="United States"/>
    <s v="Newark"/>
    <x v="24"/>
    <n v="43055"/>
    <x v="3"/>
    <x v="1"/>
    <x v="4"/>
    <n v="177.56800000000001"/>
    <n v="2"/>
    <n v="0.2"/>
    <n v="-37.733199999999997"/>
  </r>
  <r>
    <s v="Second Class"/>
    <x v="1"/>
    <s v="United States"/>
    <s v="Dallas"/>
    <x v="5"/>
    <n v="75217"/>
    <x v="2"/>
    <x v="2"/>
    <x v="11"/>
    <n v="58.415999999999997"/>
    <n v="2"/>
    <n v="0.2"/>
    <n v="16.794599999999999"/>
  </r>
  <r>
    <s v="Standard Class"/>
    <x v="2"/>
    <s v="United States"/>
    <s v="Philadelphia"/>
    <x v="9"/>
    <n v="19134"/>
    <x v="3"/>
    <x v="1"/>
    <x v="10"/>
    <n v="16.448"/>
    <n v="2"/>
    <n v="0.2"/>
    <n v="5.5511999999999997"/>
  </r>
  <r>
    <s v="Standard Class"/>
    <x v="2"/>
    <s v="United States"/>
    <s v="Philadelphia"/>
    <x v="9"/>
    <n v="19134"/>
    <x v="3"/>
    <x v="2"/>
    <x v="11"/>
    <n v="36.783999999999999"/>
    <n v="2"/>
    <n v="0.2"/>
    <n v="10.5754"/>
  </r>
  <r>
    <s v="First Class"/>
    <x v="1"/>
    <s v="United States"/>
    <s v="San Antonio"/>
    <x v="5"/>
    <n v="78207"/>
    <x v="2"/>
    <x v="0"/>
    <x v="3"/>
    <n v="718.11599999999999"/>
    <n v="6"/>
    <n v="0.3"/>
    <n v="-71.811599999999999"/>
  </r>
  <r>
    <s v="First Class"/>
    <x v="1"/>
    <s v="United States"/>
    <s v="San Antonio"/>
    <x v="5"/>
    <n v="78207"/>
    <x v="2"/>
    <x v="1"/>
    <x v="6"/>
    <n v="31.776"/>
    <n v="4"/>
    <n v="0.2"/>
    <n v="8.7384000000000004"/>
  </r>
  <r>
    <s v="Standard Class"/>
    <x v="0"/>
    <s v="United States"/>
    <s v="Philadelphia"/>
    <x v="9"/>
    <n v="19120"/>
    <x v="3"/>
    <x v="1"/>
    <x v="8"/>
    <n v="9.5549999999999997"/>
    <n v="5"/>
    <n v="0.7"/>
    <n v="-7.3254999999999999"/>
  </r>
  <r>
    <s v="Standard Class"/>
    <x v="0"/>
    <s v="United States"/>
    <s v="Los Angeles"/>
    <x v="1"/>
    <n v="90004"/>
    <x v="1"/>
    <x v="1"/>
    <x v="8"/>
    <n v="487.98399999999998"/>
    <n v="2"/>
    <n v="0.2"/>
    <n v="152.495"/>
  </r>
  <r>
    <s v="Standard Class"/>
    <x v="0"/>
    <s v="United States"/>
    <s v="Los Angeles"/>
    <x v="1"/>
    <n v="90004"/>
    <x v="1"/>
    <x v="2"/>
    <x v="7"/>
    <n v="5.56"/>
    <n v="1"/>
    <n v="0.2"/>
    <n v="1.7375"/>
  </r>
  <r>
    <s v="Standard Class"/>
    <x v="0"/>
    <s v="United States"/>
    <s v="Los Angeles"/>
    <x v="1"/>
    <n v="90004"/>
    <x v="1"/>
    <x v="1"/>
    <x v="4"/>
    <n v="217.85"/>
    <n v="5"/>
    <n v="0"/>
    <n v="65.355000000000004"/>
  </r>
  <r>
    <s v="Standard Class"/>
    <x v="1"/>
    <s v="United States"/>
    <s v="Smyrna"/>
    <x v="18"/>
    <n v="37167"/>
    <x v="0"/>
    <x v="1"/>
    <x v="6"/>
    <n v="40.776000000000003"/>
    <n v="3"/>
    <n v="0.2"/>
    <n v="4.5872999999999999"/>
  </r>
  <r>
    <s v="Standard Class"/>
    <x v="1"/>
    <s v="United States"/>
    <s v="Smyrna"/>
    <x v="18"/>
    <n v="37167"/>
    <x v="0"/>
    <x v="2"/>
    <x v="7"/>
    <n v="63.936"/>
    <n v="8"/>
    <n v="0.2"/>
    <n v="5.5944000000000003"/>
  </r>
  <r>
    <s v="Standard Class"/>
    <x v="0"/>
    <s v="United States"/>
    <s v="Macon"/>
    <x v="32"/>
    <n v="31204"/>
    <x v="0"/>
    <x v="0"/>
    <x v="5"/>
    <n v="142.4"/>
    <n v="5"/>
    <n v="0"/>
    <n v="52.688000000000002"/>
  </r>
  <r>
    <s v="Standard Class"/>
    <x v="0"/>
    <s v="United States"/>
    <s v="Macon"/>
    <x v="32"/>
    <n v="31204"/>
    <x v="0"/>
    <x v="1"/>
    <x v="8"/>
    <n v="7.16"/>
    <n v="2"/>
    <n v="0"/>
    <n v="3.4367999999999999"/>
  </r>
  <r>
    <s v="Second Class"/>
    <x v="2"/>
    <s v="United States"/>
    <s v="San Francisco"/>
    <x v="1"/>
    <n v="94109"/>
    <x v="1"/>
    <x v="0"/>
    <x v="1"/>
    <n v="681.40800000000002"/>
    <n v="12"/>
    <n v="0.2"/>
    <n v="42.588000000000001"/>
  </r>
  <r>
    <s v="Second Class"/>
    <x v="2"/>
    <s v="United States"/>
    <s v="San Francisco"/>
    <x v="1"/>
    <n v="94109"/>
    <x v="1"/>
    <x v="1"/>
    <x v="6"/>
    <n v="3.52"/>
    <n v="2"/>
    <n v="0"/>
    <n v="1.0207999999999999"/>
  </r>
  <r>
    <s v="Second Class"/>
    <x v="2"/>
    <s v="United States"/>
    <s v="San Francisco"/>
    <x v="1"/>
    <n v="94109"/>
    <x v="1"/>
    <x v="1"/>
    <x v="6"/>
    <n v="5.58"/>
    <n v="1"/>
    <n v="0"/>
    <n v="1.395"/>
  </r>
  <r>
    <s v="Second Class"/>
    <x v="2"/>
    <s v="United States"/>
    <s v="San Francisco"/>
    <x v="1"/>
    <n v="94109"/>
    <x v="1"/>
    <x v="2"/>
    <x v="11"/>
    <n v="36.32"/>
    <n v="1"/>
    <n v="0"/>
    <n v="10.896000000000001"/>
  </r>
  <r>
    <s v="Standard Class"/>
    <x v="0"/>
    <s v="United States"/>
    <s v="Seattle"/>
    <x v="4"/>
    <n v="98103"/>
    <x v="1"/>
    <x v="1"/>
    <x v="8"/>
    <n v="2060.7440000000001"/>
    <n v="7"/>
    <n v="0.2"/>
    <n v="643.98249999999996"/>
  </r>
  <r>
    <s v="Standard Class"/>
    <x v="1"/>
    <s v="United States"/>
    <s v="Columbus"/>
    <x v="24"/>
    <n v="43229"/>
    <x v="3"/>
    <x v="1"/>
    <x v="9"/>
    <n v="52.271999999999998"/>
    <n v="3"/>
    <n v="0.2"/>
    <n v="9.8010000000000002"/>
  </r>
  <r>
    <s v="Standard Class"/>
    <x v="1"/>
    <s v="United States"/>
    <s v="Columbus"/>
    <x v="24"/>
    <n v="43229"/>
    <x v="3"/>
    <x v="1"/>
    <x v="9"/>
    <n v="213.136"/>
    <n v="7"/>
    <n v="0.2"/>
    <n v="23.977799999999998"/>
  </r>
  <r>
    <s v="Second Class"/>
    <x v="1"/>
    <s v="United States"/>
    <s v="Los Angeles"/>
    <x v="1"/>
    <n v="90004"/>
    <x v="1"/>
    <x v="1"/>
    <x v="4"/>
    <n v="69.52"/>
    <n v="2"/>
    <n v="0"/>
    <n v="19.465599999999998"/>
  </r>
  <r>
    <s v="Second Class"/>
    <x v="1"/>
    <s v="United States"/>
    <s v="Los Angeles"/>
    <x v="1"/>
    <n v="90004"/>
    <x v="1"/>
    <x v="1"/>
    <x v="4"/>
    <n v="763.44"/>
    <n v="8"/>
    <n v="0"/>
    <n v="45.806399999999996"/>
  </r>
  <r>
    <s v="Standard Class"/>
    <x v="2"/>
    <s v="United States"/>
    <s v="Springfield"/>
    <x v="24"/>
    <n v="45503"/>
    <x v="3"/>
    <x v="1"/>
    <x v="2"/>
    <n v="9.2159999999999993"/>
    <n v="4"/>
    <n v="0.2"/>
    <n v="3.3408000000000002"/>
  </r>
  <r>
    <s v="Standard Class"/>
    <x v="2"/>
    <s v="United States"/>
    <s v="Springfield"/>
    <x v="24"/>
    <n v="45503"/>
    <x v="3"/>
    <x v="2"/>
    <x v="7"/>
    <n v="41.957999999999998"/>
    <n v="7"/>
    <n v="0.4"/>
    <n v="-9.7902000000000005"/>
  </r>
  <r>
    <s v="Standard Class"/>
    <x v="2"/>
    <s v="United States"/>
    <s v="Springfield"/>
    <x v="24"/>
    <n v="45503"/>
    <x v="3"/>
    <x v="1"/>
    <x v="10"/>
    <n v="89.567999999999998"/>
    <n v="2"/>
    <n v="0.2"/>
    <n v="32.468400000000003"/>
  </r>
  <r>
    <s v="Standard Class"/>
    <x v="2"/>
    <s v="United States"/>
    <s v="Springfield"/>
    <x v="24"/>
    <n v="45503"/>
    <x v="3"/>
    <x v="1"/>
    <x v="10"/>
    <n v="22.248000000000001"/>
    <n v="3"/>
    <n v="0.2"/>
    <n v="7.5087000000000002"/>
  </r>
  <r>
    <s v="Standard Class"/>
    <x v="2"/>
    <s v="United States"/>
    <s v="Springfield"/>
    <x v="24"/>
    <n v="45503"/>
    <x v="3"/>
    <x v="1"/>
    <x v="9"/>
    <n v="334.88"/>
    <n v="4"/>
    <n v="0.2"/>
    <n v="29.302"/>
  </r>
  <r>
    <s v="Standard Class"/>
    <x v="2"/>
    <s v="United States"/>
    <s v="Springfield"/>
    <x v="24"/>
    <n v="45503"/>
    <x v="3"/>
    <x v="0"/>
    <x v="5"/>
    <n v="148.28800000000001"/>
    <n v="7"/>
    <n v="0.2"/>
    <n v="29.657599999999999"/>
  </r>
  <r>
    <s v="Standard Class"/>
    <x v="2"/>
    <s v="United States"/>
    <s v="Springfield"/>
    <x v="24"/>
    <n v="45503"/>
    <x v="3"/>
    <x v="1"/>
    <x v="10"/>
    <n v="4.6239999999999997"/>
    <n v="1"/>
    <n v="0.2"/>
    <n v="1.6761999999999999"/>
  </r>
  <r>
    <s v="Standard Class"/>
    <x v="2"/>
    <s v="United States"/>
    <s v="Springfield"/>
    <x v="24"/>
    <n v="45503"/>
    <x v="3"/>
    <x v="2"/>
    <x v="11"/>
    <n v="178.92"/>
    <n v="7"/>
    <n v="0.2"/>
    <n v="-29.0745"/>
  </r>
  <r>
    <s v="Standard Class"/>
    <x v="2"/>
    <s v="United States"/>
    <s v="Springfield"/>
    <x v="24"/>
    <n v="45503"/>
    <x v="3"/>
    <x v="1"/>
    <x v="8"/>
    <n v="69.888000000000005"/>
    <n v="7"/>
    <n v="0.7"/>
    <n v="-46.591999999999999"/>
  </r>
  <r>
    <s v="Second Class"/>
    <x v="0"/>
    <s v="United States"/>
    <s v="Los Angeles"/>
    <x v="1"/>
    <n v="90008"/>
    <x v="1"/>
    <x v="1"/>
    <x v="8"/>
    <n v="487.98399999999998"/>
    <n v="2"/>
    <n v="0.2"/>
    <n v="152.495"/>
  </r>
  <r>
    <s v="Second Class"/>
    <x v="0"/>
    <s v="United States"/>
    <s v="Los Angeles"/>
    <x v="1"/>
    <n v="90008"/>
    <x v="1"/>
    <x v="1"/>
    <x v="6"/>
    <n v="47.3"/>
    <n v="2"/>
    <n v="0"/>
    <n v="12.298"/>
  </r>
  <r>
    <s v="Second Class"/>
    <x v="0"/>
    <s v="United States"/>
    <s v="Los Angeles"/>
    <x v="1"/>
    <n v="90008"/>
    <x v="1"/>
    <x v="1"/>
    <x v="6"/>
    <n v="4.13"/>
    <n v="1"/>
    <n v="0"/>
    <n v="1.1564000000000001"/>
  </r>
  <r>
    <s v="Second Class"/>
    <x v="0"/>
    <s v="United States"/>
    <s v="Los Angeles"/>
    <x v="1"/>
    <n v="90008"/>
    <x v="1"/>
    <x v="1"/>
    <x v="8"/>
    <n v="155.12"/>
    <n v="5"/>
    <n v="0.2"/>
    <n v="50.414000000000001"/>
  </r>
  <r>
    <s v="Second Class"/>
    <x v="2"/>
    <s v="United States"/>
    <s v="Los Angeles"/>
    <x v="1"/>
    <n v="90045"/>
    <x v="1"/>
    <x v="1"/>
    <x v="10"/>
    <n v="6.48"/>
    <n v="1"/>
    <n v="0"/>
    <n v="3.1751999999999998"/>
  </r>
  <r>
    <s v="Second Class"/>
    <x v="2"/>
    <s v="United States"/>
    <s v="Los Angeles"/>
    <x v="1"/>
    <n v="90045"/>
    <x v="1"/>
    <x v="1"/>
    <x v="14"/>
    <n v="15.52"/>
    <n v="4"/>
    <n v="0"/>
    <n v="4.5007999999999999"/>
  </r>
  <r>
    <s v="Standard Class"/>
    <x v="0"/>
    <s v="United States"/>
    <s v="Memphis"/>
    <x v="18"/>
    <n v="38109"/>
    <x v="0"/>
    <x v="1"/>
    <x v="8"/>
    <n v="2.9460000000000002"/>
    <n v="2"/>
    <n v="0.7"/>
    <n v="-2.0621999999999998"/>
  </r>
  <r>
    <s v="Standard Class"/>
    <x v="0"/>
    <s v="United States"/>
    <s v="Memphis"/>
    <x v="18"/>
    <n v="38109"/>
    <x v="0"/>
    <x v="1"/>
    <x v="13"/>
    <n v="55.103999999999999"/>
    <n v="6"/>
    <n v="0.2"/>
    <n v="18.5976"/>
  </r>
  <r>
    <s v="Second Class"/>
    <x v="0"/>
    <s v="United States"/>
    <s v="Detroit"/>
    <x v="12"/>
    <n v="48234"/>
    <x v="2"/>
    <x v="2"/>
    <x v="11"/>
    <n v="104.88"/>
    <n v="6"/>
    <n v="0"/>
    <n v="41.951999999999998"/>
  </r>
  <r>
    <s v="Second Class"/>
    <x v="0"/>
    <s v="United States"/>
    <s v="Detroit"/>
    <x v="12"/>
    <n v="48234"/>
    <x v="2"/>
    <x v="1"/>
    <x v="6"/>
    <n v="34.700000000000003"/>
    <n v="5"/>
    <n v="0"/>
    <n v="12.492000000000001"/>
  </r>
  <r>
    <s v="Second Class"/>
    <x v="0"/>
    <s v="United States"/>
    <s v="Detroit"/>
    <x v="12"/>
    <n v="48234"/>
    <x v="2"/>
    <x v="1"/>
    <x v="8"/>
    <n v="33.72"/>
    <n v="4"/>
    <n v="0"/>
    <n v="15.511200000000001"/>
  </r>
  <r>
    <s v="Second Class"/>
    <x v="0"/>
    <s v="United States"/>
    <s v="Detroit"/>
    <x v="12"/>
    <n v="48234"/>
    <x v="2"/>
    <x v="1"/>
    <x v="10"/>
    <n v="14.94"/>
    <n v="3"/>
    <n v="0"/>
    <n v="7.0217999999999998"/>
  </r>
  <r>
    <s v="Standard Class"/>
    <x v="0"/>
    <s v="United States"/>
    <s v="Lawrence"/>
    <x v="14"/>
    <n v="46226"/>
    <x v="2"/>
    <x v="1"/>
    <x v="9"/>
    <n v="638.73"/>
    <n v="9"/>
    <n v="0"/>
    <n v="166.06979999999999"/>
  </r>
  <r>
    <s v="Standard Class"/>
    <x v="1"/>
    <s v="United States"/>
    <s v="Jacksonville"/>
    <x v="2"/>
    <n v="32216"/>
    <x v="0"/>
    <x v="1"/>
    <x v="4"/>
    <n v="113.568"/>
    <n v="2"/>
    <n v="0.2"/>
    <n v="-21.294"/>
  </r>
  <r>
    <s v="Standard Class"/>
    <x v="1"/>
    <s v="United States"/>
    <s v="Dublin"/>
    <x v="24"/>
    <n v="43017"/>
    <x v="3"/>
    <x v="2"/>
    <x v="11"/>
    <n v="9.0960000000000001"/>
    <n v="1"/>
    <n v="0.2"/>
    <n v="1.7055"/>
  </r>
  <r>
    <s v="Standard Class"/>
    <x v="1"/>
    <s v="United States"/>
    <s v="Plantation"/>
    <x v="2"/>
    <n v="33317"/>
    <x v="0"/>
    <x v="1"/>
    <x v="12"/>
    <n v="8.6880000000000006"/>
    <n v="3"/>
    <n v="0.2"/>
    <n v="2.9321999999999999"/>
  </r>
  <r>
    <s v="Standard Class"/>
    <x v="1"/>
    <s v="United States"/>
    <s v="Plantation"/>
    <x v="2"/>
    <n v="33317"/>
    <x v="0"/>
    <x v="0"/>
    <x v="5"/>
    <n v="30.88"/>
    <n v="4"/>
    <n v="0.2"/>
    <n v="3.86"/>
  </r>
  <r>
    <s v="Standard Class"/>
    <x v="1"/>
    <s v="United States"/>
    <s v="Plantation"/>
    <x v="2"/>
    <n v="33317"/>
    <x v="0"/>
    <x v="0"/>
    <x v="5"/>
    <n v="6.4080000000000004"/>
    <n v="3"/>
    <n v="0.2"/>
    <n v="1.4418"/>
  </r>
  <r>
    <s v="Standard Class"/>
    <x v="1"/>
    <s v="United States"/>
    <s v="Glendale"/>
    <x v="16"/>
    <n v="85301"/>
    <x v="1"/>
    <x v="1"/>
    <x v="14"/>
    <n v="33.799999999999997"/>
    <n v="5"/>
    <n v="0.2"/>
    <n v="4.2249999999999996"/>
  </r>
  <r>
    <s v="Second Class"/>
    <x v="2"/>
    <s v="United States"/>
    <s v="Jackson"/>
    <x v="12"/>
    <n v="49201"/>
    <x v="2"/>
    <x v="2"/>
    <x v="7"/>
    <n v="377.97"/>
    <n v="3"/>
    <n v="0"/>
    <n v="94.492500000000007"/>
  </r>
  <r>
    <s v="Standard Class"/>
    <x v="2"/>
    <s v="United States"/>
    <s v="Quincy"/>
    <x v="31"/>
    <n v="2169"/>
    <x v="3"/>
    <x v="2"/>
    <x v="11"/>
    <n v="258.89999999999998"/>
    <n v="10"/>
    <n v="0"/>
    <n v="93.203999999999994"/>
  </r>
  <r>
    <s v="Standard Class"/>
    <x v="2"/>
    <s v="United States"/>
    <s v="Quincy"/>
    <x v="31"/>
    <n v="2169"/>
    <x v="3"/>
    <x v="1"/>
    <x v="10"/>
    <n v="24.56"/>
    <n v="2"/>
    <n v="0"/>
    <n v="11.543200000000001"/>
  </r>
  <r>
    <s v="Standard Class"/>
    <x v="0"/>
    <s v="United States"/>
    <s v="Salem"/>
    <x v="21"/>
    <n v="97301"/>
    <x v="1"/>
    <x v="1"/>
    <x v="2"/>
    <n v="27.888000000000002"/>
    <n v="7"/>
    <n v="0.2"/>
    <n v="9.0635999999999992"/>
  </r>
  <r>
    <s v="Standard Class"/>
    <x v="0"/>
    <s v="United States"/>
    <s v="Salem"/>
    <x v="21"/>
    <n v="97301"/>
    <x v="1"/>
    <x v="1"/>
    <x v="8"/>
    <n v="6.4560000000000004"/>
    <n v="4"/>
    <n v="0.7"/>
    <n v="-4.5191999999999997"/>
  </r>
  <r>
    <s v="Standard Class"/>
    <x v="0"/>
    <s v="United States"/>
    <s v="Salem"/>
    <x v="21"/>
    <n v="97301"/>
    <x v="1"/>
    <x v="2"/>
    <x v="7"/>
    <n v="52.68"/>
    <n v="3"/>
    <n v="0.2"/>
    <n v="19.754999999999999"/>
  </r>
  <r>
    <s v="Standard Class"/>
    <x v="0"/>
    <s v="United States"/>
    <s v="Salem"/>
    <x v="21"/>
    <n v="97301"/>
    <x v="1"/>
    <x v="1"/>
    <x v="14"/>
    <n v="13.88"/>
    <n v="5"/>
    <n v="0.2"/>
    <n v="-2.6025"/>
  </r>
  <r>
    <s v="Standard Class"/>
    <x v="0"/>
    <s v="United States"/>
    <s v="Salem"/>
    <x v="21"/>
    <n v="97301"/>
    <x v="1"/>
    <x v="2"/>
    <x v="11"/>
    <n v="103.92"/>
    <n v="10"/>
    <n v="0.2"/>
    <n v="-18.186"/>
  </r>
  <r>
    <s v="Standard Class"/>
    <x v="0"/>
    <s v="United States"/>
    <s v="Salem"/>
    <x v="21"/>
    <n v="97301"/>
    <x v="1"/>
    <x v="1"/>
    <x v="2"/>
    <n v="11.52"/>
    <n v="5"/>
    <n v="0.2"/>
    <n v="3.7440000000000002"/>
  </r>
  <r>
    <s v="Standard Class"/>
    <x v="0"/>
    <s v="United States"/>
    <s v="Salem"/>
    <x v="21"/>
    <n v="97301"/>
    <x v="1"/>
    <x v="1"/>
    <x v="10"/>
    <n v="10.368"/>
    <n v="2"/>
    <n v="0.2"/>
    <n v="3.6288"/>
  </r>
  <r>
    <s v="Standard Class"/>
    <x v="0"/>
    <s v="United States"/>
    <s v="Salem"/>
    <x v="21"/>
    <n v="97301"/>
    <x v="1"/>
    <x v="1"/>
    <x v="4"/>
    <n v="39.072000000000003"/>
    <n v="3"/>
    <n v="0.2"/>
    <n v="2.9304000000000001"/>
  </r>
  <r>
    <s v="Standard Class"/>
    <x v="2"/>
    <s v="United States"/>
    <s v="Troy"/>
    <x v="24"/>
    <n v="45373"/>
    <x v="3"/>
    <x v="1"/>
    <x v="12"/>
    <n v="8.8719999999999999"/>
    <n v="1"/>
    <n v="0.2"/>
    <n v="3.2161"/>
  </r>
  <r>
    <s v="Standard Class"/>
    <x v="2"/>
    <s v="United States"/>
    <s v="Troy"/>
    <x v="24"/>
    <n v="45373"/>
    <x v="3"/>
    <x v="1"/>
    <x v="8"/>
    <n v="121.104"/>
    <n v="6"/>
    <n v="0.7"/>
    <n v="-100.92"/>
  </r>
  <r>
    <s v="Standard Class"/>
    <x v="0"/>
    <s v="United States"/>
    <s v="Philadelphia"/>
    <x v="9"/>
    <n v="19143"/>
    <x v="3"/>
    <x v="0"/>
    <x v="1"/>
    <n v="127.372"/>
    <n v="2"/>
    <n v="0.3"/>
    <n v="-30.933199999999999"/>
  </r>
  <r>
    <s v="Standard Class"/>
    <x v="0"/>
    <s v="United States"/>
    <s v="Philadelphia"/>
    <x v="9"/>
    <n v="19143"/>
    <x v="3"/>
    <x v="1"/>
    <x v="10"/>
    <n v="47.951999999999998"/>
    <n v="3"/>
    <n v="0.2"/>
    <n v="16.183800000000002"/>
  </r>
  <r>
    <s v="Standard Class"/>
    <x v="1"/>
    <s v="United States"/>
    <s v="San Diego"/>
    <x v="1"/>
    <n v="92105"/>
    <x v="1"/>
    <x v="0"/>
    <x v="5"/>
    <n v="44.46"/>
    <n v="2"/>
    <n v="0"/>
    <n v="14.671799999999999"/>
  </r>
  <r>
    <s v="Standard Class"/>
    <x v="0"/>
    <s v="United States"/>
    <s v="Clinton"/>
    <x v="39"/>
    <n v="20735"/>
    <x v="3"/>
    <x v="1"/>
    <x v="13"/>
    <n v="15.8"/>
    <n v="4"/>
    <n v="0"/>
    <n v="5.056"/>
  </r>
  <r>
    <s v="Standard Class"/>
    <x v="0"/>
    <s v="United States"/>
    <s v="Clinton"/>
    <x v="39"/>
    <n v="20735"/>
    <x v="3"/>
    <x v="2"/>
    <x v="15"/>
    <n v="464.97"/>
    <n v="3"/>
    <n v="0"/>
    <n v="209.23650000000001"/>
  </r>
  <r>
    <s v="Standard Class"/>
    <x v="0"/>
    <s v="United States"/>
    <s v="Clinton"/>
    <x v="39"/>
    <n v="20735"/>
    <x v="3"/>
    <x v="0"/>
    <x v="5"/>
    <n v="181.96"/>
    <n v="2"/>
    <n v="0"/>
    <n v="20.015599999999999"/>
  </r>
  <r>
    <s v="Standard Class"/>
    <x v="0"/>
    <s v="United States"/>
    <s v="Clinton"/>
    <x v="39"/>
    <n v="20735"/>
    <x v="3"/>
    <x v="1"/>
    <x v="2"/>
    <n v="12.39"/>
    <n v="3"/>
    <n v="0"/>
    <n v="5.6993999999999998"/>
  </r>
  <r>
    <s v="Standard Class"/>
    <x v="0"/>
    <s v="United States"/>
    <s v="Clinton"/>
    <x v="39"/>
    <n v="20735"/>
    <x v="3"/>
    <x v="1"/>
    <x v="8"/>
    <n v="84.09"/>
    <n v="3"/>
    <n v="0"/>
    <n v="42.045000000000002"/>
  </r>
  <r>
    <s v="Standard Class"/>
    <x v="0"/>
    <s v="United States"/>
    <s v="Clinton"/>
    <x v="39"/>
    <n v="20735"/>
    <x v="3"/>
    <x v="1"/>
    <x v="6"/>
    <n v="79.36"/>
    <n v="4"/>
    <n v="0"/>
    <n v="32.537599999999998"/>
  </r>
  <r>
    <s v="Standard Class"/>
    <x v="0"/>
    <s v="United States"/>
    <s v="Clinton"/>
    <x v="39"/>
    <n v="20735"/>
    <x v="3"/>
    <x v="1"/>
    <x v="8"/>
    <n v="153.36000000000001"/>
    <n v="9"/>
    <n v="0"/>
    <n v="70.545599999999993"/>
  </r>
  <r>
    <s v="Standard Class"/>
    <x v="0"/>
    <s v="United States"/>
    <s v="Clinton"/>
    <x v="39"/>
    <n v="20735"/>
    <x v="3"/>
    <x v="1"/>
    <x v="8"/>
    <n v="43.68"/>
    <n v="6"/>
    <n v="0"/>
    <n v="21.403199999999998"/>
  </r>
  <r>
    <s v="Standard Class"/>
    <x v="0"/>
    <s v="United States"/>
    <s v="Clinton"/>
    <x v="39"/>
    <n v="20735"/>
    <x v="3"/>
    <x v="1"/>
    <x v="4"/>
    <n v="98.21"/>
    <n v="7"/>
    <n v="0"/>
    <n v="28.480899999999998"/>
  </r>
  <r>
    <s v="Standard Class"/>
    <x v="0"/>
    <s v="United States"/>
    <s v="Riverside"/>
    <x v="1"/>
    <n v="92503"/>
    <x v="1"/>
    <x v="1"/>
    <x v="6"/>
    <n v="9.84"/>
    <n v="3"/>
    <n v="0"/>
    <n v="3.2471999999999999"/>
  </r>
  <r>
    <s v="Standard Class"/>
    <x v="0"/>
    <s v="United States"/>
    <s v="Port Saint Lucie"/>
    <x v="2"/>
    <n v="34952"/>
    <x v="0"/>
    <x v="1"/>
    <x v="8"/>
    <n v="2.694"/>
    <n v="2"/>
    <n v="0.7"/>
    <n v="-2.2450000000000001"/>
  </r>
  <r>
    <s v="Second Class"/>
    <x v="0"/>
    <s v="United States"/>
    <s v="Mesa"/>
    <x v="16"/>
    <n v="85204"/>
    <x v="1"/>
    <x v="1"/>
    <x v="10"/>
    <n v="25.344000000000001"/>
    <n v="6"/>
    <n v="0.2"/>
    <n v="7.92"/>
  </r>
  <r>
    <s v="Second Class"/>
    <x v="0"/>
    <s v="United States"/>
    <s v="Mesa"/>
    <x v="16"/>
    <n v="85204"/>
    <x v="1"/>
    <x v="1"/>
    <x v="12"/>
    <n v="43.92"/>
    <n v="5"/>
    <n v="0.2"/>
    <n v="15.920999999999999"/>
  </r>
  <r>
    <s v="Second Class"/>
    <x v="1"/>
    <s v="United States"/>
    <s v="Denver"/>
    <x v="22"/>
    <n v="80219"/>
    <x v="1"/>
    <x v="2"/>
    <x v="15"/>
    <n v="59.994"/>
    <n v="2"/>
    <n v="0.7"/>
    <n v="-45.995399999999997"/>
  </r>
  <r>
    <s v="Second Class"/>
    <x v="1"/>
    <s v="United States"/>
    <s v="Denver"/>
    <x v="22"/>
    <n v="80219"/>
    <x v="1"/>
    <x v="2"/>
    <x v="16"/>
    <n v="439.99200000000002"/>
    <n v="1"/>
    <n v="0.2"/>
    <n v="164.99700000000001"/>
  </r>
  <r>
    <s v="Second Class"/>
    <x v="1"/>
    <s v="United States"/>
    <s v="Denver"/>
    <x v="22"/>
    <n v="80219"/>
    <x v="1"/>
    <x v="2"/>
    <x v="7"/>
    <n v="87.96"/>
    <n v="5"/>
    <n v="0.2"/>
    <n v="30.786000000000001"/>
  </r>
  <r>
    <s v="Second Class"/>
    <x v="1"/>
    <s v="United States"/>
    <s v="Denver"/>
    <x v="22"/>
    <n v="80219"/>
    <x v="1"/>
    <x v="0"/>
    <x v="5"/>
    <n v="15.488"/>
    <n v="4"/>
    <n v="0.2"/>
    <n v="3.6783999999999999"/>
  </r>
  <r>
    <s v="Standard Class"/>
    <x v="1"/>
    <s v="United States"/>
    <s v="Springfield"/>
    <x v="17"/>
    <n v="22153"/>
    <x v="0"/>
    <x v="1"/>
    <x v="8"/>
    <n v="232.96"/>
    <n v="7"/>
    <n v="0"/>
    <n v="116.48"/>
  </r>
  <r>
    <s v="Standard Class"/>
    <x v="1"/>
    <s v="United States"/>
    <s v="Springfield"/>
    <x v="17"/>
    <n v="22153"/>
    <x v="0"/>
    <x v="1"/>
    <x v="12"/>
    <n v="66.540000000000006"/>
    <n v="6"/>
    <n v="0"/>
    <n v="32.604599999999998"/>
  </r>
  <r>
    <s v="Standard Class"/>
    <x v="1"/>
    <s v="United States"/>
    <s v="Springfield"/>
    <x v="17"/>
    <n v="22153"/>
    <x v="0"/>
    <x v="1"/>
    <x v="9"/>
    <n v="43.26"/>
    <n v="3"/>
    <n v="0"/>
    <n v="14.2758"/>
  </r>
  <r>
    <s v="Second Class"/>
    <x v="2"/>
    <s v="United States"/>
    <s v="Seattle"/>
    <x v="4"/>
    <n v="98115"/>
    <x v="1"/>
    <x v="0"/>
    <x v="5"/>
    <n v="141.96"/>
    <n v="2"/>
    <n v="0"/>
    <n v="22.7136"/>
  </r>
  <r>
    <s v="Standard Class"/>
    <x v="1"/>
    <s v="United States"/>
    <s v="Tempe"/>
    <x v="16"/>
    <n v="85281"/>
    <x v="1"/>
    <x v="1"/>
    <x v="4"/>
    <n v="79.400000000000006"/>
    <n v="5"/>
    <n v="0.2"/>
    <n v="5.9550000000000001"/>
  </r>
  <r>
    <s v="Second Class"/>
    <x v="2"/>
    <s v="United States"/>
    <s v="Yonkers"/>
    <x v="15"/>
    <n v="10701"/>
    <x v="3"/>
    <x v="2"/>
    <x v="11"/>
    <n v="163.96"/>
    <n v="4"/>
    <n v="0"/>
    <n v="70.502799999999993"/>
  </r>
  <r>
    <s v="Standard Class"/>
    <x v="1"/>
    <s v="United States"/>
    <s v="Rochester"/>
    <x v="15"/>
    <n v="14609"/>
    <x v="3"/>
    <x v="0"/>
    <x v="5"/>
    <n v="37.93"/>
    <n v="1"/>
    <n v="0"/>
    <n v="6.8273999999999999"/>
  </r>
  <r>
    <s v="Second Class"/>
    <x v="1"/>
    <s v="United States"/>
    <s v="Toledo"/>
    <x v="24"/>
    <n v="43615"/>
    <x v="3"/>
    <x v="0"/>
    <x v="5"/>
    <n v="15.167999999999999"/>
    <n v="2"/>
    <n v="0.2"/>
    <n v="3.7919999999999998"/>
  </r>
  <r>
    <s v="Standard Class"/>
    <x v="1"/>
    <s v="United States"/>
    <s v="Decatur"/>
    <x v="19"/>
    <n v="35601"/>
    <x v="0"/>
    <x v="1"/>
    <x v="6"/>
    <n v="24.78"/>
    <n v="6"/>
    <n v="0"/>
    <n v="6.9383999999999997"/>
  </r>
  <r>
    <s v="Standard Class"/>
    <x v="1"/>
    <s v="United States"/>
    <s v="Decatur"/>
    <x v="19"/>
    <n v="35601"/>
    <x v="0"/>
    <x v="1"/>
    <x v="8"/>
    <n v="19.14"/>
    <n v="3"/>
    <n v="0"/>
    <n v="8.8043999999999993"/>
  </r>
  <r>
    <s v="Standard Class"/>
    <x v="1"/>
    <s v="United States"/>
    <s v="Decatur"/>
    <x v="19"/>
    <n v="35601"/>
    <x v="0"/>
    <x v="2"/>
    <x v="16"/>
    <n v="899.97"/>
    <n v="3"/>
    <n v="0"/>
    <n v="314.98950000000002"/>
  </r>
  <r>
    <s v="Standard Class"/>
    <x v="1"/>
    <s v="United States"/>
    <s v="Decatur"/>
    <x v="19"/>
    <n v="35601"/>
    <x v="0"/>
    <x v="1"/>
    <x v="10"/>
    <n v="32.4"/>
    <n v="5"/>
    <n v="0"/>
    <n v="15.552"/>
  </r>
  <r>
    <s v="Standard Class"/>
    <x v="0"/>
    <s v="United States"/>
    <s v="Dallas"/>
    <x v="5"/>
    <n v="75220"/>
    <x v="2"/>
    <x v="1"/>
    <x v="6"/>
    <n v="23.832000000000001"/>
    <n v="3"/>
    <n v="0.2"/>
    <n v="6.5537999999999998"/>
  </r>
  <r>
    <s v="Standard Class"/>
    <x v="1"/>
    <s v="United States"/>
    <s v="Mesquite"/>
    <x v="5"/>
    <n v="75150"/>
    <x v="2"/>
    <x v="0"/>
    <x v="5"/>
    <n v="6.3680000000000003"/>
    <n v="2"/>
    <n v="0.6"/>
    <n v="-2.5472000000000001"/>
  </r>
  <r>
    <s v="Standard Class"/>
    <x v="1"/>
    <s v="United States"/>
    <s v="Mesquite"/>
    <x v="5"/>
    <n v="75150"/>
    <x v="2"/>
    <x v="1"/>
    <x v="9"/>
    <n v="34.176000000000002"/>
    <n v="3"/>
    <n v="0.8"/>
    <n v="-87.148799999999994"/>
  </r>
  <r>
    <s v="Standard Class"/>
    <x v="1"/>
    <s v="United States"/>
    <s v="Mesquite"/>
    <x v="5"/>
    <n v="75150"/>
    <x v="2"/>
    <x v="2"/>
    <x v="11"/>
    <n v="5.5439999999999996"/>
    <n v="7"/>
    <n v="0.2"/>
    <n v="1.6632"/>
  </r>
  <r>
    <s v="First Class"/>
    <x v="1"/>
    <s v="United States"/>
    <s v="Los Angeles"/>
    <x v="1"/>
    <n v="90045"/>
    <x v="1"/>
    <x v="0"/>
    <x v="3"/>
    <n v="510.24"/>
    <n v="3"/>
    <n v="0.2"/>
    <n v="6.3780000000000001"/>
  </r>
  <r>
    <s v="First Class"/>
    <x v="1"/>
    <s v="United States"/>
    <s v="Los Angeles"/>
    <x v="1"/>
    <n v="90045"/>
    <x v="1"/>
    <x v="1"/>
    <x v="10"/>
    <n v="204.95"/>
    <n v="5"/>
    <n v="0"/>
    <n v="100.4255"/>
  </r>
  <r>
    <s v="First Class"/>
    <x v="0"/>
    <s v="United States"/>
    <s v="Seattle"/>
    <x v="4"/>
    <n v="98103"/>
    <x v="1"/>
    <x v="2"/>
    <x v="11"/>
    <n v="11.54"/>
    <n v="1"/>
    <n v="0"/>
    <n v="3.4620000000000002"/>
  </r>
  <r>
    <s v="First Class"/>
    <x v="0"/>
    <s v="United States"/>
    <s v="Seattle"/>
    <x v="4"/>
    <n v="98103"/>
    <x v="1"/>
    <x v="0"/>
    <x v="5"/>
    <n v="162.6"/>
    <n v="3"/>
    <n v="0"/>
    <n v="34.146000000000001"/>
  </r>
  <r>
    <s v="Second Class"/>
    <x v="0"/>
    <s v="United States"/>
    <s v="Olympia"/>
    <x v="4"/>
    <n v="98502"/>
    <x v="1"/>
    <x v="1"/>
    <x v="10"/>
    <n v="45.68"/>
    <n v="2"/>
    <n v="0"/>
    <n v="21.012799999999999"/>
  </r>
  <r>
    <s v="Second Class"/>
    <x v="0"/>
    <s v="United States"/>
    <s v="Olympia"/>
    <x v="4"/>
    <n v="98502"/>
    <x v="1"/>
    <x v="0"/>
    <x v="1"/>
    <n v="603.91999999999996"/>
    <n v="5"/>
    <n v="0.2"/>
    <n v="45.293999999999997"/>
  </r>
  <r>
    <s v="Standard Class"/>
    <x v="2"/>
    <s v="United States"/>
    <s v="Omaha"/>
    <x v="8"/>
    <n v="68104"/>
    <x v="2"/>
    <x v="1"/>
    <x v="13"/>
    <n v="23.55"/>
    <n v="5"/>
    <n v="0"/>
    <n v="1.1775"/>
  </r>
  <r>
    <s v="Standard Class"/>
    <x v="0"/>
    <s v="United States"/>
    <s v="Columbus"/>
    <x v="32"/>
    <n v="31907"/>
    <x v="0"/>
    <x v="1"/>
    <x v="14"/>
    <n v="5.04"/>
    <n v="2"/>
    <n v="0"/>
    <n v="0.1512"/>
  </r>
  <r>
    <s v="Standard Class"/>
    <x v="0"/>
    <s v="United States"/>
    <s v="Columbus"/>
    <x v="32"/>
    <n v="31907"/>
    <x v="0"/>
    <x v="2"/>
    <x v="11"/>
    <n v="249.95"/>
    <n v="5"/>
    <n v="0"/>
    <n v="107.4785"/>
  </r>
  <r>
    <s v="Standard Class"/>
    <x v="1"/>
    <s v="United States"/>
    <s v="Columbus"/>
    <x v="14"/>
    <n v="47201"/>
    <x v="2"/>
    <x v="1"/>
    <x v="6"/>
    <n v="33.4"/>
    <n v="5"/>
    <n v="0"/>
    <n v="12.358000000000001"/>
  </r>
  <r>
    <s v="Standard Class"/>
    <x v="2"/>
    <s v="United States"/>
    <s v="Jackson"/>
    <x v="35"/>
    <n v="39212"/>
    <x v="0"/>
    <x v="0"/>
    <x v="5"/>
    <n v="18.920000000000002"/>
    <n v="4"/>
    <n v="0"/>
    <n v="7.3788"/>
  </r>
  <r>
    <s v="Standard Class"/>
    <x v="2"/>
    <s v="United States"/>
    <s v="Jackson"/>
    <x v="35"/>
    <n v="39212"/>
    <x v="0"/>
    <x v="1"/>
    <x v="8"/>
    <n v="15.42"/>
    <n v="2"/>
    <n v="0"/>
    <n v="6.9390000000000001"/>
  </r>
  <r>
    <s v="Standard Class"/>
    <x v="0"/>
    <s v="United States"/>
    <s v="Houston"/>
    <x v="5"/>
    <n v="77070"/>
    <x v="2"/>
    <x v="1"/>
    <x v="6"/>
    <n v="35.712000000000003"/>
    <n v="8"/>
    <n v="0.2"/>
    <n v="2.2320000000000002"/>
  </r>
  <r>
    <s v="Standard Class"/>
    <x v="1"/>
    <s v="United States"/>
    <s v="Phoenix"/>
    <x v="16"/>
    <n v="85023"/>
    <x v="1"/>
    <x v="1"/>
    <x v="8"/>
    <n v="551.98500000000001"/>
    <n v="5"/>
    <n v="0.7"/>
    <n v="-459.98750000000001"/>
  </r>
  <r>
    <s v="First Class"/>
    <x v="0"/>
    <s v="United States"/>
    <s v="Chicago"/>
    <x v="10"/>
    <n v="60653"/>
    <x v="2"/>
    <x v="1"/>
    <x v="6"/>
    <n v="7.056"/>
    <n v="3"/>
    <n v="0.2"/>
    <n v="2.2050000000000001"/>
  </r>
  <r>
    <s v="Standard Class"/>
    <x v="1"/>
    <s v="United States"/>
    <s v="Denver"/>
    <x v="22"/>
    <n v="80219"/>
    <x v="1"/>
    <x v="1"/>
    <x v="9"/>
    <n v="18.72"/>
    <n v="2"/>
    <n v="0.2"/>
    <n v="3.51"/>
  </r>
  <r>
    <s v="Standard Class"/>
    <x v="0"/>
    <s v="United States"/>
    <s v="Newark"/>
    <x v="13"/>
    <n v="19711"/>
    <x v="3"/>
    <x v="1"/>
    <x v="4"/>
    <n v="360.38"/>
    <n v="2"/>
    <n v="0"/>
    <n v="93.698800000000006"/>
  </r>
  <r>
    <s v="Standard Class"/>
    <x v="0"/>
    <s v="United States"/>
    <s v="Newark"/>
    <x v="13"/>
    <n v="19711"/>
    <x v="3"/>
    <x v="1"/>
    <x v="6"/>
    <n v="11.16"/>
    <n v="2"/>
    <n v="0"/>
    <n v="2.79"/>
  </r>
  <r>
    <s v="Standard Class"/>
    <x v="0"/>
    <s v="United States"/>
    <s v="Newark"/>
    <x v="13"/>
    <n v="19711"/>
    <x v="3"/>
    <x v="1"/>
    <x v="2"/>
    <n v="14.94"/>
    <n v="3"/>
    <n v="0"/>
    <n v="6.8723999999999998"/>
  </r>
  <r>
    <s v="Standard Class"/>
    <x v="1"/>
    <s v="United States"/>
    <s v="Clinton"/>
    <x v="39"/>
    <n v="20735"/>
    <x v="3"/>
    <x v="1"/>
    <x v="4"/>
    <n v="41.96"/>
    <n v="2"/>
    <n v="0"/>
    <n v="7.9724000000000004"/>
  </r>
  <r>
    <s v="Standard Class"/>
    <x v="1"/>
    <s v="United States"/>
    <s v="Clinton"/>
    <x v="39"/>
    <n v="20735"/>
    <x v="3"/>
    <x v="1"/>
    <x v="4"/>
    <n v="636.86"/>
    <n v="7"/>
    <n v="0"/>
    <n v="0"/>
  </r>
  <r>
    <s v="Standard Class"/>
    <x v="1"/>
    <s v="United States"/>
    <s v="Clinton"/>
    <x v="39"/>
    <n v="20735"/>
    <x v="3"/>
    <x v="2"/>
    <x v="7"/>
    <n v="499.99"/>
    <n v="1"/>
    <n v="0"/>
    <n v="129.9974"/>
  </r>
  <r>
    <s v="Standard Class"/>
    <x v="1"/>
    <s v="United States"/>
    <s v="Clinton"/>
    <x v="39"/>
    <n v="20735"/>
    <x v="3"/>
    <x v="2"/>
    <x v="7"/>
    <n v="1259.93"/>
    <n v="7"/>
    <n v="0"/>
    <n v="327.58179999999999"/>
  </r>
  <r>
    <s v="Standard Class"/>
    <x v="1"/>
    <s v="United States"/>
    <s v="Clinton"/>
    <x v="39"/>
    <n v="20735"/>
    <x v="3"/>
    <x v="1"/>
    <x v="8"/>
    <n v="65.08"/>
    <n v="4"/>
    <n v="0"/>
    <n v="31.889199999999999"/>
  </r>
  <r>
    <s v="Second Class"/>
    <x v="0"/>
    <s v="United States"/>
    <s v="New York City"/>
    <x v="15"/>
    <n v="10011"/>
    <x v="3"/>
    <x v="1"/>
    <x v="10"/>
    <n v="26.38"/>
    <n v="1"/>
    <n v="0"/>
    <n v="12.1348"/>
  </r>
  <r>
    <s v="Second Class"/>
    <x v="0"/>
    <s v="United States"/>
    <s v="New York City"/>
    <x v="15"/>
    <n v="10011"/>
    <x v="3"/>
    <x v="0"/>
    <x v="5"/>
    <n v="71.97"/>
    <n v="3"/>
    <n v="0"/>
    <n v="16.553100000000001"/>
  </r>
  <r>
    <s v="Same Day"/>
    <x v="0"/>
    <s v="United States"/>
    <s v="Newark"/>
    <x v="13"/>
    <n v="19711"/>
    <x v="3"/>
    <x v="2"/>
    <x v="7"/>
    <n v="129.97999999999999"/>
    <n v="2"/>
    <n v="0"/>
    <n v="62.3904"/>
  </r>
  <r>
    <s v="Same Day"/>
    <x v="0"/>
    <s v="United States"/>
    <s v="Newark"/>
    <x v="13"/>
    <n v="19711"/>
    <x v="3"/>
    <x v="1"/>
    <x v="8"/>
    <n v="32.54"/>
    <n v="2"/>
    <n v="0"/>
    <n v="15.944599999999999"/>
  </r>
  <r>
    <s v="Standard Class"/>
    <x v="0"/>
    <s v="United States"/>
    <s v="Jackson"/>
    <x v="12"/>
    <n v="49201"/>
    <x v="2"/>
    <x v="2"/>
    <x v="7"/>
    <n v="10.9"/>
    <n v="1"/>
    <n v="0"/>
    <n v="3.052"/>
  </r>
  <r>
    <s v="Standard Class"/>
    <x v="0"/>
    <s v="United States"/>
    <s v="Jackson"/>
    <x v="12"/>
    <n v="49201"/>
    <x v="2"/>
    <x v="2"/>
    <x v="11"/>
    <n v="59.98"/>
    <n v="2"/>
    <n v="0"/>
    <n v="25.191600000000001"/>
  </r>
  <r>
    <s v="Standard Class"/>
    <x v="0"/>
    <s v="United States"/>
    <s v="Jackson"/>
    <x v="12"/>
    <n v="49201"/>
    <x v="2"/>
    <x v="1"/>
    <x v="9"/>
    <n v="61.929000000000002"/>
    <n v="1"/>
    <n v="0.1"/>
    <n v="23.395399999999999"/>
  </r>
  <r>
    <s v="Standard Class"/>
    <x v="0"/>
    <s v="United States"/>
    <s v="New York City"/>
    <x v="15"/>
    <n v="10011"/>
    <x v="3"/>
    <x v="1"/>
    <x v="12"/>
    <n v="16.52"/>
    <n v="4"/>
    <n v="0"/>
    <n v="7.5991999999999997"/>
  </r>
  <r>
    <s v="Standard Class"/>
    <x v="0"/>
    <s v="United States"/>
    <s v="New York City"/>
    <x v="15"/>
    <n v="10011"/>
    <x v="3"/>
    <x v="1"/>
    <x v="10"/>
    <n v="60.12"/>
    <n v="9"/>
    <n v="0"/>
    <n v="28.857600000000001"/>
  </r>
  <r>
    <s v="Standard Class"/>
    <x v="0"/>
    <s v="United States"/>
    <s v="New York City"/>
    <x v="15"/>
    <n v="10011"/>
    <x v="3"/>
    <x v="1"/>
    <x v="8"/>
    <n v="49.536000000000001"/>
    <n v="3"/>
    <n v="0.2"/>
    <n v="17.337599999999998"/>
  </r>
  <r>
    <s v="Same Day"/>
    <x v="0"/>
    <s v="United States"/>
    <s v="Rock Hill"/>
    <x v="20"/>
    <n v="29730"/>
    <x v="0"/>
    <x v="1"/>
    <x v="13"/>
    <n v="11.85"/>
    <n v="3"/>
    <n v="0"/>
    <n v="3.7919999999999998"/>
  </r>
  <r>
    <s v="Second Class"/>
    <x v="0"/>
    <s v="United States"/>
    <s v="Columbus"/>
    <x v="32"/>
    <n v="31907"/>
    <x v="0"/>
    <x v="1"/>
    <x v="4"/>
    <n v="118.25"/>
    <n v="5"/>
    <n v="0"/>
    <n v="34.292499999999997"/>
  </r>
  <r>
    <s v="Second Class"/>
    <x v="0"/>
    <s v="United States"/>
    <s v="Columbus"/>
    <x v="32"/>
    <n v="31907"/>
    <x v="0"/>
    <x v="0"/>
    <x v="1"/>
    <n v="368.97"/>
    <n v="3"/>
    <n v="0"/>
    <n v="81.173400000000001"/>
  </r>
  <r>
    <s v="Second Class"/>
    <x v="1"/>
    <s v="United States"/>
    <s v="Inglewood"/>
    <x v="1"/>
    <n v="90301"/>
    <x v="1"/>
    <x v="0"/>
    <x v="5"/>
    <n v="198.46"/>
    <n v="2"/>
    <n v="0"/>
    <n v="99.23"/>
  </r>
  <r>
    <s v="Second Class"/>
    <x v="1"/>
    <s v="United States"/>
    <s v="Inglewood"/>
    <x v="1"/>
    <n v="90301"/>
    <x v="1"/>
    <x v="1"/>
    <x v="9"/>
    <n v="321.92"/>
    <n v="4"/>
    <n v="0"/>
    <n v="96.575999999999993"/>
  </r>
  <r>
    <s v="Second Class"/>
    <x v="1"/>
    <s v="United States"/>
    <s v="Inglewood"/>
    <x v="1"/>
    <n v="90301"/>
    <x v="1"/>
    <x v="2"/>
    <x v="16"/>
    <n v="879.98400000000004"/>
    <n v="2"/>
    <n v="0.2"/>
    <n v="329.99400000000003"/>
  </r>
  <r>
    <s v="Second Class"/>
    <x v="1"/>
    <s v="United States"/>
    <s v="Inglewood"/>
    <x v="1"/>
    <n v="90301"/>
    <x v="1"/>
    <x v="1"/>
    <x v="14"/>
    <n v="28.4"/>
    <n v="5"/>
    <n v="0"/>
    <n v="8.2360000000000007"/>
  </r>
  <r>
    <s v="Second Class"/>
    <x v="1"/>
    <s v="United States"/>
    <s v="Inglewood"/>
    <x v="1"/>
    <n v="90301"/>
    <x v="1"/>
    <x v="0"/>
    <x v="1"/>
    <n v="230.28"/>
    <n v="3"/>
    <n v="0.2"/>
    <n v="23.027999999999999"/>
  </r>
  <r>
    <s v="Second Class"/>
    <x v="1"/>
    <s v="United States"/>
    <s v="Inglewood"/>
    <x v="1"/>
    <n v="90301"/>
    <x v="1"/>
    <x v="1"/>
    <x v="10"/>
    <n v="116.28"/>
    <n v="3"/>
    <n v="0"/>
    <n v="56.977200000000003"/>
  </r>
  <r>
    <s v="Second Class"/>
    <x v="1"/>
    <s v="United States"/>
    <s v="Inglewood"/>
    <x v="1"/>
    <n v="90301"/>
    <x v="1"/>
    <x v="1"/>
    <x v="8"/>
    <n v="841.56799999999998"/>
    <n v="2"/>
    <n v="0.2"/>
    <n v="294.54880000000003"/>
  </r>
  <r>
    <s v="Second Class"/>
    <x v="1"/>
    <s v="United States"/>
    <s v="Inglewood"/>
    <x v="1"/>
    <n v="90301"/>
    <x v="1"/>
    <x v="1"/>
    <x v="4"/>
    <n v="354.9"/>
    <n v="5"/>
    <n v="0"/>
    <n v="17.745000000000001"/>
  </r>
  <r>
    <s v="First Class"/>
    <x v="1"/>
    <s v="United States"/>
    <s v="Odessa"/>
    <x v="5"/>
    <n v="79762"/>
    <x v="2"/>
    <x v="1"/>
    <x v="10"/>
    <n v="42.783999999999999"/>
    <n v="7"/>
    <n v="0.2"/>
    <n v="15.5092"/>
  </r>
  <r>
    <s v="First Class"/>
    <x v="1"/>
    <s v="United States"/>
    <s v="Odessa"/>
    <x v="5"/>
    <n v="79762"/>
    <x v="2"/>
    <x v="0"/>
    <x v="1"/>
    <n v="563.42999999999995"/>
    <n v="5"/>
    <n v="0.3"/>
    <n v="-56.343000000000004"/>
  </r>
  <r>
    <s v="Standard Class"/>
    <x v="0"/>
    <s v="United States"/>
    <s v="Newark"/>
    <x v="24"/>
    <n v="43055"/>
    <x v="3"/>
    <x v="1"/>
    <x v="6"/>
    <n v="111.104"/>
    <n v="7"/>
    <n v="0.2"/>
    <n v="8.3328000000000007"/>
  </r>
  <r>
    <s v="Standard Class"/>
    <x v="1"/>
    <s v="United States"/>
    <s v="Los Angeles"/>
    <x v="1"/>
    <n v="90049"/>
    <x v="1"/>
    <x v="1"/>
    <x v="6"/>
    <n v="11.68"/>
    <n v="2"/>
    <n v="0"/>
    <n v="5.4896000000000003"/>
  </r>
  <r>
    <s v="Standard Class"/>
    <x v="1"/>
    <s v="United States"/>
    <s v="Los Angeles"/>
    <x v="1"/>
    <n v="90049"/>
    <x v="1"/>
    <x v="1"/>
    <x v="14"/>
    <n v="16.899999999999999"/>
    <n v="2"/>
    <n v="0"/>
    <n v="5.07"/>
  </r>
  <r>
    <s v="Standard Class"/>
    <x v="1"/>
    <s v="United States"/>
    <s v="Los Angeles"/>
    <x v="1"/>
    <n v="90049"/>
    <x v="1"/>
    <x v="0"/>
    <x v="5"/>
    <n v="24.4"/>
    <n v="2"/>
    <n v="0"/>
    <n v="10.247999999999999"/>
  </r>
  <r>
    <s v="Standard Class"/>
    <x v="0"/>
    <s v="United States"/>
    <s v="Everett"/>
    <x v="31"/>
    <n v="2149"/>
    <x v="3"/>
    <x v="1"/>
    <x v="10"/>
    <n v="87.6"/>
    <n v="5"/>
    <n v="0"/>
    <n v="42.048000000000002"/>
  </r>
  <r>
    <s v="Second Class"/>
    <x v="1"/>
    <s v="United States"/>
    <s v="West Allis"/>
    <x v="6"/>
    <n v="53214"/>
    <x v="2"/>
    <x v="0"/>
    <x v="0"/>
    <n v="241.96"/>
    <n v="2"/>
    <n v="0"/>
    <n v="24.196000000000002"/>
  </r>
  <r>
    <s v="Second Class"/>
    <x v="1"/>
    <s v="United States"/>
    <s v="West Allis"/>
    <x v="6"/>
    <n v="53214"/>
    <x v="2"/>
    <x v="1"/>
    <x v="8"/>
    <n v="8.52"/>
    <n v="3"/>
    <n v="0"/>
    <n v="4.1748000000000003"/>
  </r>
  <r>
    <s v="Standard Class"/>
    <x v="0"/>
    <s v="United States"/>
    <s v="Chicago"/>
    <x v="10"/>
    <n v="60623"/>
    <x v="2"/>
    <x v="1"/>
    <x v="8"/>
    <n v="1.788"/>
    <n v="3"/>
    <n v="0.8"/>
    <n v="-3.0396000000000001"/>
  </r>
  <r>
    <s v="Standard Class"/>
    <x v="1"/>
    <s v="United States"/>
    <s v="Houston"/>
    <x v="5"/>
    <n v="77036"/>
    <x v="2"/>
    <x v="0"/>
    <x v="3"/>
    <n v="99.372"/>
    <n v="2"/>
    <n v="0.3"/>
    <n v="-1.4196"/>
  </r>
  <r>
    <s v="Standard Class"/>
    <x v="1"/>
    <s v="United States"/>
    <s v="Houston"/>
    <x v="5"/>
    <n v="77036"/>
    <x v="2"/>
    <x v="1"/>
    <x v="6"/>
    <n v="1.3440000000000001"/>
    <n v="1"/>
    <n v="0.2"/>
    <n v="0.504"/>
  </r>
  <r>
    <s v="Second Class"/>
    <x v="2"/>
    <s v="United States"/>
    <s v="Houston"/>
    <x v="5"/>
    <n v="77036"/>
    <x v="2"/>
    <x v="2"/>
    <x v="7"/>
    <n v="119.96"/>
    <n v="5"/>
    <n v="0.2"/>
    <n v="11.996"/>
  </r>
  <r>
    <s v="Second Class"/>
    <x v="1"/>
    <s v="United States"/>
    <s v="Hialeah"/>
    <x v="2"/>
    <n v="33012"/>
    <x v="0"/>
    <x v="0"/>
    <x v="1"/>
    <n v="1013.832"/>
    <n v="9"/>
    <n v="0.2"/>
    <n v="101.3832"/>
  </r>
  <r>
    <s v="Second Class"/>
    <x v="1"/>
    <s v="United States"/>
    <s v="Hialeah"/>
    <x v="2"/>
    <n v="33012"/>
    <x v="0"/>
    <x v="1"/>
    <x v="13"/>
    <n v="1.984"/>
    <n v="2"/>
    <n v="0.2"/>
    <n v="0.66959999999999997"/>
  </r>
  <r>
    <s v="Standard Class"/>
    <x v="0"/>
    <s v="United States"/>
    <s v="San Francisco"/>
    <x v="1"/>
    <n v="94122"/>
    <x v="1"/>
    <x v="0"/>
    <x v="3"/>
    <n v="2003.52"/>
    <n v="6"/>
    <n v="0.2"/>
    <n v="-325.572"/>
  </r>
  <r>
    <s v="Standard Class"/>
    <x v="1"/>
    <s v="United States"/>
    <s v="Philadelphia"/>
    <x v="9"/>
    <n v="19140"/>
    <x v="3"/>
    <x v="1"/>
    <x v="4"/>
    <n v="82.367999999999995"/>
    <n v="2"/>
    <n v="0.2"/>
    <n v="-19.5624"/>
  </r>
  <r>
    <s v="Second Class"/>
    <x v="0"/>
    <s v="United States"/>
    <s v="Columbia"/>
    <x v="20"/>
    <n v="29203"/>
    <x v="0"/>
    <x v="2"/>
    <x v="11"/>
    <n v="62.91"/>
    <n v="3"/>
    <n v="0"/>
    <n v="22.647600000000001"/>
  </r>
  <r>
    <s v="Second Class"/>
    <x v="0"/>
    <s v="United States"/>
    <s v="Miami"/>
    <x v="2"/>
    <n v="33180"/>
    <x v="0"/>
    <x v="1"/>
    <x v="13"/>
    <n v="6.9119999999999999"/>
    <n v="3"/>
    <n v="0.2"/>
    <n v="2.3328000000000002"/>
  </r>
  <r>
    <s v="Second Class"/>
    <x v="0"/>
    <s v="United States"/>
    <s v="Miami"/>
    <x v="2"/>
    <n v="33180"/>
    <x v="0"/>
    <x v="2"/>
    <x v="11"/>
    <n v="383.976"/>
    <n v="3"/>
    <n v="0.2"/>
    <n v="81.594899999999996"/>
  </r>
  <r>
    <s v="Second Class"/>
    <x v="0"/>
    <s v="United States"/>
    <s v="Miami"/>
    <x v="2"/>
    <n v="33180"/>
    <x v="0"/>
    <x v="1"/>
    <x v="10"/>
    <n v="10.368"/>
    <n v="2"/>
    <n v="0.2"/>
    <n v="3.6288"/>
  </r>
  <r>
    <s v="Second Class"/>
    <x v="0"/>
    <s v="United States"/>
    <s v="Miami"/>
    <x v="2"/>
    <n v="33180"/>
    <x v="0"/>
    <x v="2"/>
    <x v="11"/>
    <n v="335.94400000000002"/>
    <n v="7"/>
    <n v="0.2"/>
    <n v="41.993000000000002"/>
  </r>
  <r>
    <s v="Standard Class"/>
    <x v="2"/>
    <s v="United States"/>
    <s v="Chula Vista"/>
    <x v="1"/>
    <n v="91911"/>
    <x v="1"/>
    <x v="0"/>
    <x v="5"/>
    <n v="665.88"/>
    <n v="6"/>
    <n v="0"/>
    <n v="106.5408"/>
  </r>
  <r>
    <s v="Second Class"/>
    <x v="2"/>
    <s v="United States"/>
    <s v="Miami"/>
    <x v="2"/>
    <n v="33180"/>
    <x v="0"/>
    <x v="2"/>
    <x v="7"/>
    <n v="71.975999999999999"/>
    <n v="3"/>
    <n v="0.2"/>
    <n v="8.9969999999999999"/>
  </r>
  <r>
    <s v="Standard Class"/>
    <x v="0"/>
    <s v="United States"/>
    <s v="New York City"/>
    <x v="15"/>
    <n v="10035"/>
    <x v="3"/>
    <x v="1"/>
    <x v="10"/>
    <n v="37.94"/>
    <n v="2"/>
    <n v="0"/>
    <n v="18.211200000000002"/>
  </r>
  <r>
    <s v="Standard Class"/>
    <x v="2"/>
    <s v="United States"/>
    <s v="Manhattan"/>
    <x v="41"/>
    <n v="66502"/>
    <x v="2"/>
    <x v="2"/>
    <x v="7"/>
    <n v="273.95999999999998"/>
    <n v="2"/>
    <n v="0"/>
    <n v="10.958399999999999"/>
  </r>
  <r>
    <s v="Second Class"/>
    <x v="0"/>
    <s v="United States"/>
    <s v="Philadelphia"/>
    <x v="9"/>
    <n v="19120"/>
    <x v="3"/>
    <x v="2"/>
    <x v="7"/>
    <n v="269.98200000000003"/>
    <n v="3"/>
    <n v="0.4"/>
    <n v="40.497300000000003"/>
  </r>
  <r>
    <s v="Second Class"/>
    <x v="0"/>
    <s v="United States"/>
    <s v="Memphis"/>
    <x v="18"/>
    <n v="38109"/>
    <x v="0"/>
    <x v="1"/>
    <x v="10"/>
    <n v="8.9039999999999999"/>
    <n v="3"/>
    <n v="0.2"/>
    <n v="3.339"/>
  </r>
  <r>
    <s v="Second Class"/>
    <x v="0"/>
    <s v="United States"/>
    <s v="Memphis"/>
    <x v="18"/>
    <n v="38109"/>
    <x v="0"/>
    <x v="1"/>
    <x v="4"/>
    <n v="720.06399999999996"/>
    <n v="4"/>
    <n v="0.2"/>
    <n v="-63.005600000000001"/>
  </r>
  <r>
    <s v="Standard Class"/>
    <x v="2"/>
    <s v="United States"/>
    <s v="Fort Lauderdale"/>
    <x v="2"/>
    <n v="33311"/>
    <x v="0"/>
    <x v="2"/>
    <x v="11"/>
    <n v="41.423999999999999"/>
    <n v="2"/>
    <n v="0.2"/>
    <n v="8.2848000000000006"/>
  </r>
  <r>
    <s v="Standard Class"/>
    <x v="2"/>
    <s v="United States"/>
    <s v="Columbus"/>
    <x v="24"/>
    <n v="43229"/>
    <x v="3"/>
    <x v="1"/>
    <x v="8"/>
    <n v="3.1320000000000001"/>
    <n v="2"/>
    <n v="0.7"/>
    <n v="-2.61"/>
  </r>
  <r>
    <s v="Standard Class"/>
    <x v="1"/>
    <s v="United States"/>
    <s v="Los Angeles"/>
    <x v="1"/>
    <n v="90045"/>
    <x v="1"/>
    <x v="1"/>
    <x v="4"/>
    <n v="1085.42"/>
    <n v="7"/>
    <n v="0"/>
    <n v="282.20920000000001"/>
  </r>
  <r>
    <s v="Standard Class"/>
    <x v="0"/>
    <s v="United States"/>
    <s v="Houston"/>
    <x v="5"/>
    <n v="77041"/>
    <x v="2"/>
    <x v="1"/>
    <x v="6"/>
    <n v="3.9119999999999999"/>
    <n v="1"/>
    <n v="0.2"/>
    <n v="1.0268999999999999"/>
  </r>
  <r>
    <s v="Standard Class"/>
    <x v="0"/>
    <s v="United States"/>
    <s v="Houston"/>
    <x v="5"/>
    <n v="77041"/>
    <x v="2"/>
    <x v="1"/>
    <x v="6"/>
    <n v="62.375999999999998"/>
    <n v="3"/>
    <n v="0.2"/>
    <n v="7.0172999999999996"/>
  </r>
  <r>
    <s v="Standard Class"/>
    <x v="2"/>
    <s v="United States"/>
    <s v="Omaha"/>
    <x v="8"/>
    <n v="68104"/>
    <x v="2"/>
    <x v="1"/>
    <x v="13"/>
    <n v="29.05"/>
    <n v="5"/>
    <n v="0"/>
    <n v="9.0054999999999996"/>
  </r>
  <r>
    <s v="Standard Class"/>
    <x v="2"/>
    <s v="United States"/>
    <s v="Los Angeles"/>
    <x v="1"/>
    <n v="90004"/>
    <x v="1"/>
    <x v="1"/>
    <x v="8"/>
    <n v="180.96"/>
    <n v="6"/>
    <n v="0.2"/>
    <n v="67.86"/>
  </r>
  <r>
    <s v="First Class"/>
    <x v="1"/>
    <s v="United States"/>
    <s v="Altoona"/>
    <x v="9"/>
    <n v="16602"/>
    <x v="3"/>
    <x v="1"/>
    <x v="8"/>
    <n v="4.4189999999999996"/>
    <n v="3"/>
    <n v="0.7"/>
    <n v="-3.3879000000000001"/>
  </r>
  <r>
    <s v="First Class"/>
    <x v="1"/>
    <s v="United States"/>
    <s v="Altoona"/>
    <x v="9"/>
    <n v="16602"/>
    <x v="3"/>
    <x v="1"/>
    <x v="6"/>
    <n v="16.032"/>
    <n v="6"/>
    <n v="0.2"/>
    <n v="2.2044000000000001"/>
  </r>
  <r>
    <s v="Standard Class"/>
    <x v="0"/>
    <s v="United States"/>
    <s v="New York City"/>
    <x v="15"/>
    <n v="10024"/>
    <x v="3"/>
    <x v="1"/>
    <x v="6"/>
    <n v="29.79"/>
    <n v="3"/>
    <n v="0"/>
    <n v="12.511799999999999"/>
  </r>
  <r>
    <s v="Standard Class"/>
    <x v="0"/>
    <s v="United States"/>
    <s v="San Diego"/>
    <x v="1"/>
    <n v="92037"/>
    <x v="1"/>
    <x v="1"/>
    <x v="4"/>
    <n v="57.23"/>
    <n v="1"/>
    <n v="0"/>
    <n v="14.307499999999999"/>
  </r>
  <r>
    <s v="Standard Class"/>
    <x v="0"/>
    <s v="United States"/>
    <s v="San Diego"/>
    <x v="1"/>
    <n v="92037"/>
    <x v="1"/>
    <x v="0"/>
    <x v="3"/>
    <n v="333"/>
    <n v="3"/>
    <n v="0.2"/>
    <n v="-16.649999999999999"/>
  </r>
  <r>
    <s v="Standard Class"/>
    <x v="0"/>
    <s v="United States"/>
    <s v="San Diego"/>
    <x v="1"/>
    <n v="92037"/>
    <x v="1"/>
    <x v="1"/>
    <x v="6"/>
    <n v="36.44"/>
    <n v="4"/>
    <n v="0"/>
    <n v="12.0252"/>
  </r>
  <r>
    <s v="First Class"/>
    <x v="0"/>
    <s v="United States"/>
    <s v="Miami"/>
    <x v="2"/>
    <n v="33178"/>
    <x v="0"/>
    <x v="1"/>
    <x v="10"/>
    <n v="251.64"/>
    <n v="3"/>
    <n v="0.2"/>
    <n v="88.073999999999998"/>
  </r>
  <r>
    <s v="First Class"/>
    <x v="1"/>
    <s v="United States"/>
    <s v="Greensboro"/>
    <x v="3"/>
    <n v="27405"/>
    <x v="0"/>
    <x v="0"/>
    <x v="3"/>
    <n v="523.76400000000001"/>
    <n v="3"/>
    <n v="0.4"/>
    <n v="-192.04679999999999"/>
  </r>
  <r>
    <s v="First Class"/>
    <x v="1"/>
    <s v="United States"/>
    <s v="Greensboro"/>
    <x v="3"/>
    <n v="27405"/>
    <x v="0"/>
    <x v="2"/>
    <x v="7"/>
    <n v="1359.96"/>
    <n v="5"/>
    <n v="0.2"/>
    <n v="118.9965"/>
  </r>
  <r>
    <s v="Standard Class"/>
    <x v="0"/>
    <s v="United States"/>
    <s v="Jacksonville"/>
    <x v="3"/>
    <n v="28540"/>
    <x v="0"/>
    <x v="0"/>
    <x v="1"/>
    <n v="102.592"/>
    <n v="1"/>
    <n v="0.2"/>
    <n v="10.2592"/>
  </r>
  <r>
    <s v="Standard Class"/>
    <x v="0"/>
    <s v="United States"/>
    <s v="Jacksonville"/>
    <x v="3"/>
    <n v="28540"/>
    <x v="0"/>
    <x v="2"/>
    <x v="11"/>
    <n v="22.704000000000001"/>
    <n v="1"/>
    <n v="0.2"/>
    <n v="5.9598000000000004"/>
  </r>
  <r>
    <s v="Standard Class"/>
    <x v="0"/>
    <s v="United States"/>
    <s v="Jacksonville"/>
    <x v="3"/>
    <n v="28540"/>
    <x v="0"/>
    <x v="1"/>
    <x v="10"/>
    <n v="93.024000000000001"/>
    <n v="3"/>
    <n v="0.2"/>
    <n v="33.721200000000003"/>
  </r>
  <r>
    <s v="Standard Class"/>
    <x v="0"/>
    <s v="United States"/>
    <s v="Jacksonville"/>
    <x v="3"/>
    <n v="28540"/>
    <x v="0"/>
    <x v="1"/>
    <x v="14"/>
    <n v="12.768000000000001"/>
    <n v="2"/>
    <n v="0.2"/>
    <n v="1.4363999999999999"/>
  </r>
  <r>
    <s v="Standard Class"/>
    <x v="0"/>
    <s v="United States"/>
    <s v="Jacksonville"/>
    <x v="3"/>
    <n v="28540"/>
    <x v="0"/>
    <x v="1"/>
    <x v="12"/>
    <n v="35.008000000000003"/>
    <n v="4"/>
    <n v="0.2"/>
    <n v="13.128"/>
  </r>
  <r>
    <s v="Standard Class"/>
    <x v="0"/>
    <s v="United States"/>
    <s v="Jacksonville"/>
    <x v="3"/>
    <n v="28540"/>
    <x v="0"/>
    <x v="1"/>
    <x v="10"/>
    <n v="39.152000000000001"/>
    <n v="1"/>
    <n v="0.2"/>
    <n v="14.682"/>
  </r>
  <r>
    <s v="Standard Class"/>
    <x v="1"/>
    <s v="United States"/>
    <s v="Plantation"/>
    <x v="2"/>
    <n v="33317"/>
    <x v="0"/>
    <x v="1"/>
    <x v="6"/>
    <n v="11.76"/>
    <n v="5"/>
    <n v="0.2"/>
    <n v="1.323"/>
  </r>
  <r>
    <s v="Standard Class"/>
    <x v="1"/>
    <s v="United States"/>
    <s v="Plantation"/>
    <x v="2"/>
    <n v="33317"/>
    <x v="0"/>
    <x v="1"/>
    <x v="8"/>
    <n v="5.2380000000000004"/>
    <n v="2"/>
    <n v="0.7"/>
    <n v="-4.0157999999999996"/>
  </r>
  <r>
    <s v="Standard Class"/>
    <x v="1"/>
    <s v="United States"/>
    <s v="Plantation"/>
    <x v="2"/>
    <n v="33317"/>
    <x v="0"/>
    <x v="1"/>
    <x v="8"/>
    <n v="4.6619999999999999"/>
    <n v="3"/>
    <n v="0.7"/>
    <n v="-3.7296"/>
  </r>
  <r>
    <s v="Standard Class"/>
    <x v="1"/>
    <s v="United States"/>
    <s v="Plantation"/>
    <x v="2"/>
    <n v="33317"/>
    <x v="0"/>
    <x v="0"/>
    <x v="1"/>
    <n v="523.91999999999996"/>
    <n v="5"/>
    <n v="0.2"/>
    <n v="-72.039000000000001"/>
  </r>
  <r>
    <s v="Standard Class"/>
    <x v="1"/>
    <s v="United States"/>
    <s v="Plantation"/>
    <x v="2"/>
    <n v="33317"/>
    <x v="0"/>
    <x v="2"/>
    <x v="7"/>
    <n v="100.792"/>
    <n v="1"/>
    <n v="0.2"/>
    <n v="10.0792"/>
  </r>
  <r>
    <s v="Standard Class"/>
    <x v="1"/>
    <s v="United States"/>
    <s v="Plantation"/>
    <x v="2"/>
    <n v="33317"/>
    <x v="0"/>
    <x v="0"/>
    <x v="1"/>
    <n v="146.136"/>
    <n v="3"/>
    <n v="0.2"/>
    <n v="16.440300000000001"/>
  </r>
  <r>
    <s v="Same Day"/>
    <x v="0"/>
    <s v="United States"/>
    <s v="Milwaukee"/>
    <x v="6"/>
    <n v="53209"/>
    <x v="2"/>
    <x v="1"/>
    <x v="2"/>
    <n v="25.06"/>
    <n v="2"/>
    <n v="0"/>
    <n v="11.7782"/>
  </r>
  <r>
    <s v="Standard Class"/>
    <x v="0"/>
    <s v="United States"/>
    <s v="Quincy"/>
    <x v="10"/>
    <n v="62301"/>
    <x v="2"/>
    <x v="1"/>
    <x v="2"/>
    <n v="19.824000000000002"/>
    <n v="6"/>
    <n v="0.2"/>
    <n v="6.4428000000000001"/>
  </r>
  <r>
    <s v="Same Day"/>
    <x v="0"/>
    <s v="United States"/>
    <s v="Jacksonville"/>
    <x v="2"/>
    <n v="32216"/>
    <x v="0"/>
    <x v="2"/>
    <x v="7"/>
    <n v="823.96"/>
    <n v="5"/>
    <n v="0.2"/>
    <n v="51.497500000000002"/>
  </r>
  <r>
    <s v="Same Day"/>
    <x v="0"/>
    <s v="United States"/>
    <s v="Jacksonville"/>
    <x v="2"/>
    <n v="32216"/>
    <x v="0"/>
    <x v="1"/>
    <x v="10"/>
    <n v="15.984"/>
    <n v="2"/>
    <n v="0.2"/>
    <n v="4.9950000000000001"/>
  </r>
  <r>
    <s v="Standard Class"/>
    <x v="0"/>
    <s v="United States"/>
    <s v="Mobile"/>
    <x v="19"/>
    <n v="36608"/>
    <x v="0"/>
    <x v="0"/>
    <x v="3"/>
    <n v="801.96"/>
    <n v="2"/>
    <n v="0"/>
    <n v="200.49"/>
  </r>
  <r>
    <s v="Standard Class"/>
    <x v="0"/>
    <s v="United States"/>
    <s v="Mobile"/>
    <x v="19"/>
    <n v="36608"/>
    <x v="0"/>
    <x v="2"/>
    <x v="7"/>
    <n v="59.97"/>
    <n v="3"/>
    <n v="0"/>
    <n v="0"/>
  </r>
  <r>
    <s v="Standard Class"/>
    <x v="0"/>
    <s v="United States"/>
    <s v="Mobile"/>
    <x v="19"/>
    <n v="36608"/>
    <x v="0"/>
    <x v="0"/>
    <x v="1"/>
    <n v="1056.8599999999999"/>
    <n v="7"/>
    <n v="0"/>
    <n v="306.48939999999999"/>
  </r>
  <r>
    <s v="Standard Class"/>
    <x v="0"/>
    <s v="United States"/>
    <s v="New York City"/>
    <x v="15"/>
    <n v="10024"/>
    <x v="3"/>
    <x v="1"/>
    <x v="8"/>
    <n v="12.816000000000001"/>
    <n v="3"/>
    <n v="0.2"/>
    <n v="4.3254000000000001"/>
  </r>
  <r>
    <s v="Standard Class"/>
    <x v="0"/>
    <s v="United States"/>
    <s v="New York City"/>
    <x v="15"/>
    <n v="10024"/>
    <x v="3"/>
    <x v="0"/>
    <x v="0"/>
    <n v="314.35199999999998"/>
    <n v="3"/>
    <n v="0.2"/>
    <n v="-15.717599999999999"/>
  </r>
  <r>
    <s v="Standard Class"/>
    <x v="0"/>
    <s v="United States"/>
    <s v="New York City"/>
    <x v="15"/>
    <n v="10024"/>
    <x v="3"/>
    <x v="1"/>
    <x v="10"/>
    <n v="18.98"/>
    <n v="2"/>
    <n v="0"/>
    <n v="8.9206000000000003"/>
  </r>
  <r>
    <s v="Standard Class"/>
    <x v="0"/>
    <s v="United States"/>
    <s v="New York City"/>
    <x v="15"/>
    <n v="10024"/>
    <x v="3"/>
    <x v="1"/>
    <x v="8"/>
    <n v="18.239999999999998"/>
    <n v="6"/>
    <n v="0.2"/>
    <n v="6.1559999999999997"/>
  </r>
  <r>
    <s v="Standard Class"/>
    <x v="0"/>
    <s v="United States"/>
    <s v="New York City"/>
    <x v="15"/>
    <n v="10011"/>
    <x v="3"/>
    <x v="1"/>
    <x v="4"/>
    <n v="991.2"/>
    <n v="6"/>
    <n v="0"/>
    <n v="257.71199999999999"/>
  </r>
  <r>
    <s v="Standard Class"/>
    <x v="0"/>
    <s v="United States"/>
    <s v="New York City"/>
    <x v="15"/>
    <n v="10011"/>
    <x v="3"/>
    <x v="2"/>
    <x v="16"/>
    <n v="879.98400000000004"/>
    <n v="2"/>
    <n v="0.2"/>
    <n v="329.99400000000003"/>
  </r>
  <r>
    <s v="Standard Class"/>
    <x v="0"/>
    <s v="United States"/>
    <s v="New York City"/>
    <x v="15"/>
    <n v="10011"/>
    <x v="3"/>
    <x v="1"/>
    <x v="8"/>
    <n v="12.96"/>
    <n v="9"/>
    <n v="0.2"/>
    <n v="4.5359999999999996"/>
  </r>
  <r>
    <s v="Standard Class"/>
    <x v="1"/>
    <s v="United States"/>
    <s v="Dallas"/>
    <x v="5"/>
    <n v="75217"/>
    <x v="2"/>
    <x v="1"/>
    <x v="4"/>
    <n v="107.44"/>
    <n v="10"/>
    <n v="0.2"/>
    <n v="10.744"/>
  </r>
  <r>
    <s v="Standard Class"/>
    <x v="1"/>
    <s v="United States"/>
    <s v="Detroit"/>
    <x v="12"/>
    <n v="48234"/>
    <x v="2"/>
    <x v="0"/>
    <x v="1"/>
    <n v="1458.65"/>
    <n v="5"/>
    <n v="0"/>
    <n v="423.00850000000003"/>
  </r>
  <r>
    <s v="Standard Class"/>
    <x v="1"/>
    <s v="United States"/>
    <s v="Detroit"/>
    <x v="12"/>
    <n v="48234"/>
    <x v="2"/>
    <x v="0"/>
    <x v="1"/>
    <n v="26.64"/>
    <n v="1"/>
    <n v="0"/>
    <n v="7.4592000000000001"/>
  </r>
  <r>
    <s v="Standard Class"/>
    <x v="1"/>
    <s v="United States"/>
    <s v="Detroit"/>
    <x v="12"/>
    <n v="48234"/>
    <x v="2"/>
    <x v="0"/>
    <x v="1"/>
    <n v="476.8"/>
    <n v="2"/>
    <n v="0"/>
    <n v="119.2"/>
  </r>
  <r>
    <s v="Standard Class"/>
    <x v="1"/>
    <s v="United States"/>
    <s v="Detroit"/>
    <x v="12"/>
    <n v="48234"/>
    <x v="2"/>
    <x v="1"/>
    <x v="9"/>
    <n v="87.444000000000003"/>
    <n v="2"/>
    <n v="0.1"/>
    <n v="18.4604"/>
  </r>
  <r>
    <s v="Standard Class"/>
    <x v="0"/>
    <s v="United States"/>
    <s v="Dover"/>
    <x v="13"/>
    <n v="19901"/>
    <x v="3"/>
    <x v="0"/>
    <x v="5"/>
    <n v="76.14"/>
    <n v="3"/>
    <n v="0"/>
    <n v="26.649000000000001"/>
  </r>
  <r>
    <s v="Standard Class"/>
    <x v="0"/>
    <s v="United States"/>
    <s v="Dover"/>
    <x v="13"/>
    <n v="19901"/>
    <x v="3"/>
    <x v="1"/>
    <x v="8"/>
    <n v="19.96"/>
    <n v="2"/>
    <n v="0"/>
    <n v="9.3811999999999998"/>
  </r>
  <r>
    <s v="Same Day"/>
    <x v="1"/>
    <s v="United States"/>
    <s v="Columbus"/>
    <x v="24"/>
    <n v="43229"/>
    <x v="3"/>
    <x v="2"/>
    <x v="7"/>
    <n v="1049.97"/>
    <n v="5"/>
    <n v="0.4"/>
    <n v="-209.994"/>
  </r>
  <r>
    <s v="Same Day"/>
    <x v="1"/>
    <s v="United States"/>
    <s v="Columbus"/>
    <x v="24"/>
    <n v="43229"/>
    <x v="3"/>
    <x v="0"/>
    <x v="1"/>
    <n v="611.05799999999999"/>
    <n v="3"/>
    <n v="0.3"/>
    <n v="-34.9176"/>
  </r>
  <r>
    <s v="Standard Class"/>
    <x v="1"/>
    <s v="United States"/>
    <s v="Glendale"/>
    <x v="16"/>
    <n v="85301"/>
    <x v="1"/>
    <x v="1"/>
    <x v="13"/>
    <n v="2.3679999999999999"/>
    <n v="2"/>
    <n v="0.2"/>
    <n v="0.82879999999999998"/>
  </r>
  <r>
    <s v="Standard Class"/>
    <x v="1"/>
    <s v="United States"/>
    <s v="Glendale"/>
    <x v="16"/>
    <n v="85301"/>
    <x v="1"/>
    <x v="1"/>
    <x v="10"/>
    <n v="19.007999999999999"/>
    <n v="3"/>
    <n v="0.2"/>
    <n v="6.8903999999999996"/>
  </r>
  <r>
    <s v="Standard Class"/>
    <x v="0"/>
    <s v="United States"/>
    <s v="North Las Vegas"/>
    <x v="33"/>
    <n v="89031"/>
    <x v="1"/>
    <x v="2"/>
    <x v="7"/>
    <n v="911.98400000000004"/>
    <n v="2"/>
    <n v="0.2"/>
    <n v="113.998"/>
  </r>
  <r>
    <s v="Standard Class"/>
    <x v="0"/>
    <s v="United States"/>
    <s v="North Las Vegas"/>
    <x v="33"/>
    <n v="89031"/>
    <x v="1"/>
    <x v="0"/>
    <x v="1"/>
    <n v="674.35199999999998"/>
    <n v="3"/>
    <n v="0.2"/>
    <n v="-109.5822"/>
  </r>
  <r>
    <s v="Standard Class"/>
    <x v="0"/>
    <s v="United States"/>
    <s v="North Las Vegas"/>
    <x v="33"/>
    <n v="89031"/>
    <x v="1"/>
    <x v="0"/>
    <x v="5"/>
    <n v="134.01"/>
    <n v="9"/>
    <n v="0"/>
    <n v="36.182699999999997"/>
  </r>
  <r>
    <s v="Standard Class"/>
    <x v="0"/>
    <s v="United States"/>
    <s v="North Las Vegas"/>
    <x v="33"/>
    <n v="89031"/>
    <x v="1"/>
    <x v="2"/>
    <x v="11"/>
    <n v="170.97"/>
    <n v="3"/>
    <n v="0"/>
    <n v="70.097700000000003"/>
  </r>
  <r>
    <s v="Standard Class"/>
    <x v="1"/>
    <s v="United States"/>
    <s v="Bristol"/>
    <x v="18"/>
    <n v="37620"/>
    <x v="0"/>
    <x v="0"/>
    <x v="1"/>
    <n v="170.352"/>
    <n v="3"/>
    <n v="0.2"/>
    <n v="10.647"/>
  </r>
  <r>
    <s v="First Class"/>
    <x v="1"/>
    <s v="United States"/>
    <s v="Los Angeles"/>
    <x v="1"/>
    <n v="90049"/>
    <x v="1"/>
    <x v="1"/>
    <x v="8"/>
    <n v="7.1840000000000002"/>
    <n v="2"/>
    <n v="0.2"/>
    <n v="2.2450000000000001"/>
  </r>
  <r>
    <s v="First Class"/>
    <x v="1"/>
    <s v="United States"/>
    <s v="Los Angeles"/>
    <x v="1"/>
    <n v="90049"/>
    <x v="1"/>
    <x v="1"/>
    <x v="14"/>
    <n v="6.28"/>
    <n v="2"/>
    <n v="0"/>
    <n v="6.2799999999999995E-2"/>
  </r>
  <r>
    <s v="First Class"/>
    <x v="1"/>
    <s v="United States"/>
    <s v="Los Angeles"/>
    <x v="1"/>
    <n v="90049"/>
    <x v="1"/>
    <x v="1"/>
    <x v="14"/>
    <n v="480.74"/>
    <n v="2"/>
    <n v="0"/>
    <n v="14.4222"/>
  </r>
  <r>
    <s v="First Class"/>
    <x v="1"/>
    <s v="United States"/>
    <s v="Los Angeles"/>
    <x v="1"/>
    <n v="90049"/>
    <x v="1"/>
    <x v="0"/>
    <x v="0"/>
    <n v="616.99800000000005"/>
    <n v="6"/>
    <n v="0.15"/>
    <n v="-36.293999999999997"/>
  </r>
  <r>
    <s v="First Class"/>
    <x v="1"/>
    <s v="United States"/>
    <s v="Los Angeles"/>
    <x v="1"/>
    <n v="90049"/>
    <x v="1"/>
    <x v="1"/>
    <x v="4"/>
    <n v="141.4"/>
    <n v="5"/>
    <n v="0"/>
    <n v="38.177999999999997"/>
  </r>
  <r>
    <s v="Second Class"/>
    <x v="2"/>
    <s v="United States"/>
    <s v="Canton"/>
    <x v="12"/>
    <n v="48187"/>
    <x v="2"/>
    <x v="1"/>
    <x v="4"/>
    <n v="501.81"/>
    <n v="3"/>
    <n v="0"/>
    <n v="0"/>
  </r>
  <r>
    <s v="First Class"/>
    <x v="0"/>
    <s v="United States"/>
    <s v="Fayetteville"/>
    <x v="36"/>
    <n v="72701"/>
    <x v="0"/>
    <x v="1"/>
    <x v="8"/>
    <n v="691.96"/>
    <n v="4"/>
    <n v="0"/>
    <n v="318.30160000000001"/>
  </r>
  <r>
    <s v="First Class"/>
    <x v="0"/>
    <s v="United States"/>
    <s v="Fayetteville"/>
    <x v="36"/>
    <n v="72701"/>
    <x v="0"/>
    <x v="2"/>
    <x v="11"/>
    <n v="34.950000000000003"/>
    <n v="5"/>
    <n v="0"/>
    <n v="15.378"/>
  </r>
  <r>
    <s v="Standard Class"/>
    <x v="1"/>
    <s v="United States"/>
    <s v="Springfield"/>
    <x v="25"/>
    <n v="65807"/>
    <x v="2"/>
    <x v="1"/>
    <x v="10"/>
    <n v="85.96"/>
    <n v="7"/>
    <n v="0"/>
    <n v="40.401200000000003"/>
  </r>
  <r>
    <s v="Same Day"/>
    <x v="2"/>
    <s v="United States"/>
    <s v="Quincy"/>
    <x v="31"/>
    <n v="2169"/>
    <x v="3"/>
    <x v="0"/>
    <x v="5"/>
    <n v="85.3"/>
    <n v="2"/>
    <n v="0"/>
    <n v="14.500999999999999"/>
  </r>
  <r>
    <s v="First Class"/>
    <x v="0"/>
    <s v="United States"/>
    <s v="Rockford"/>
    <x v="10"/>
    <n v="61107"/>
    <x v="2"/>
    <x v="1"/>
    <x v="8"/>
    <n v="33.567999999999998"/>
    <n v="8"/>
    <n v="0.8"/>
    <n v="-53.708799999999997"/>
  </r>
  <r>
    <s v="Standard Class"/>
    <x v="2"/>
    <s v="United States"/>
    <s v="San Francisco"/>
    <x v="1"/>
    <n v="94122"/>
    <x v="1"/>
    <x v="0"/>
    <x v="5"/>
    <n v="4.95"/>
    <n v="1"/>
    <n v="0"/>
    <n v="2.1779999999999999"/>
  </r>
  <r>
    <s v="Standard Class"/>
    <x v="2"/>
    <s v="United States"/>
    <s v="San Francisco"/>
    <x v="1"/>
    <n v="94122"/>
    <x v="1"/>
    <x v="1"/>
    <x v="4"/>
    <n v="26.4"/>
    <n v="5"/>
    <n v="0"/>
    <n v="0"/>
  </r>
  <r>
    <s v="Second Class"/>
    <x v="0"/>
    <s v="United States"/>
    <s v="San Antonio"/>
    <x v="5"/>
    <n v="78207"/>
    <x v="2"/>
    <x v="1"/>
    <x v="8"/>
    <n v="3.5640000000000001"/>
    <n v="3"/>
    <n v="0.8"/>
    <n v="-6.2370000000000001"/>
  </r>
  <r>
    <s v="Second Class"/>
    <x v="0"/>
    <s v="United States"/>
    <s v="San Antonio"/>
    <x v="5"/>
    <n v="78207"/>
    <x v="2"/>
    <x v="2"/>
    <x v="7"/>
    <n v="823.96"/>
    <n v="5"/>
    <n v="0.2"/>
    <n v="51.497500000000002"/>
  </r>
  <r>
    <s v="Second Class"/>
    <x v="0"/>
    <s v="United States"/>
    <s v="San Antonio"/>
    <x v="5"/>
    <n v="78207"/>
    <x v="2"/>
    <x v="1"/>
    <x v="6"/>
    <n v="10.272"/>
    <n v="3"/>
    <n v="0.2"/>
    <n v="0.89880000000000004"/>
  </r>
  <r>
    <s v="Same Day"/>
    <x v="0"/>
    <s v="United States"/>
    <s v="Thornton"/>
    <x v="22"/>
    <n v="80229"/>
    <x v="1"/>
    <x v="2"/>
    <x v="11"/>
    <n v="447.94400000000002"/>
    <n v="7"/>
    <n v="0.2"/>
    <n v="89.588800000000006"/>
  </r>
  <r>
    <s v="Standard Class"/>
    <x v="2"/>
    <s v="United States"/>
    <s v="Chicago"/>
    <x v="10"/>
    <n v="60653"/>
    <x v="2"/>
    <x v="0"/>
    <x v="3"/>
    <n v="480.96"/>
    <n v="3"/>
    <n v="0.5"/>
    <n v="-269.33760000000001"/>
  </r>
  <r>
    <s v="Standard Class"/>
    <x v="2"/>
    <s v="United States"/>
    <s v="Chicago"/>
    <x v="10"/>
    <n v="60653"/>
    <x v="2"/>
    <x v="2"/>
    <x v="7"/>
    <n v="124.792"/>
    <n v="1"/>
    <n v="0.2"/>
    <n v="10.9193"/>
  </r>
  <r>
    <s v="Standard Class"/>
    <x v="0"/>
    <s v="United States"/>
    <s v="Yonkers"/>
    <x v="15"/>
    <n v="10701"/>
    <x v="3"/>
    <x v="1"/>
    <x v="8"/>
    <n v="40.176000000000002"/>
    <n v="3"/>
    <n v="0.2"/>
    <n v="14.563800000000001"/>
  </r>
  <r>
    <s v="Standard Class"/>
    <x v="0"/>
    <s v="United States"/>
    <s v="Yonkers"/>
    <x v="15"/>
    <n v="10701"/>
    <x v="3"/>
    <x v="1"/>
    <x v="8"/>
    <n v="10.896000000000001"/>
    <n v="3"/>
    <n v="0.2"/>
    <n v="3.9498000000000002"/>
  </r>
  <r>
    <s v="Second Class"/>
    <x v="0"/>
    <s v="United States"/>
    <s v="San Diego"/>
    <x v="1"/>
    <n v="92037"/>
    <x v="1"/>
    <x v="1"/>
    <x v="6"/>
    <n v="10.64"/>
    <n v="4"/>
    <n v="0"/>
    <n v="2.7664"/>
  </r>
  <r>
    <s v="Standard Class"/>
    <x v="0"/>
    <s v="United States"/>
    <s v="Champaign"/>
    <x v="10"/>
    <n v="61821"/>
    <x v="2"/>
    <x v="0"/>
    <x v="5"/>
    <n v="151.96"/>
    <n v="5"/>
    <n v="0.6"/>
    <n v="-182.352"/>
  </r>
  <r>
    <s v="Second Class"/>
    <x v="0"/>
    <s v="United States"/>
    <s v="San Francisco"/>
    <x v="1"/>
    <n v="94122"/>
    <x v="1"/>
    <x v="2"/>
    <x v="11"/>
    <n v="238"/>
    <n v="2"/>
    <n v="0"/>
    <n v="38.08"/>
  </r>
  <r>
    <s v="Second Class"/>
    <x v="0"/>
    <s v="United States"/>
    <s v="Lawrence"/>
    <x v="14"/>
    <n v="46226"/>
    <x v="2"/>
    <x v="2"/>
    <x v="11"/>
    <n v="155.34"/>
    <n v="6"/>
    <n v="0"/>
    <n v="55.922400000000003"/>
  </r>
  <r>
    <s v="Second Class"/>
    <x v="0"/>
    <s v="United States"/>
    <s v="San Diego"/>
    <x v="1"/>
    <n v="92105"/>
    <x v="1"/>
    <x v="2"/>
    <x v="11"/>
    <n v="148.32"/>
    <n v="9"/>
    <n v="0"/>
    <n v="63.7776"/>
  </r>
  <r>
    <s v="Second Class"/>
    <x v="0"/>
    <s v="United States"/>
    <s v="San Diego"/>
    <x v="1"/>
    <n v="92105"/>
    <x v="1"/>
    <x v="0"/>
    <x v="1"/>
    <n v="240.78399999999999"/>
    <n v="1"/>
    <n v="0.2"/>
    <n v="27.088200000000001"/>
  </r>
  <r>
    <s v="Second Class"/>
    <x v="0"/>
    <s v="United States"/>
    <s v="San Diego"/>
    <x v="1"/>
    <n v="92105"/>
    <x v="1"/>
    <x v="0"/>
    <x v="1"/>
    <n v="191.96799999999999"/>
    <n v="7"/>
    <n v="0.2"/>
    <n v="16.7972"/>
  </r>
  <r>
    <s v="Second Class"/>
    <x v="0"/>
    <s v="United States"/>
    <s v="San Diego"/>
    <x v="1"/>
    <n v="92105"/>
    <x v="1"/>
    <x v="1"/>
    <x v="10"/>
    <n v="11.56"/>
    <n v="2"/>
    <n v="0"/>
    <n v="5.6643999999999997"/>
  </r>
  <r>
    <s v="Second Class"/>
    <x v="0"/>
    <s v="United States"/>
    <s v="San Diego"/>
    <x v="1"/>
    <n v="92105"/>
    <x v="1"/>
    <x v="1"/>
    <x v="12"/>
    <n v="11.8"/>
    <n v="4"/>
    <n v="0"/>
    <n v="5.6639999999999997"/>
  </r>
  <r>
    <s v="Second Class"/>
    <x v="0"/>
    <s v="United States"/>
    <s v="San Diego"/>
    <x v="1"/>
    <n v="92105"/>
    <x v="1"/>
    <x v="0"/>
    <x v="1"/>
    <n v="842.35199999999998"/>
    <n v="3"/>
    <n v="0.2"/>
    <n v="42.117600000000003"/>
  </r>
  <r>
    <s v="Second Class"/>
    <x v="0"/>
    <s v="United States"/>
    <s v="Johnson City"/>
    <x v="18"/>
    <n v="37604"/>
    <x v="0"/>
    <x v="1"/>
    <x v="12"/>
    <n v="23.472000000000001"/>
    <n v="3"/>
    <n v="0.2"/>
    <n v="7.6284000000000001"/>
  </r>
  <r>
    <s v="Second Class"/>
    <x v="0"/>
    <s v="United States"/>
    <s v="Johnson City"/>
    <x v="18"/>
    <n v="37604"/>
    <x v="0"/>
    <x v="1"/>
    <x v="8"/>
    <n v="86.058000000000007"/>
    <n v="7"/>
    <n v="0.7"/>
    <n v="-63.109200000000001"/>
  </r>
  <r>
    <s v="Second Class"/>
    <x v="0"/>
    <s v="United States"/>
    <s v="Johnson City"/>
    <x v="18"/>
    <n v="37604"/>
    <x v="0"/>
    <x v="2"/>
    <x v="7"/>
    <n v="108.78400000000001"/>
    <n v="2"/>
    <n v="0.2"/>
    <n v="6.7990000000000004"/>
  </r>
  <r>
    <s v="Second Class"/>
    <x v="0"/>
    <s v="United States"/>
    <s v="Johnson City"/>
    <x v="18"/>
    <n v="37604"/>
    <x v="0"/>
    <x v="1"/>
    <x v="10"/>
    <n v="10.272"/>
    <n v="3"/>
    <n v="0.2"/>
    <n v="3.21"/>
  </r>
  <r>
    <s v="Standard Class"/>
    <x v="0"/>
    <s v="United States"/>
    <s v="Tampa"/>
    <x v="2"/>
    <n v="33614"/>
    <x v="0"/>
    <x v="1"/>
    <x v="8"/>
    <n v="38.19"/>
    <n v="5"/>
    <n v="0.7"/>
    <n v="-26.733000000000001"/>
  </r>
  <r>
    <s v="First Class"/>
    <x v="1"/>
    <s v="United States"/>
    <s v="Decatur"/>
    <x v="10"/>
    <n v="62521"/>
    <x v="2"/>
    <x v="1"/>
    <x v="4"/>
    <n v="49.631999999999998"/>
    <n v="4"/>
    <n v="0.2"/>
    <n v="3.7223999999999999"/>
  </r>
  <r>
    <s v="First Class"/>
    <x v="1"/>
    <s v="United States"/>
    <s v="Decatur"/>
    <x v="10"/>
    <n v="62521"/>
    <x v="2"/>
    <x v="1"/>
    <x v="4"/>
    <n v="52.095999999999997"/>
    <n v="4"/>
    <n v="0.2"/>
    <n v="3.9072"/>
  </r>
  <r>
    <s v="Standard Class"/>
    <x v="0"/>
    <s v="United States"/>
    <s v="Gilbert"/>
    <x v="16"/>
    <n v="85234"/>
    <x v="1"/>
    <x v="1"/>
    <x v="10"/>
    <n v="9.5679999999999996"/>
    <n v="2"/>
    <n v="0.2"/>
    <n v="2.99"/>
  </r>
  <r>
    <s v="Standard Class"/>
    <x v="0"/>
    <s v="United States"/>
    <s v="Gilbert"/>
    <x v="16"/>
    <n v="85234"/>
    <x v="1"/>
    <x v="1"/>
    <x v="4"/>
    <n v="82.367999999999995"/>
    <n v="2"/>
    <n v="0.2"/>
    <n v="-19.5624"/>
  </r>
  <r>
    <s v="Standard Class"/>
    <x v="0"/>
    <s v="United States"/>
    <s v="Gilbert"/>
    <x v="16"/>
    <n v="85234"/>
    <x v="1"/>
    <x v="0"/>
    <x v="5"/>
    <n v="364.70400000000001"/>
    <n v="6"/>
    <n v="0.2"/>
    <n v="-36.470399999999998"/>
  </r>
  <r>
    <s v="Standard Class"/>
    <x v="0"/>
    <s v="United States"/>
    <s v="Gilbert"/>
    <x v="16"/>
    <n v="85234"/>
    <x v="1"/>
    <x v="0"/>
    <x v="5"/>
    <n v="40.256"/>
    <n v="4"/>
    <n v="0.2"/>
    <n v="11.070399999999999"/>
  </r>
  <r>
    <s v="Standard Class"/>
    <x v="1"/>
    <s v="United States"/>
    <s v="Knoxville"/>
    <x v="18"/>
    <n v="37918"/>
    <x v="0"/>
    <x v="1"/>
    <x v="6"/>
    <n v="4.3680000000000003"/>
    <n v="3"/>
    <n v="0.2"/>
    <n v="0.38219999999999998"/>
  </r>
  <r>
    <s v="Standard Class"/>
    <x v="0"/>
    <s v="United States"/>
    <s v="Chicago"/>
    <x v="10"/>
    <n v="60653"/>
    <x v="2"/>
    <x v="1"/>
    <x v="8"/>
    <n v="12.128"/>
    <n v="4"/>
    <n v="0.8"/>
    <n v="-20.617599999999999"/>
  </r>
  <r>
    <s v="Second Class"/>
    <x v="0"/>
    <s v="United States"/>
    <s v="Bloomington"/>
    <x v="14"/>
    <n v="47401"/>
    <x v="2"/>
    <x v="2"/>
    <x v="7"/>
    <n v="134.85"/>
    <n v="3"/>
    <n v="0"/>
    <n v="37.758000000000003"/>
  </r>
  <r>
    <s v="Standard Class"/>
    <x v="0"/>
    <s v="United States"/>
    <s v="Roswell"/>
    <x v="32"/>
    <n v="30076"/>
    <x v="0"/>
    <x v="1"/>
    <x v="6"/>
    <n v="8.56"/>
    <n v="2"/>
    <n v="0"/>
    <n v="2.6536"/>
  </r>
  <r>
    <s v="Standard Class"/>
    <x v="0"/>
    <s v="United States"/>
    <s v="Roswell"/>
    <x v="32"/>
    <n v="30076"/>
    <x v="0"/>
    <x v="2"/>
    <x v="7"/>
    <n v="239.97"/>
    <n v="3"/>
    <n v="0"/>
    <n v="67.191599999999994"/>
  </r>
  <r>
    <s v="Standard Class"/>
    <x v="0"/>
    <s v="United States"/>
    <s v="Roswell"/>
    <x v="32"/>
    <n v="30076"/>
    <x v="0"/>
    <x v="1"/>
    <x v="4"/>
    <n v="356.94"/>
    <n v="2"/>
    <n v="0"/>
    <n v="107.08199999999999"/>
  </r>
  <r>
    <s v="Standard Class"/>
    <x v="1"/>
    <s v="United States"/>
    <s v="Los Angeles"/>
    <x v="1"/>
    <n v="90036"/>
    <x v="1"/>
    <x v="2"/>
    <x v="11"/>
    <n v="659.9"/>
    <n v="2"/>
    <n v="0"/>
    <n v="217.767"/>
  </r>
  <r>
    <s v="Standard Class"/>
    <x v="1"/>
    <s v="United States"/>
    <s v="Los Angeles"/>
    <x v="1"/>
    <n v="90036"/>
    <x v="1"/>
    <x v="0"/>
    <x v="1"/>
    <n v="1684.752"/>
    <n v="6"/>
    <n v="0.2"/>
    <n v="210.59399999999999"/>
  </r>
  <r>
    <s v="Standard Class"/>
    <x v="1"/>
    <s v="United States"/>
    <s v="Los Angeles"/>
    <x v="1"/>
    <n v="90036"/>
    <x v="1"/>
    <x v="2"/>
    <x v="11"/>
    <n v="559.91999999999996"/>
    <n v="8"/>
    <n v="0"/>
    <n v="190.37280000000001"/>
  </r>
  <r>
    <s v="Standard Class"/>
    <x v="0"/>
    <s v="United States"/>
    <s v="Houston"/>
    <x v="5"/>
    <n v="77036"/>
    <x v="2"/>
    <x v="2"/>
    <x v="11"/>
    <n v="279.94400000000002"/>
    <n v="7"/>
    <n v="0.2"/>
    <n v="48.990200000000002"/>
  </r>
  <r>
    <s v="Standard Class"/>
    <x v="2"/>
    <s v="United States"/>
    <s v="Bolingbrook"/>
    <x v="10"/>
    <n v="60440"/>
    <x v="2"/>
    <x v="1"/>
    <x v="8"/>
    <n v="9.98"/>
    <n v="5"/>
    <n v="0.8"/>
    <n v="-16.466999999999999"/>
  </r>
  <r>
    <s v="Standard Class"/>
    <x v="2"/>
    <s v="United States"/>
    <s v="Texarkana"/>
    <x v="36"/>
    <n v="71854"/>
    <x v="0"/>
    <x v="2"/>
    <x v="11"/>
    <n v="48.9"/>
    <n v="5"/>
    <n v="0"/>
    <n v="18.093"/>
  </r>
  <r>
    <s v="Standard Class"/>
    <x v="1"/>
    <s v="United States"/>
    <s v="San Antonio"/>
    <x v="5"/>
    <n v="78207"/>
    <x v="2"/>
    <x v="1"/>
    <x v="13"/>
    <n v="3.552"/>
    <n v="3"/>
    <n v="0.2"/>
    <n v="1.2432000000000001"/>
  </r>
  <r>
    <s v="Standard Class"/>
    <x v="1"/>
    <s v="United States"/>
    <s v="San Antonio"/>
    <x v="5"/>
    <n v="78207"/>
    <x v="2"/>
    <x v="1"/>
    <x v="10"/>
    <n v="15.552"/>
    <n v="3"/>
    <n v="0.2"/>
    <n v="5.4432"/>
  </r>
  <r>
    <s v="Standard Class"/>
    <x v="0"/>
    <s v="United States"/>
    <s v="Edinburg"/>
    <x v="5"/>
    <n v="78539"/>
    <x v="2"/>
    <x v="1"/>
    <x v="13"/>
    <n v="2.3679999999999999"/>
    <n v="2"/>
    <n v="0.2"/>
    <n v="0.82879999999999998"/>
  </r>
  <r>
    <s v="First Class"/>
    <x v="0"/>
    <s v="United States"/>
    <s v="Toledo"/>
    <x v="24"/>
    <n v="43615"/>
    <x v="3"/>
    <x v="2"/>
    <x v="11"/>
    <n v="127.98399999999999"/>
    <n v="2"/>
    <n v="0.2"/>
    <n v="25.596800000000002"/>
  </r>
  <r>
    <s v="Standard Class"/>
    <x v="1"/>
    <s v="United States"/>
    <s v="Baytown"/>
    <x v="5"/>
    <n v="77520"/>
    <x v="2"/>
    <x v="1"/>
    <x v="10"/>
    <n v="10.368"/>
    <n v="2"/>
    <n v="0.2"/>
    <n v="3.6288"/>
  </r>
  <r>
    <s v="Standard Class"/>
    <x v="2"/>
    <s v="United States"/>
    <s v="Philadelphia"/>
    <x v="9"/>
    <n v="19143"/>
    <x v="3"/>
    <x v="2"/>
    <x v="11"/>
    <n v="47.984000000000002"/>
    <n v="2"/>
    <n v="0.2"/>
    <n v="-1.1996"/>
  </r>
  <r>
    <s v="Second Class"/>
    <x v="2"/>
    <s v="United States"/>
    <s v="Los Angeles"/>
    <x v="1"/>
    <n v="90045"/>
    <x v="1"/>
    <x v="1"/>
    <x v="4"/>
    <n v="270.33999999999997"/>
    <n v="14"/>
    <n v="0"/>
    <n v="75.6952"/>
  </r>
  <r>
    <s v="Standard Class"/>
    <x v="2"/>
    <s v="United States"/>
    <s v="Philadelphia"/>
    <x v="9"/>
    <n v="19143"/>
    <x v="3"/>
    <x v="1"/>
    <x v="9"/>
    <n v="98.111999999999995"/>
    <n v="7"/>
    <n v="0.2"/>
    <n v="18.396000000000001"/>
  </r>
  <r>
    <s v="Standard Class"/>
    <x v="2"/>
    <s v="United States"/>
    <s v="Philadelphia"/>
    <x v="9"/>
    <n v="19143"/>
    <x v="3"/>
    <x v="1"/>
    <x v="4"/>
    <n v="563.80799999999999"/>
    <n v="4"/>
    <n v="0.2"/>
    <n v="21.142800000000001"/>
  </r>
  <r>
    <s v="Standard Class"/>
    <x v="2"/>
    <s v="United States"/>
    <s v="Philadelphia"/>
    <x v="9"/>
    <n v="19143"/>
    <x v="3"/>
    <x v="1"/>
    <x v="8"/>
    <n v="10.428000000000001"/>
    <n v="4"/>
    <n v="0.7"/>
    <n v="-6.952"/>
  </r>
  <r>
    <s v="Standard Class"/>
    <x v="2"/>
    <s v="United States"/>
    <s v="Philadelphia"/>
    <x v="9"/>
    <n v="19143"/>
    <x v="3"/>
    <x v="0"/>
    <x v="5"/>
    <n v="547.13599999999997"/>
    <n v="4"/>
    <n v="0.2"/>
    <n v="-68.391999999999996"/>
  </r>
  <r>
    <s v="Standard Class"/>
    <x v="2"/>
    <s v="United States"/>
    <s v="Philadelphia"/>
    <x v="9"/>
    <n v="19143"/>
    <x v="3"/>
    <x v="2"/>
    <x v="7"/>
    <n v="14.85"/>
    <n v="5"/>
    <n v="0.4"/>
    <n v="-3.2174999999999998"/>
  </r>
  <r>
    <s v="Standard Class"/>
    <x v="2"/>
    <s v="United States"/>
    <s v="Philadelphia"/>
    <x v="9"/>
    <n v="19143"/>
    <x v="3"/>
    <x v="2"/>
    <x v="7"/>
    <n v="41.988"/>
    <n v="2"/>
    <n v="0.4"/>
    <n v="-9.7972000000000001"/>
  </r>
  <r>
    <s v="Standard Class"/>
    <x v="2"/>
    <s v="United States"/>
    <s v="Philadelphia"/>
    <x v="9"/>
    <n v="19143"/>
    <x v="3"/>
    <x v="0"/>
    <x v="5"/>
    <n v="7.5839999999999996"/>
    <n v="1"/>
    <n v="0.2"/>
    <n v="2.37"/>
  </r>
  <r>
    <s v="Standard Class"/>
    <x v="2"/>
    <s v="United States"/>
    <s v="Philadelphia"/>
    <x v="9"/>
    <n v="19143"/>
    <x v="3"/>
    <x v="0"/>
    <x v="0"/>
    <n v="352.45"/>
    <n v="5"/>
    <n v="0.5"/>
    <n v="-211.47"/>
  </r>
  <r>
    <s v="First Class"/>
    <x v="0"/>
    <s v="United States"/>
    <s v="Pearland"/>
    <x v="5"/>
    <n v="77581"/>
    <x v="2"/>
    <x v="2"/>
    <x v="7"/>
    <n v="470.37599999999998"/>
    <n v="3"/>
    <n v="0.2"/>
    <n v="52.917299999999997"/>
  </r>
  <r>
    <s v="Standard Class"/>
    <x v="1"/>
    <s v="United States"/>
    <s v="New York City"/>
    <x v="15"/>
    <n v="10035"/>
    <x v="3"/>
    <x v="1"/>
    <x v="10"/>
    <n v="19.440000000000001"/>
    <n v="3"/>
    <n v="0"/>
    <n v="9.3312000000000008"/>
  </r>
  <r>
    <s v="Standard Class"/>
    <x v="1"/>
    <s v="United States"/>
    <s v="New York City"/>
    <x v="15"/>
    <n v="10035"/>
    <x v="3"/>
    <x v="0"/>
    <x v="5"/>
    <n v="9.82"/>
    <n v="2"/>
    <n v="0"/>
    <n v="3.2406000000000001"/>
  </r>
  <r>
    <s v="Standard Class"/>
    <x v="0"/>
    <s v="United States"/>
    <s v="Phoenix"/>
    <x v="16"/>
    <n v="85023"/>
    <x v="1"/>
    <x v="0"/>
    <x v="3"/>
    <n v="801.6"/>
    <n v="5"/>
    <n v="0.5"/>
    <n v="-448.89600000000002"/>
  </r>
  <r>
    <s v="Standard Class"/>
    <x v="0"/>
    <s v="United States"/>
    <s v="Phoenix"/>
    <x v="16"/>
    <n v="85023"/>
    <x v="1"/>
    <x v="0"/>
    <x v="1"/>
    <n v="161.56800000000001"/>
    <n v="2"/>
    <n v="0.2"/>
    <n v="10.098000000000001"/>
  </r>
  <r>
    <s v="Standard Class"/>
    <x v="0"/>
    <s v="United States"/>
    <s v="Phoenix"/>
    <x v="16"/>
    <n v="85023"/>
    <x v="1"/>
    <x v="1"/>
    <x v="10"/>
    <n v="16.096"/>
    <n v="2"/>
    <n v="0.2"/>
    <n v="5.2312000000000003"/>
  </r>
  <r>
    <s v="Standard Class"/>
    <x v="0"/>
    <s v="United States"/>
    <s v="Phoenix"/>
    <x v="16"/>
    <n v="85023"/>
    <x v="1"/>
    <x v="1"/>
    <x v="8"/>
    <n v="7.6559999999999997"/>
    <n v="4"/>
    <n v="0.7"/>
    <n v="-6.1247999999999996"/>
  </r>
  <r>
    <s v="Standard Class"/>
    <x v="0"/>
    <s v="United States"/>
    <s v="Phoenix"/>
    <x v="16"/>
    <n v="85023"/>
    <x v="1"/>
    <x v="0"/>
    <x v="1"/>
    <n v="311.976"/>
    <n v="3"/>
    <n v="0.2"/>
    <n v="-42.896700000000003"/>
  </r>
  <r>
    <s v="Standard Class"/>
    <x v="1"/>
    <s v="United States"/>
    <s v="Chesapeake"/>
    <x v="17"/>
    <n v="23320"/>
    <x v="0"/>
    <x v="1"/>
    <x v="4"/>
    <n v="61.68"/>
    <n v="4"/>
    <n v="0"/>
    <n v="16.653600000000001"/>
  </r>
  <r>
    <s v="Standard Class"/>
    <x v="1"/>
    <s v="United States"/>
    <s v="Chesapeake"/>
    <x v="17"/>
    <n v="23320"/>
    <x v="0"/>
    <x v="1"/>
    <x v="8"/>
    <n v="63.96"/>
    <n v="4"/>
    <n v="0"/>
    <n v="30.700800000000001"/>
  </r>
  <r>
    <s v="Second Class"/>
    <x v="0"/>
    <s v="United States"/>
    <s v="Chicago"/>
    <x v="10"/>
    <n v="60610"/>
    <x v="2"/>
    <x v="2"/>
    <x v="7"/>
    <n v="359.976"/>
    <n v="3"/>
    <n v="0.2"/>
    <n v="35.997599999999998"/>
  </r>
  <r>
    <s v="Standard Class"/>
    <x v="0"/>
    <s v="United States"/>
    <s v="Chicago"/>
    <x v="10"/>
    <n v="60623"/>
    <x v="2"/>
    <x v="1"/>
    <x v="10"/>
    <n v="25.344000000000001"/>
    <n v="6"/>
    <n v="0.2"/>
    <n v="7.92"/>
  </r>
  <r>
    <s v="Standard Class"/>
    <x v="0"/>
    <s v="United States"/>
    <s v="Chicago"/>
    <x v="10"/>
    <n v="60623"/>
    <x v="2"/>
    <x v="1"/>
    <x v="10"/>
    <n v="26.72"/>
    <n v="5"/>
    <n v="0.2"/>
    <n v="9.3520000000000003"/>
  </r>
  <r>
    <s v="Standard Class"/>
    <x v="0"/>
    <s v="United States"/>
    <s v="Seattle"/>
    <x v="4"/>
    <n v="98103"/>
    <x v="1"/>
    <x v="1"/>
    <x v="4"/>
    <n v="30.28"/>
    <n v="2"/>
    <n v="0"/>
    <n v="1.2112000000000001"/>
  </r>
  <r>
    <s v="Standard Class"/>
    <x v="0"/>
    <s v="United States"/>
    <s v="Seattle"/>
    <x v="4"/>
    <n v="98103"/>
    <x v="1"/>
    <x v="1"/>
    <x v="4"/>
    <n v="57.93"/>
    <n v="3"/>
    <n v="0"/>
    <n v="16.220400000000001"/>
  </r>
  <r>
    <s v="Standard Class"/>
    <x v="0"/>
    <s v="United States"/>
    <s v="Seattle"/>
    <x v="4"/>
    <n v="98103"/>
    <x v="1"/>
    <x v="0"/>
    <x v="5"/>
    <n v="35.340000000000003"/>
    <n v="2"/>
    <n v="0"/>
    <n v="13.4292"/>
  </r>
  <r>
    <s v="Standard Class"/>
    <x v="0"/>
    <s v="United States"/>
    <s v="Seattle"/>
    <x v="4"/>
    <n v="98103"/>
    <x v="1"/>
    <x v="1"/>
    <x v="8"/>
    <n v="137.24"/>
    <n v="5"/>
    <n v="0.2"/>
    <n v="46.3185"/>
  </r>
  <r>
    <s v="First Class"/>
    <x v="0"/>
    <s v="United States"/>
    <s v="Harlingen"/>
    <x v="5"/>
    <n v="78550"/>
    <x v="2"/>
    <x v="0"/>
    <x v="0"/>
    <n v="241.33199999999999"/>
    <n v="5"/>
    <n v="0.32"/>
    <n v="-14.196"/>
  </r>
  <r>
    <s v="First Class"/>
    <x v="0"/>
    <s v="United States"/>
    <s v="Harlingen"/>
    <x v="5"/>
    <n v="78550"/>
    <x v="2"/>
    <x v="1"/>
    <x v="10"/>
    <n v="5.1840000000000002"/>
    <n v="1"/>
    <n v="0.2"/>
    <n v="1.8792"/>
  </r>
  <r>
    <s v="First Class"/>
    <x v="0"/>
    <s v="United States"/>
    <s v="Harlingen"/>
    <x v="5"/>
    <n v="78550"/>
    <x v="2"/>
    <x v="1"/>
    <x v="6"/>
    <n v="145.54400000000001"/>
    <n v="7"/>
    <n v="0.2"/>
    <n v="16.373699999999999"/>
  </r>
  <r>
    <s v="Standard Class"/>
    <x v="1"/>
    <s v="United States"/>
    <s v="Philadelphia"/>
    <x v="9"/>
    <n v="19140"/>
    <x v="3"/>
    <x v="1"/>
    <x v="6"/>
    <n v="5.4720000000000004"/>
    <n v="3"/>
    <n v="0.2"/>
    <n v="1.6415999999999999"/>
  </r>
  <r>
    <s v="Standard Class"/>
    <x v="1"/>
    <s v="United States"/>
    <s v="Philadelphia"/>
    <x v="9"/>
    <n v="19140"/>
    <x v="3"/>
    <x v="2"/>
    <x v="11"/>
    <n v="47.984000000000002"/>
    <n v="2"/>
    <n v="0.2"/>
    <n v="13.195600000000001"/>
  </r>
  <r>
    <s v="Standard Class"/>
    <x v="0"/>
    <s v="United States"/>
    <s v="Bakersfield"/>
    <x v="1"/>
    <n v="93309"/>
    <x v="1"/>
    <x v="1"/>
    <x v="6"/>
    <n v="9.4"/>
    <n v="5"/>
    <n v="0"/>
    <n v="2.726"/>
  </r>
  <r>
    <s v="Standard Class"/>
    <x v="0"/>
    <s v="United States"/>
    <s v="Bakersfield"/>
    <x v="1"/>
    <n v="93309"/>
    <x v="1"/>
    <x v="1"/>
    <x v="2"/>
    <n v="74"/>
    <n v="5"/>
    <n v="0"/>
    <n v="37"/>
  </r>
  <r>
    <s v="Standard Class"/>
    <x v="0"/>
    <s v="United States"/>
    <s v="Bakersfield"/>
    <x v="1"/>
    <n v="93309"/>
    <x v="1"/>
    <x v="2"/>
    <x v="7"/>
    <n v="201.584"/>
    <n v="2"/>
    <n v="0.2"/>
    <n v="12.599"/>
  </r>
  <r>
    <s v="Standard Class"/>
    <x v="0"/>
    <s v="United States"/>
    <s v="Grand Prairie"/>
    <x v="5"/>
    <n v="75051"/>
    <x v="2"/>
    <x v="1"/>
    <x v="12"/>
    <n v="28.751999999999999"/>
    <n v="3"/>
    <n v="0.2"/>
    <n v="9.3444000000000003"/>
  </r>
  <r>
    <s v="Standard Class"/>
    <x v="0"/>
    <s v="United States"/>
    <s v="Grand Prairie"/>
    <x v="5"/>
    <n v="75051"/>
    <x v="2"/>
    <x v="1"/>
    <x v="10"/>
    <n v="27.216000000000001"/>
    <n v="3"/>
    <n v="0.2"/>
    <n v="9.8658000000000001"/>
  </r>
  <r>
    <s v="Standard Class"/>
    <x v="0"/>
    <s v="United States"/>
    <s v="Grand Prairie"/>
    <x v="5"/>
    <n v="75051"/>
    <x v="2"/>
    <x v="0"/>
    <x v="1"/>
    <n v="197.37200000000001"/>
    <n v="2"/>
    <n v="0.3"/>
    <n v="-25.3764"/>
  </r>
  <r>
    <s v="Same Day"/>
    <x v="0"/>
    <s v="United States"/>
    <s v="Greenwood"/>
    <x v="14"/>
    <n v="46142"/>
    <x v="2"/>
    <x v="0"/>
    <x v="1"/>
    <n v="1424.9"/>
    <n v="5"/>
    <n v="0"/>
    <n v="356.22500000000002"/>
  </r>
  <r>
    <s v="Standard Class"/>
    <x v="0"/>
    <s v="United States"/>
    <s v="New York City"/>
    <x v="15"/>
    <n v="10024"/>
    <x v="3"/>
    <x v="0"/>
    <x v="5"/>
    <n v="14.56"/>
    <n v="2"/>
    <n v="0"/>
    <n v="6.2607999999999997"/>
  </r>
  <r>
    <s v="Standard Class"/>
    <x v="0"/>
    <s v="United States"/>
    <s v="New York City"/>
    <x v="15"/>
    <n v="10024"/>
    <x v="3"/>
    <x v="1"/>
    <x v="8"/>
    <n v="3.048"/>
    <n v="1"/>
    <n v="0.2"/>
    <n v="1.0286999999999999"/>
  </r>
  <r>
    <s v="Second Class"/>
    <x v="0"/>
    <s v="United States"/>
    <s v="Memphis"/>
    <x v="18"/>
    <n v="38109"/>
    <x v="0"/>
    <x v="1"/>
    <x v="10"/>
    <n v="25.92"/>
    <n v="5"/>
    <n v="0.2"/>
    <n v="9.0719999999999992"/>
  </r>
  <r>
    <s v="Standard Class"/>
    <x v="0"/>
    <s v="United States"/>
    <s v="Buffalo"/>
    <x v="15"/>
    <n v="14215"/>
    <x v="3"/>
    <x v="1"/>
    <x v="14"/>
    <n v="835.17"/>
    <n v="7"/>
    <n v="0"/>
    <n v="16.703399999999998"/>
  </r>
  <r>
    <s v="Second Class"/>
    <x v="0"/>
    <s v="United States"/>
    <s v="Los Angeles"/>
    <x v="1"/>
    <n v="90036"/>
    <x v="1"/>
    <x v="1"/>
    <x v="10"/>
    <n v="17.34"/>
    <n v="3"/>
    <n v="0"/>
    <n v="8.4966000000000008"/>
  </r>
  <r>
    <s v="Standard Class"/>
    <x v="0"/>
    <s v="United States"/>
    <s v="Homestead"/>
    <x v="2"/>
    <n v="33030"/>
    <x v="0"/>
    <x v="1"/>
    <x v="10"/>
    <n v="44.384"/>
    <n v="1"/>
    <n v="0.2"/>
    <n v="15.5344"/>
  </r>
  <r>
    <s v="Standard Class"/>
    <x v="0"/>
    <s v="United States"/>
    <s v="Homestead"/>
    <x v="2"/>
    <n v="33030"/>
    <x v="0"/>
    <x v="1"/>
    <x v="14"/>
    <n v="2.944"/>
    <n v="1"/>
    <n v="0.2"/>
    <n v="-0.66239999999999999"/>
  </r>
  <r>
    <s v="Standard Class"/>
    <x v="2"/>
    <s v="United States"/>
    <s v="Pasadena"/>
    <x v="5"/>
    <n v="77506"/>
    <x v="2"/>
    <x v="1"/>
    <x v="6"/>
    <n v="6.3680000000000003"/>
    <n v="2"/>
    <n v="0.2"/>
    <n v="1.0347999999999999"/>
  </r>
  <r>
    <s v="Standard Class"/>
    <x v="2"/>
    <s v="United States"/>
    <s v="Pasadena"/>
    <x v="5"/>
    <n v="77506"/>
    <x v="2"/>
    <x v="1"/>
    <x v="2"/>
    <n v="48.847999999999999"/>
    <n v="2"/>
    <n v="0.2"/>
    <n v="15.8756"/>
  </r>
  <r>
    <s v="Standard Class"/>
    <x v="2"/>
    <s v="United States"/>
    <s v="Pasadena"/>
    <x v="5"/>
    <n v="77506"/>
    <x v="2"/>
    <x v="1"/>
    <x v="10"/>
    <n v="19.648"/>
    <n v="2"/>
    <n v="0.2"/>
    <n v="6.6311999999999998"/>
  </r>
  <r>
    <s v="Standard Class"/>
    <x v="2"/>
    <s v="United States"/>
    <s v="Pasadena"/>
    <x v="5"/>
    <n v="77506"/>
    <x v="2"/>
    <x v="0"/>
    <x v="1"/>
    <n v="255.108"/>
    <n v="6"/>
    <n v="0.3"/>
    <n v="-18.222000000000001"/>
  </r>
  <r>
    <s v="Second Class"/>
    <x v="0"/>
    <s v="United States"/>
    <s v="Freeport"/>
    <x v="15"/>
    <n v="11520"/>
    <x v="3"/>
    <x v="1"/>
    <x v="8"/>
    <n v="17.248000000000001"/>
    <n v="2"/>
    <n v="0.2"/>
    <n v="6.0368000000000004"/>
  </r>
  <r>
    <s v="Standard Class"/>
    <x v="1"/>
    <s v="United States"/>
    <s v="Denver"/>
    <x v="22"/>
    <n v="80219"/>
    <x v="1"/>
    <x v="2"/>
    <x v="7"/>
    <n v="159.98400000000001"/>
    <n v="2"/>
    <n v="0.2"/>
    <n v="13.9986"/>
  </r>
  <r>
    <s v="Standard Class"/>
    <x v="0"/>
    <s v="United States"/>
    <s v="Quincy"/>
    <x v="31"/>
    <n v="2169"/>
    <x v="3"/>
    <x v="1"/>
    <x v="10"/>
    <n v="12.7"/>
    <n v="2"/>
    <n v="0"/>
    <n v="5.8419999999999996"/>
  </r>
  <r>
    <s v="Standard Class"/>
    <x v="0"/>
    <s v="United States"/>
    <s v="Detroit"/>
    <x v="12"/>
    <n v="48205"/>
    <x v="2"/>
    <x v="0"/>
    <x v="5"/>
    <n v="5.47"/>
    <n v="1"/>
    <n v="0"/>
    <n v="2.3521000000000001"/>
  </r>
  <r>
    <s v="Standard Class"/>
    <x v="0"/>
    <s v="United States"/>
    <s v="Detroit"/>
    <x v="12"/>
    <n v="48205"/>
    <x v="2"/>
    <x v="1"/>
    <x v="6"/>
    <n v="79.36"/>
    <n v="4"/>
    <n v="0"/>
    <n v="23.808"/>
  </r>
  <r>
    <s v="Standard Class"/>
    <x v="0"/>
    <s v="United States"/>
    <s v="San Francisco"/>
    <x v="1"/>
    <n v="94109"/>
    <x v="1"/>
    <x v="0"/>
    <x v="5"/>
    <n v="22.14"/>
    <n v="3"/>
    <n v="0"/>
    <n v="6.4206000000000003"/>
  </r>
  <r>
    <s v="Standard Class"/>
    <x v="0"/>
    <s v="United States"/>
    <s v="Nashville"/>
    <x v="18"/>
    <n v="37211"/>
    <x v="0"/>
    <x v="1"/>
    <x v="8"/>
    <n v="11.276999999999999"/>
    <n v="3"/>
    <n v="0.7"/>
    <n v="-8.6456999999999997"/>
  </r>
  <r>
    <s v="Standard Class"/>
    <x v="0"/>
    <s v="United States"/>
    <s v="Nashville"/>
    <x v="18"/>
    <n v="37211"/>
    <x v="0"/>
    <x v="1"/>
    <x v="6"/>
    <n v="4.4480000000000004"/>
    <n v="2"/>
    <n v="0.2"/>
    <n v="0.33360000000000001"/>
  </r>
  <r>
    <s v="Standard Class"/>
    <x v="0"/>
    <s v="United States"/>
    <s v="Nashville"/>
    <x v="18"/>
    <n v="37211"/>
    <x v="0"/>
    <x v="0"/>
    <x v="5"/>
    <n v="44.76"/>
    <n v="3"/>
    <n v="0.2"/>
    <n v="14.547000000000001"/>
  </r>
  <r>
    <s v="Standard Class"/>
    <x v="1"/>
    <s v="United States"/>
    <s v="Detroit"/>
    <x v="12"/>
    <n v="48227"/>
    <x v="2"/>
    <x v="1"/>
    <x v="8"/>
    <n v="38.28"/>
    <n v="6"/>
    <n v="0"/>
    <n v="17.608799999999999"/>
  </r>
  <r>
    <s v="Standard Class"/>
    <x v="1"/>
    <s v="United States"/>
    <s v="Detroit"/>
    <x v="12"/>
    <n v="48227"/>
    <x v="2"/>
    <x v="2"/>
    <x v="7"/>
    <n v="149.94999999999999"/>
    <n v="5"/>
    <n v="0"/>
    <n v="44.984999999999999"/>
  </r>
  <r>
    <s v="First Class"/>
    <x v="2"/>
    <s v="United States"/>
    <s v="Los Angeles"/>
    <x v="1"/>
    <n v="90045"/>
    <x v="1"/>
    <x v="1"/>
    <x v="6"/>
    <n v="12.84"/>
    <n v="3"/>
    <n v="0"/>
    <n v="3.4668000000000001"/>
  </r>
  <r>
    <s v="First Class"/>
    <x v="2"/>
    <s v="United States"/>
    <s v="Los Angeles"/>
    <x v="1"/>
    <n v="90045"/>
    <x v="1"/>
    <x v="0"/>
    <x v="5"/>
    <n v="44.67"/>
    <n v="3"/>
    <n v="0"/>
    <n v="12.0609"/>
  </r>
  <r>
    <s v="Standard Class"/>
    <x v="0"/>
    <s v="United States"/>
    <s v="Philadelphia"/>
    <x v="9"/>
    <n v="19140"/>
    <x v="3"/>
    <x v="1"/>
    <x v="6"/>
    <n v="7.8719999999999999"/>
    <n v="3"/>
    <n v="0.2"/>
    <n v="0.88560000000000005"/>
  </r>
  <r>
    <s v="Second Class"/>
    <x v="1"/>
    <s v="United States"/>
    <s v="Asheville"/>
    <x v="3"/>
    <n v="28806"/>
    <x v="0"/>
    <x v="1"/>
    <x v="6"/>
    <n v="7.8719999999999999"/>
    <n v="3"/>
    <n v="0.2"/>
    <n v="0.88560000000000005"/>
  </r>
  <r>
    <s v="Standard Class"/>
    <x v="0"/>
    <s v="United States"/>
    <s v="New York City"/>
    <x v="15"/>
    <n v="10024"/>
    <x v="3"/>
    <x v="1"/>
    <x v="6"/>
    <n v="88.04"/>
    <n v="4"/>
    <n v="0"/>
    <n v="22.8904"/>
  </r>
  <r>
    <s v="First Class"/>
    <x v="2"/>
    <s v="United States"/>
    <s v="Colorado Springs"/>
    <x v="22"/>
    <n v="80906"/>
    <x v="1"/>
    <x v="1"/>
    <x v="8"/>
    <n v="40.634999999999998"/>
    <n v="7"/>
    <n v="0.7"/>
    <n v="-32.508000000000003"/>
  </r>
  <r>
    <s v="Standard Class"/>
    <x v="1"/>
    <s v="United States"/>
    <s v="San Antonio"/>
    <x v="5"/>
    <n v="78207"/>
    <x v="2"/>
    <x v="1"/>
    <x v="8"/>
    <n v="5.7279999999999998"/>
    <n v="8"/>
    <n v="0.8"/>
    <n v="-9.1647999999999996"/>
  </r>
  <r>
    <s v="Standard Class"/>
    <x v="1"/>
    <s v="United States"/>
    <s v="San Antonio"/>
    <x v="5"/>
    <n v="78207"/>
    <x v="2"/>
    <x v="1"/>
    <x v="10"/>
    <n v="42.24"/>
    <n v="10"/>
    <n v="0.2"/>
    <n v="13.2"/>
  </r>
  <r>
    <s v="Standard Class"/>
    <x v="0"/>
    <s v="United States"/>
    <s v="Los Angeles"/>
    <x v="1"/>
    <n v="90036"/>
    <x v="1"/>
    <x v="1"/>
    <x v="10"/>
    <n v="53.82"/>
    <n v="9"/>
    <n v="0"/>
    <n v="24.219000000000001"/>
  </r>
  <r>
    <s v="Second Class"/>
    <x v="2"/>
    <s v="United States"/>
    <s v="Sterling Heights"/>
    <x v="12"/>
    <n v="48310"/>
    <x v="2"/>
    <x v="1"/>
    <x v="6"/>
    <n v="79.36"/>
    <n v="4"/>
    <n v="0"/>
    <n v="20.633600000000001"/>
  </r>
  <r>
    <s v="Standard Class"/>
    <x v="0"/>
    <s v="United States"/>
    <s v="New York City"/>
    <x v="15"/>
    <n v="10009"/>
    <x v="3"/>
    <x v="1"/>
    <x v="10"/>
    <n v="13.48"/>
    <n v="2"/>
    <n v="0"/>
    <n v="6.74"/>
  </r>
  <r>
    <s v="Standard Class"/>
    <x v="0"/>
    <s v="United States"/>
    <s v="New York City"/>
    <x v="15"/>
    <n v="10009"/>
    <x v="3"/>
    <x v="1"/>
    <x v="8"/>
    <n v="29.8"/>
    <n v="5"/>
    <n v="0.2"/>
    <n v="9.3125"/>
  </r>
  <r>
    <s v="Standard Class"/>
    <x v="0"/>
    <s v="United States"/>
    <s v="New York City"/>
    <x v="15"/>
    <n v="10009"/>
    <x v="3"/>
    <x v="0"/>
    <x v="5"/>
    <n v="414"/>
    <n v="8"/>
    <n v="0"/>
    <n v="124.2"/>
  </r>
  <r>
    <s v="Standard Class"/>
    <x v="0"/>
    <s v="United States"/>
    <s v="New York City"/>
    <x v="15"/>
    <n v="10009"/>
    <x v="3"/>
    <x v="1"/>
    <x v="8"/>
    <n v="41.328000000000003"/>
    <n v="7"/>
    <n v="0.2"/>
    <n v="14.981400000000001"/>
  </r>
  <r>
    <s v="First Class"/>
    <x v="0"/>
    <s v="United States"/>
    <s v="Richmond"/>
    <x v="17"/>
    <n v="23223"/>
    <x v="0"/>
    <x v="0"/>
    <x v="5"/>
    <n v="39.92"/>
    <n v="4"/>
    <n v="0"/>
    <n v="11.1776"/>
  </r>
  <r>
    <s v="Standard Class"/>
    <x v="2"/>
    <s v="United States"/>
    <s v="Seattle"/>
    <x v="4"/>
    <n v="98105"/>
    <x v="1"/>
    <x v="1"/>
    <x v="13"/>
    <n v="8.94"/>
    <n v="3"/>
    <n v="0"/>
    <n v="4.1124000000000001"/>
  </r>
  <r>
    <s v="Standard Class"/>
    <x v="2"/>
    <s v="United States"/>
    <s v="Seattle"/>
    <x v="4"/>
    <n v="98105"/>
    <x v="1"/>
    <x v="2"/>
    <x v="7"/>
    <n v="84.784000000000006"/>
    <n v="2"/>
    <n v="0.2"/>
    <n v="-20.136199999999999"/>
  </r>
  <r>
    <s v="Standard Class"/>
    <x v="1"/>
    <s v="United States"/>
    <s v="New York City"/>
    <x v="15"/>
    <n v="10024"/>
    <x v="3"/>
    <x v="0"/>
    <x v="3"/>
    <n v="53.316000000000003"/>
    <n v="2"/>
    <n v="0.4"/>
    <n v="-19.549199999999999"/>
  </r>
  <r>
    <s v="Standard Class"/>
    <x v="1"/>
    <s v="United States"/>
    <s v="New York City"/>
    <x v="15"/>
    <n v="10024"/>
    <x v="3"/>
    <x v="1"/>
    <x v="9"/>
    <n v="56.52"/>
    <n v="3"/>
    <n v="0"/>
    <n v="15.8256"/>
  </r>
  <r>
    <s v="Standard Class"/>
    <x v="2"/>
    <s v="United States"/>
    <s v="Seattle"/>
    <x v="4"/>
    <n v="98115"/>
    <x v="1"/>
    <x v="0"/>
    <x v="5"/>
    <n v="22.77"/>
    <n v="3"/>
    <n v="0"/>
    <n v="9.7911000000000001"/>
  </r>
  <r>
    <s v="Second Class"/>
    <x v="0"/>
    <s v="United States"/>
    <s v="Los Angeles"/>
    <x v="1"/>
    <n v="90045"/>
    <x v="1"/>
    <x v="0"/>
    <x v="1"/>
    <n v="287.96800000000002"/>
    <n v="4"/>
    <n v="0.2"/>
    <n v="-3.5996000000000001"/>
  </r>
  <r>
    <s v="Second Class"/>
    <x v="0"/>
    <s v="United States"/>
    <s v="Los Angeles"/>
    <x v="1"/>
    <n v="90045"/>
    <x v="1"/>
    <x v="2"/>
    <x v="16"/>
    <n v="2799.96"/>
    <n v="5"/>
    <n v="0.2"/>
    <n v="944.98649999999998"/>
  </r>
  <r>
    <s v="Second Class"/>
    <x v="0"/>
    <s v="United States"/>
    <s v="Los Angeles"/>
    <x v="1"/>
    <n v="90045"/>
    <x v="1"/>
    <x v="1"/>
    <x v="10"/>
    <n v="48.94"/>
    <n v="1"/>
    <n v="0"/>
    <n v="24.47"/>
  </r>
  <r>
    <s v="Standard Class"/>
    <x v="0"/>
    <s v="United States"/>
    <s v="Lakewood"/>
    <x v="1"/>
    <n v="90712"/>
    <x v="1"/>
    <x v="0"/>
    <x v="0"/>
    <n v="257.49900000000002"/>
    <n v="3"/>
    <n v="0.15"/>
    <n v="24.235199999999999"/>
  </r>
  <r>
    <s v="Standard Class"/>
    <x v="2"/>
    <s v="United States"/>
    <s v="Plainfield"/>
    <x v="30"/>
    <n v="7060"/>
    <x v="3"/>
    <x v="1"/>
    <x v="4"/>
    <n v="2591.56"/>
    <n v="4"/>
    <n v="0"/>
    <n v="621.97439999999995"/>
  </r>
  <r>
    <s v="Standard Class"/>
    <x v="2"/>
    <s v="United States"/>
    <s v="Plainfield"/>
    <x v="30"/>
    <n v="7060"/>
    <x v="3"/>
    <x v="1"/>
    <x v="9"/>
    <n v="41.95"/>
    <n v="5"/>
    <n v="0"/>
    <n v="10.487500000000001"/>
  </r>
  <r>
    <s v="Standard Class"/>
    <x v="1"/>
    <s v="United States"/>
    <s v="Columbia"/>
    <x v="18"/>
    <n v="38401"/>
    <x v="0"/>
    <x v="0"/>
    <x v="5"/>
    <n v="79.12"/>
    <n v="5"/>
    <n v="0.2"/>
    <n v="13.846"/>
  </r>
  <r>
    <s v="Second Class"/>
    <x v="0"/>
    <s v="United States"/>
    <s v="Woonsocket"/>
    <x v="34"/>
    <n v="2895"/>
    <x v="3"/>
    <x v="0"/>
    <x v="5"/>
    <n v="52.96"/>
    <n v="2"/>
    <n v="0"/>
    <n v="20.1248"/>
  </r>
  <r>
    <s v="Standard Class"/>
    <x v="0"/>
    <s v="United States"/>
    <s v="Lancaster"/>
    <x v="9"/>
    <n v="17602"/>
    <x v="3"/>
    <x v="1"/>
    <x v="14"/>
    <n v="286.34399999999999"/>
    <n v="3"/>
    <n v="0.2"/>
    <n v="-64.427400000000006"/>
  </r>
  <r>
    <s v="Standard Class"/>
    <x v="1"/>
    <s v="United States"/>
    <s v="Tampa"/>
    <x v="2"/>
    <n v="33614"/>
    <x v="0"/>
    <x v="0"/>
    <x v="5"/>
    <n v="63.552"/>
    <n v="3"/>
    <n v="0.2"/>
    <n v="14.299200000000001"/>
  </r>
  <r>
    <s v="Standard Class"/>
    <x v="1"/>
    <s v="United States"/>
    <s v="Tampa"/>
    <x v="2"/>
    <n v="33614"/>
    <x v="0"/>
    <x v="1"/>
    <x v="14"/>
    <n v="41.375999999999998"/>
    <n v="3"/>
    <n v="0.2"/>
    <n v="4.6547999999999998"/>
  </r>
  <r>
    <s v="Standard Class"/>
    <x v="1"/>
    <s v="United States"/>
    <s v="Tampa"/>
    <x v="2"/>
    <n v="33614"/>
    <x v="0"/>
    <x v="1"/>
    <x v="6"/>
    <n v="172.70400000000001"/>
    <n v="6"/>
    <n v="0.2"/>
    <n v="10.794"/>
  </r>
  <r>
    <s v="Standard Class"/>
    <x v="0"/>
    <s v="United States"/>
    <s v="Kenosha"/>
    <x v="6"/>
    <n v="53142"/>
    <x v="2"/>
    <x v="0"/>
    <x v="0"/>
    <n v="512.94000000000005"/>
    <n v="3"/>
    <n v="0"/>
    <n v="97.458600000000004"/>
  </r>
  <r>
    <s v="Standard Class"/>
    <x v="0"/>
    <s v="United States"/>
    <s v="Kenosha"/>
    <x v="6"/>
    <n v="53142"/>
    <x v="2"/>
    <x v="0"/>
    <x v="1"/>
    <n v="860.93"/>
    <n v="7"/>
    <n v="0"/>
    <n v="189.40459999999999"/>
  </r>
  <r>
    <s v="Standard Class"/>
    <x v="0"/>
    <s v="United States"/>
    <s v="Kenosha"/>
    <x v="6"/>
    <n v="53142"/>
    <x v="2"/>
    <x v="2"/>
    <x v="7"/>
    <n v="769.95"/>
    <n v="5"/>
    <n v="0"/>
    <n v="223.28550000000001"/>
  </r>
  <r>
    <s v="Standard Class"/>
    <x v="0"/>
    <s v="United States"/>
    <s v="Kenosha"/>
    <x v="6"/>
    <n v="53142"/>
    <x v="2"/>
    <x v="1"/>
    <x v="6"/>
    <n v="14.98"/>
    <n v="1"/>
    <n v="0"/>
    <n v="4.4939999999999998"/>
  </r>
  <r>
    <s v="Standard Class"/>
    <x v="0"/>
    <s v="United States"/>
    <s v="Kenosha"/>
    <x v="6"/>
    <n v="53142"/>
    <x v="2"/>
    <x v="0"/>
    <x v="5"/>
    <n v="373.08"/>
    <n v="6"/>
    <n v="0"/>
    <n v="82.077600000000004"/>
  </r>
  <r>
    <s v="Second Class"/>
    <x v="1"/>
    <s v="United States"/>
    <s v="Port Saint Lucie"/>
    <x v="2"/>
    <n v="34952"/>
    <x v="0"/>
    <x v="0"/>
    <x v="0"/>
    <n v="231.92"/>
    <n v="5"/>
    <n v="0.2"/>
    <n v="5.798"/>
  </r>
  <r>
    <s v="Standard Class"/>
    <x v="2"/>
    <s v="United States"/>
    <s v="Seattle"/>
    <x v="4"/>
    <n v="98115"/>
    <x v="1"/>
    <x v="0"/>
    <x v="5"/>
    <n v="63.47"/>
    <n v="11"/>
    <n v="0"/>
    <n v="19.041"/>
  </r>
  <r>
    <s v="Standard Class"/>
    <x v="2"/>
    <s v="United States"/>
    <s v="Seattle"/>
    <x v="4"/>
    <n v="98115"/>
    <x v="1"/>
    <x v="2"/>
    <x v="11"/>
    <n v="345"/>
    <n v="5"/>
    <n v="0"/>
    <n v="58.65"/>
  </r>
  <r>
    <s v="Standard Class"/>
    <x v="0"/>
    <s v="United States"/>
    <s v="San Antonio"/>
    <x v="5"/>
    <n v="78207"/>
    <x v="2"/>
    <x v="0"/>
    <x v="3"/>
    <n v="637.89599999999996"/>
    <n v="3"/>
    <n v="0.3"/>
    <n v="-127.5792"/>
  </r>
  <r>
    <s v="Standard Class"/>
    <x v="0"/>
    <s v="United States"/>
    <s v="San Antonio"/>
    <x v="5"/>
    <n v="78207"/>
    <x v="2"/>
    <x v="2"/>
    <x v="15"/>
    <n v="287.91000000000003"/>
    <n v="3"/>
    <n v="0.4"/>
    <n v="33.589500000000001"/>
  </r>
  <r>
    <s v="Standard Class"/>
    <x v="0"/>
    <s v="United States"/>
    <s v="San Antonio"/>
    <x v="5"/>
    <n v="78207"/>
    <x v="2"/>
    <x v="1"/>
    <x v="12"/>
    <n v="36.6"/>
    <n v="3"/>
    <n v="0.2"/>
    <n v="11.895"/>
  </r>
  <r>
    <s v="Standard Class"/>
    <x v="0"/>
    <s v="United States"/>
    <s v="Roswell"/>
    <x v="32"/>
    <n v="30076"/>
    <x v="0"/>
    <x v="1"/>
    <x v="6"/>
    <n v="1.78"/>
    <n v="1"/>
    <n v="0"/>
    <n v="0.49840000000000001"/>
  </r>
  <r>
    <s v="Standard Class"/>
    <x v="0"/>
    <s v="United States"/>
    <s v="Roswell"/>
    <x v="32"/>
    <n v="30076"/>
    <x v="0"/>
    <x v="1"/>
    <x v="10"/>
    <n v="25.92"/>
    <n v="4"/>
    <n v="0"/>
    <n v="12.441599999999999"/>
  </r>
  <r>
    <s v="Standard Class"/>
    <x v="0"/>
    <s v="United States"/>
    <s v="Roswell"/>
    <x v="32"/>
    <n v="30076"/>
    <x v="0"/>
    <x v="2"/>
    <x v="11"/>
    <n v="101.94"/>
    <n v="6"/>
    <n v="0"/>
    <n v="21.407399999999999"/>
  </r>
  <r>
    <s v="Standard Class"/>
    <x v="1"/>
    <s v="United States"/>
    <s v="Louisville"/>
    <x v="22"/>
    <n v="80027"/>
    <x v="1"/>
    <x v="1"/>
    <x v="6"/>
    <n v="6.8479999999999999"/>
    <n v="2"/>
    <n v="0.2"/>
    <n v="0.59919999999999995"/>
  </r>
  <r>
    <s v="Standard Class"/>
    <x v="0"/>
    <s v="United States"/>
    <s v="Los Angeles"/>
    <x v="1"/>
    <n v="90036"/>
    <x v="1"/>
    <x v="0"/>
    <x v="5"/>
    <n v="474.43"/>
    <n v="11"/>
    <n v="0"/>
    <n v="199.26060000000001"/>
  </r>
  <r>
    <s v="First Class"/>
    <x v="0"/>
    <s v="United States"/>
    <s v="Philadelphia"/>
    <x v="9"/>
    <n v="19143"/>
    <x v="3"/>
    <x v="1"/>
    <x v="10"/>
    <n v="8.4480000000000004"/>
    <n v="2"/>
    <n v="0.2"/>
    <n v="2.64"/>
  </r>
  <r>
    <s v="First Class"/>
    <x v="0"/>
    <s v="United States"/>
    <s v="Philadelphia"/>
    <x v="9"/>
    <n v="19143"/>
    <x v="3"/>
    <x v="1"/>
    <x v="4"/>
    <n v="39.295999999999999"/>
    <n v="4"/>
    <n v="0.2"/>
    <n v="3.9296000000000002"/>
  </r>
  <r>
    <s v="Standard Class"/>
    <x v="2"/>
    <s v="United States"/>
    <s v="Superior"/>
    <x v="6"/>
    <n v="54880"/>
    <x v="2"/>
    <x v="1"/>
    <x v="6"/>
    <n v="17.12"/>
    <n v="4"/>
    <n v="0"/>
    <n v="4.9648000000000003"/>
  </r>
  <r>
    <s v="Standard Class"/>
    <x v="0"/>
    <s v="United States"/>
    <s v="Atlanta"/>
    <x v="32"/>
    <n v="30318"/>
    <x v="0"/>
    <x v="1"/>
    <x v="9"/>
    <n v="542.94000000000005"/>
    <n v="3"/>
    <n v="0"/>
    <n v="152.0232"/>
  </r>
  <r>
    <s v="Standard Class"/>
    <x v="0"/>
    <s v="United States"/>
    <s v="Atlanta"/>
    <x v="32"/>
    <n v="30318"/>
    <x v="0"/>
    <x v="1"/>
    <x v="2"/>
    <n v="8.64"/>
    <n v="3"/>
    <n v="0"/>
    <n v="4.2336"/>
  </r>
  <r>
    <s v="Standard Class"/>
    <x v="0"/>
    <s v="United States"/>
    <s v="Atlanta"/>
    <x v="32"/>
    <n v="30318"/>
    <x v="0"/>
    <x v="1"/>
    <x v="10"/>
    <n v="193.8"/>
    <n v="5"/>
    <n v="0"/>
    <n v="94.962000000000003"/>
  </r>
  <r>
    <s v="Standard Class"/>
    <x v="0"/>
    <s v="United States"/>
    <s v="Atlanta"/>
    <x v="32"/>
    <n v="30318"/>
    <x v="0"/>
    <x v="1"/>
    <x v="10"/>
    <n v="21.4"/>
    <n v="5"/>
    <n v="0"/>
    <n v="9.6300000000000008"/>
  </r>
  <r>
    <s v="Standard Class"/>
    <x v="0"/>
    <s v="United States"/>
    <s v="Atlanta"/>
    <x v="32"/>
    <n v="30318"/>
    <x v="0"/>
    <x v="1"/>
    <x v="10"/>
    <n v="97.88"/>
    <n v="2"/>
    <n v="0"/>
    <n v="48.94"/>
  </r>
  <r>
    <s v="Standard Class"/>
    <x v="0"/>
    <s v="United States"/>
    <s v="Atlanta"/>
    <x v="32"/>
    <n v="30318"/>
    <x v="0"/>
    <x v="2"/>
    <x v="11"/>
    <n v="251.91"/>
    <n v="9"/>
    <n v="0"/>
    <n v="47.862900000000003"/>
  </r>
  <r>
    <s v="Standard Class"/>
    <x v="0"/>
    <s v="United States"/>
    <s v="Atlanta"/>
    <x v="32"/>
    <n v="30318"/>
    <x v="0"/>
    <x v="1"/>
    <x v="9"/>
    <n v="25.86"/>
    <n v="3"/>
    <n v="0"/>
    <n v="6.7236000000000002"/>
  </r>
  <r>
    <s v="Standard Class"/>
    <x v="0"/>
    <s v="United States"/>
    <s v="Chester"/>
    <x v="9"/>
    <n v="19013"/>
    <x v="3"/>
    <x v="0"/>
    <x v="1"/>
    <n v="170.05799999999999"/>
    <n v="3"/>
    <n v="0.3"/>
    <n v="-4.8587999999999996"/>
  </r>
  <r>
    <s v="Standard Class"/>
    <x v="0"/>
    <s v="United States"/>
    <s v="Chester"/>
    <x v="9"/>
    <n v="19013"/>
    <x v="3"/>
    <x v="2"/>
    <x v="7"/>
    <n v="82.781999999999996"/>
    <n v="3"/>
    <n v="0.4"/>
    <n v="-15.1767"/>
  </r>
  <r>
    <s v="Standard Class"/>
    <x v="0"/>
    <s v="United States"/>
    <s v="Chester"/>
    <x v="9"/>
    <n v="19013"/>
    <x v="3"/>
    <x v="0"/>
    <x v="1"/>
    <n v="853.93"/>
    <n v="5"/>
    <n v="0.3"/>
    <n v="0"/>
  </r>
  <r>
    <s v="First Class"/>
    <x v="1"/>
    <s v="United States"/>
    <s v="San Francisco"/>
    <x v="1"/>
    <n v="94110"/>
    <x v="1"/>
    <x v="0"/>
    <x v="0"/>
    <n v="556.66499999999996"/>
    <n v="5"/>
    <n v="0.15"/>
    <n v="6.5490000000000004"/>
  </r>
  <r>
    <s v="First Class"/>
    <x v="1"/>
    <s v="United States"/>
    <s v="San Francisco"/>
    <x v="1"/>
    <n v="94110"/>
    <x v="1"/>
    <x v="2"/>
    <x v="7"/>
    <n v="95.84"/>
    <n v="4"/>
    <n v="0.2"/>
    <n v="34.741999999999997"/>
  </r>
  <r>
    <s v="First Class"/>
    <x v="1"/>
    <s v="United States"/>
    <s v="Bedford"/>
    <x v="5"/>
    <n v="76021"/>
    <x v="2"/>
    <x v="1"/>
    <x v="10"/>
    <n v="29.664000000000001"/>
    <n v="4"/>
    <n v="0.2"/>
    <n v="10.0116"/>
  </r>
  <r>
    <s v="First Class"/>
    <x v="1"/>
    <s v="United States"/>
    <s v="Bedford"/>
    <x v="5"/>
    <n v="76021"/>
    <x v="2"/>
    <x v="1"/>
    <x v="6"/>
    <n v="9.1839999999999993"/>
    <n v="7"/>
    <n v="0.2"/>
    <n v="2.87"/>
  </r>
  <r>
    <s v="First Class"/>
    <x v="1"/>
    <s v="United States"/>
    <s v="Bedford"/>
    <x v="5"/>
    <n v="76021"/>
    <x v="2"/>
    <x v="2"/>
    <x v="7"/>
    <n v="153.584"/>
    <n v="2"/>
    <n v="0.2"/>
    <n v="13.438599999999999"/>
  </r>
  <r>
    <s v="First Class"/>
    <x v="1"/>
    <s v="United States"/>
    <s v="Bedford"/>
    <x v="5"/>
    <n v="76021"/>
    <x v="2"/>
    <x v="1"/>
    <x v="8"/>
    <n v="12.864000000000001"/>
    <n v="8"/>
    <n v="0.8"/>
    <n v="-22.512"/>
  </r>
  <r>
    <s v="Standard Class"/>
    <x v="0"/>
    <s v="United States"/>
    <s v="Lafayette"/>
    <x v="28"/>
    <n v="70506"/>
    <x v="0"/>
    <x v="2"/>
    <x v="15"/>
    <n v="479.97"/>
    <n v="3"/>
    <n v="0"/>
    <n v="239.98500000000001"/>
  </r>
  <r>
    <s v="Standard Class"/>
    <x v="0"/>
    <s v="United States"/>
    <s v="Lafayette"/>
    <x v="28"/>
    <n v="70506"/>
    <x v="0"/>
    <x v="0"/>
    <x v="1"/>
    <n v="232.88"/>
    <n v="4"/>
    <n v="0"/>
    <n v="60.5488"/>
  </r>
  <r>
    <s v="Standard Class"/>
    <x v="2"/>
    <s v="United States"/>
    <s v="Covington"/>
    <x v="4"/>
    <n v="98042"/>
    <x v="1"/>
    <x v="1"/>
    <x v="9"/>
    <n v="236.88"/>
    <n v="6"/>
    <n v="0"/>
    <n v="66.326400000000007"/>
  </r>
  <r>
    <s v="Standard Class"/>
    <x v="2"/>
    <s v="United States"/>
    <s v="Covington"/>
    <x v="4"/>
    <n v="98042"/>
    <x v="1"/>
    <x v="1"/>
    <x v="10"/>
    <n v="29.9"/>
    <n v="5"/>
    <n v="0"/>
    <n v="14.651"/>
  </r>
  <r>
    <s v="Standard Class"/>
    <x v="2"/>
    <s v="United States"/>
    <s v="Covington"/>
    <x v="4"/>
    <n v="98042"/>
    <x v="1"/>
    <x v="2"/>
    <x v="11"/>
    <n v="100"/>
    <n v="4"/>
    <n v="0"/>
    <n v="21"/>
  </r>
  <r>
    <s v="Same Day"/>
    <x v="1"/>
    <s v="United States"/>
    <s v="Lorain"/>
    <x v="24"/>
    <n v="44052"/>
    <x v="3"/>
    <x v="1"/>
    <x v="8"/>
    <n v="18.693000000000001"/>
    <n v="3"/>
    <n v="0.7"/>
    <n v="-14.331300000000001"/>
  </r>
  <r>
    <s v="Same Day"/>
    <x v="1"/>
    <s v="United States"/>
    <s v="Lorain"/>
    <x v="24"/>
    <n v="44052"/>
    <x v="3"/>
    <x v="2"/>
    <x v="11"/>
    <n v="383.952"/>
    <n v="6"/>
    <n v="0.2"/>
    <n v="76.790400000000005"/>
  </r>
  <r>
    <s v="Standard Class"/>
    <x v="0"/>
    <s v="United States"/>
    <s v="Chicago"/>
    <x v="10"/>
    <n v="60623"/>
    <x v="2"/>
    <x v="1"/>
    <x v="4"/>
    <n v="24.815999999999999"/>
    <n v="2"/>
    <n v="0.2"/>
    <n v="1.5509999999999999"/>
  </r>
  <r>
    <s v="Standard Class"/>
    <x v="1"/>
    <s v="United States"/>
    <s v="San Francisco"/>
    <x v="1"/>
    <n v="94110"/>
    <x v="1"/>
    <x v="0"/>
    <x v="5"/>
    <n v="24.9"/>
    <n v="5"/>
    <n v="0"/>
    <n v="8.2170000000000005"/>
  </r>
  <r>
    <s v="Standard Class"/>
    <x v="1"/>
    <s v="United States"/>
    <s v="San Francisco"/>
    <x v="1"/>
    <n v="94110"/>
    <x v="1"/>
    <x v="1"/>
    <x v="10"/>
    <n v="21.12"/>
    <n v="4"/>
    <n v="0"/>
    <n v="9.5039999999999996"/>
  </r>
  <r>
    <s v="Standard Class"/>
    <x v="1"/>
    <s v="United States"/>
    <s v="San Francisco"/>
    <x v="1"/>
    <n v="94110"/>
    <x v="1"/>
    <x v="2"/>
    <x v="15"/>
    <n v="767.952"/>
    <n v="6"/>
    <n v="0.2"/>
    <n v="287.98200000000003"/>
  </r>
  <r>
    <s v="Standard Class"/>
    <x v="1"/>
    <s v="United States"/>
    <s v="San Francisco"/>
    <x v="1"/>
    <n v="94110"/>
    <x v="1"/>
    <x v="1"/>
    <x v="8"/>
    <n v="14.352"/>
    <n v="3"/>
    <n v="0.2"/>
    <n v="4.6643999999999997"/>
  </r>
  <r>
    <s v="Standard Class"/>
    <x v="1"/>
    <s v="United States"/>
    <s v="San Francisco"/>
    <x v="1"/>
    <n v="94110"/>
    <x v="1"/>
    <x v="2"/>
    <x v="7"/>
    <n v="191.976"/>
    <n v="3"/>
    <n v="0.2"/>
    <n v="19.197600000000001"/>
  </r>
  <r>
    <s v="Standard Class"/>
    <x v="1"/>
    <s v="United States"/>
    <s v="San Francisco"/>
    <x v="1"/>
    <n v="94110"/>
    <x v="1"/>
    <x v="1"/>
    <x v="2"/>
    <n v="274.77"/>
    <n v="9"/>
    <n v="0"/>
    <n v="126.3942"/>
  </r>
  <r>
    <s v="Standard Class"/>
    <x v="1"/>
    <s v="United States"/>
    <s v="San Francisco"/>
    <x v="1"/>
    <n v="94110"/>
    <x v="1"/>
    <x v="0"/>
    <x v="5"/>
    <n v="70.56"/>
    <n v="6"/>
    <n v="0"/>
    <n v="23.990400000000001"/>
  </r>
  <r>
    <s v="Standard Class"/>
    <x v="0"/>
    <s v="United States"/>
    <s v="San Francisco"/>
    <x v="1"/>
    <n v="94110"/>
    <x v="1"/>
    <x v="0"/>
    <x v="5"/>
    <n v="204.85"/>
    <n v="5"/>
    <n v="0"/>
    <n v="57.357999999999997"/>
  </r>
  <r>
    <s v="Standard Class"/>
    <x v="1"/>
    <s v="United States"/>
    <s v="Houston"/>
    <x v="5"/>
    <n v="77070"/>
    <x v="2"/>
    <x v="1"/>
    <x v="8"/>
    <n v="9.1560000000000006"/>
    <n v="3"/>
    <n v="0.8"/>
    <n v="-13.734"/>
  </r>
  <r>
    <s v="Standard Class"/>
    <x v="0"/>
    <s v="United States"/>
    <s v="Chicago"/>
    <x v="10"/>
    <n v="60653"/>
    <x v="2"/>
    <x v="1"/>
    <x v="9"/>
    <n v="23.992000000000001"/>
    <n v="2"/>
    <n v="0.8"/>
    <n v="-62.379199999999997"/>
  </r>
  <r>
    <s v="First Class"/>
    <x v="1"/>
    <s v="United States"/>
    <s v="New York City"/>
    <x v="15"/>
    <n v="10035"/>
    <x v="3"/>
    <x v="1"/>
    <x v="10"/>
    <n v="80.88"/>
    <n v="3"/>
    <n v="0"/>
    <n v="39.6312"/>
  </r>
  <r>
    <s v="First Class"/>
    <x v="1"/>
    <s v="United States"/>
    <s v="New York City"/>
    <x v="15"/>
    <n v="10035"/>
    <x v="3"/>
    <x v="2"/>
    <x v="11"/>
    <n v="599.9"/>
    <n v="10"/>
    <n v="0"/>
    <n v="191.96799999999999"/>
  </r>
  <r>
    <s v="Second Class"/>
    <x v="0"/>
    <s v="United States"/>
    <s v="New York City"/>
    <x v="15"/>
    <n v="10011"/>
    <x v="3"/>
    <x v="0"/>
    <x v="5"/>
    <n v="276.69"/>
    <n v="3"/>
    <n v="0"/>
    <n v="49.804200000000002"/>
  </r>
  <r>
    <s v="Second Class"/>
    <x v="0"/>
    <s v="United States"/>
    <s v="New York City"/>
    <x v="15"/>
    <n v="10011"/>
    <x v="3"/>
    <x v="0"/>
    <x v="1"/>
    <n v="172.76400000000001"/>
    <n v="2"/>
    <n v="0.1"/>
    <n v="32.633200000000002"/>
  </r>
  <r>
    <s v="Standard Class"/>
    <x v="1"/>
    <s v="United States"/>
    <s v="Philadelphia"/>
    <x v="9"/>
    <n v="19134"/>
    <x v="3"/>
    <x v="1"/>
    <x v="6"/>
    <n v="4.2240000000000002"/>
    <n v="3"/>
    <n v="0.2"/>
    <n v="1.4783999999999999"/>
  </r>
  <r>
    <s v="Standard Class"/>
    <x v="1"/>
    <s v="United States"/>
    <s v="Philadelphia"/>
    <x v="9"/>
    <n v="19134"/>
    <x v="3"/>
    <x v="0"/>
    <x v="3"/>
    <n v="409.27199999999999"/>
    <n v="2"/>
    <n v="0.4"/>
    <n v="-81.854399999999998"/>
  </r>
  <r>
    <s v="Standard Class"/>
    <x v="1"/>
    <s v="United States"/>
    <s v="Philadelphia"/>
    <x v="9"/>
    <n v="19134"/>
    <x v="3"/>
    <x v="1"/>
    <x v="2"/>
    <n v="55.44"/>
    <n v="11"/>
    <n v="0.2"/>
    <n v="18.018000000000001"/>
  </r>
  <r>
    <s v="Standard Class"/>
    <x v="1"/>
    <s v="United States"/>
    <s v="Philadelphia"/>
    <x v="9"/>
    <n v="19134"/>
    <x v="3"/>
    <x v="1"/>
    <x v="10"/>
    <n v="20.928000000000001"/>
    <n v="4"/>
    <n v="0.2"/>
    <n v="6.8015999999999996"/>
  </r>
  <r>
    <s v="Standard Class"/>
    <x v="1"/>
    <s v="United States"/>
    <s v="Philadelphia"/>
    <x v="9"/>
    <n v="19134"/>
    <x v="3"/>
    <x v="1"/>
    <x v="4"/>
    <n v="1801.6320000000001"/>
    <n v="6"/>
    <n v="0.2"/>
    <n v="-337.80599999999998"/>
  </r>
  <r>
    <s v="Standard Class"/>
    <x v="1"/>
    <s v="United States"/>
    <s v="Philadelphia"/>
    <x v="9"/>
    <n v="19134"/>
    <x v="3"/>
    <x v="0"/>
    <x v="3"/>
    <n v="67.176000000000002"/>
    <n v="1"/>
    <n v="0.4"/>
    <n v="-20.152799999999999"/>
  </r>
  <r>
    <s v="Standard Class"/>
    <x v="0"/>
    <s v="United States"/>
    <s v="Chicago"/>
    <x v="10"/>
    <n v="60610"/>
    <x v="2"/>
    <x v="1"/>
    <x v="4"/>
    <n v="646.20000000000005"/>
    <n v="5"/>
    <n v="0.2"/>
    <n v="-8.0775000000000006"/>
  </r>
  <r>
    <s v="Standard Class"/>
    <x v="0"/>
    <s v="United States"/>
    <s v="Oakland"/>
    <x v="1"/>
    <n v="94601"/>
    <x v="1"/>
    <x v="2"/>
    <x v="7"/>
    <n v="72.744"/>
    <n v="7"/>
    <n v="0.2"/>
    <n v="-15.4581"/>
  </r>
  <r>
    <s v="Standard Class"/>
    <x v="0"/>
    <s v="United States"/>
    <s v="Oakland"/>
    <x v="1"/>
    <n v="94601"/>
    <x v="1"/>
    <x v="0"/>
    <x v="1"/>
    <n v="572.16"/>
    <n v="3"/>
    <n v="0.2"/>
    <n v="35.76"/>
  </r>
  <r>
    <s v="Standard Class"/>
    <x v="0"/>
    <s v="United States"/>
    <s v="Chicago"/>
    <x v="10"/>
    <n v="60610"/>
    <x v="2"/>
    <x v="2"/>
    <x v="11"/>
    <n v="68.111999999999995"/>
    <n v="3"/>
    <n v="0.2"/>
    <n v="17.8794"/>
  </r>
  <r>
    <s v="First Class"/>
    <x v="1"/>
    <s v="United States"/>
    <s v="Seattle"/>
    <x v="4"/>
    <n v="98105"/>
    <x v="1"/>
    <x v="1"/>
    <x v="8"/>
    <n v="25.032"/>
    <n v="3"/>
    <n v="0.2"/>
    <n v="7.8224999999999998"/>
  </r>
  <r>
    <s v="Standard Class"/>
    <x v="0"/>
    <s v="United States"/>
    <s v="Philadelphia"/>
    <x v="9"/>
    <n v="19143"/>
    <x v="3"/>
    <x v="2"/>
    <x v="11"/>
    <n v="39.991999999999997"/>
    <n v="1"/>
    <n v="0.2"/>
    <n v="7.4984999999999999"/>
  </r>
  <r>
    <s v="First Class"/>
    <x v="0"/>
    <s v="United States"/>
    <s v="Concord"/>
    <x v="3"/>
    <n v="28027"/>
    <x v="0"/>
    <x v="1"/>
    <x v="6"/>
    <n v="20.015999999999998"/>
    <n v="9"/>
    <n v="0.2"/>
    <n v="1.7514000000000001"/>
  </r>
  <r>
    <s v="First Class"/>
    <x v="0"/>
    <s v="United States"/>
    <s v="Concord"/>
    <x v="3"/>
    <n v="28027"/>
    <x v="0"/>
    <x v="1"/>
    <x v="14"/>
    <n v="3.1040000000000001"/>
    <n v="1"/>
    <n v="0.2"/>
    <n v="0.34920000000000001"/>
  </r>
  <r>
    <s v="Standard Class"/>
    <x v="1"/>
    <s v="United States"/>
    <s v="Charlotte"/>
    <x v="3"/>
    <n v="28205"/>
    <x v="0"/>
    <x v="1"/>
    <x v="13"/>
    <n v="7.52"/>
    <n v="5"/>
    <n v="0.2"/>
    <n v="1.41"/>
  </r>
  <r>
    <s v="Standard Class"/>
    <x v="1"/>
    <s v="United States"/>
    <s v="Charlotte"/>
    <x v="3"/>
    <n v="28205"/>
    <x v="0"/>
    <x v="1"/>
    <x v="6"/>
    <n v="10.272"/>
    <n v="3"/>
    <n v="0.2"/>
    <n v="0.89880000000000004"/>
  </r>
  <r>
    <s v="Standard Class"/>
    <x v="1"/>
    <s v="United States"/>
    <s v="Charlotte"/>
    <x v="3"/>
    <n v="28205"/>
    <x v="0"/>
    <x v="1"/>
    <x v="2"/>
    <n v="47.808"/>
    <n v="12"/>
    <n v="0.2"/>
    <n v="15.537599999999999"/>
  </r>
  <r>
    <s v="Standard Class"/>
    <x v="1"/>
    <s v="United States"/>
    <s v="Charlotte"/>
    <x v="3"/>
    <n v="28205"/>
    <x v="0"/>
    <x v="2"/>
    <x v="7"/>
    <n v="978.84"/>
    <n v="9"/>
    <n v="0.2"/>
    <n v="110.1195"/>
  </r>
  <r>
    <s v="First Class"/>
    <x v="0"/>
    <s v="United States"/>
    <s v="Dallas"/>
    <x v="5"/>
    <n v="75081"/>
    <x v="2"/>
    <x v="1"/>
    <x v="8"/>
    <n v="13.14"/>
    <n v="9"/>
    <n v="0.8"/>
    <n v="-21.681000000000001"/>
  </r>
  <r>
    <s v="First Class"/>
    <x v="0"/>
    <s v="United States"/>
    <s v="Dallas"/>
    <x v="5"/>
    <n v="75081"/>
    <x v="2"/>
    <x v="1"/>
    <x v="8"/>
    <n v="10.023999999999999"/>
    <n v="4"/>
    <n v="0.8"/>
    <n v="-16.5396"/>
  </r>
  <r>
    <s v="First Class"/>
    <x v="0"/>
    <s v="United States"/>
    <s v="Dallas"/>
    <x v="5"/>
    <n v="75081"/>
    <x v="2"/>
    <x v="0"/>
    <x v="0"/>
    <n v="156.37280000000001"/>
    <n v="2"/>
    <n v="0.32"/>
    <n v="-52.890799999999999"/>
  </r>
  <r>
    <s v="Second Class"/>
    <x v="2"/>
    <s v="United States"/>
    <s v="Indianapolis"/>
    <x v="14"/>
    <n v="46203"/>
    <x v="2"/>
    <x v="2"/>
    <x v="16"/>
    <n v="999.98"/>
    <n v="2"/>
    <n v="0"/>
    <n v="449.99099999999999"/>
  </r>
  <r>
    <s v="First Class"/>
    <x v="2"/>
    <s v="United States"/>
    <s v="Broken Arrow"/>
    <x v="26"/>
    <n v="74012"/>
    <x v="2"/>
    <x v="2"/>
    <x v="7"/>
    <n v="821.94"/>
    <n v="6"/>
    <n v="0"/>
    <n v="213.70439999999999"/>
  </r>
  <r>
    <s v="Standard Class"/>
    <x v="0"/>
    <s v="United States"/>
    <s v="Miramar"/>
    <x v="2"/>
    <n v="33023"/>
    <x v="0"/>
    <x v="0"/>
    <x v="5"/>
    <n v="220.06399999999999"/>
    <n v="4"/>
    <n v="0.2"/>
    <n v="55.015999999999998"/>
  </r>
  <r>
    <s v="Standard Class"/>
    <x v="0"/>
    <s v="United States"/>
    <s v="Miramar"/>
    <x v="2"/>
    <n v="33023"/>
    <x v="0"/>
    <x v="0"/>
    <x v="5"/>
    <n v="339.13600000000002"/>
    <n v="4"/>
    <n v="0.2"/>
    <n v="0"/>
  </r>
  <r>
    <s v="Second Class"/>
    <x v="1"/>
    <s v="United States"/>
    <s v="Omaha"/>
    <x v="8"/>
    <n v="68104"/>
    <x v="2"/>
    <x v="1"/>
    <x v="8"/>
    <n v="7.04"/>
    <n v="2"/>
    <n v="0"/>
    <n v="3.3088000000000002"/>
  </r>
  <r>
    <s v="Second Class"/>
    <x v="1"/>
    <s v="United States"/>
    <s v="Omaha"/>
    <x v="8"/>
    <n v="68104"/>
    <x v="2"/>
    <x v="1"/>
    <x v="13"/>
    <n v="5.04"/>
    <n v="4"/>
    <n v="0"/>
    <n v="0.2016"/>
  </r>
  <r>
    <s v="Second Class"/>
    <x v="1"/>
    <s v="United States"/>
    <s v="Omaha"/>
    <x v="8"/>
    <n v="68104"/>
    <x v="2"/>
    <x v="1"/>
    <x v="10"/>
    <n v="116.28"/>
    <n v="3"/>
    <n v="0"/>
    <n v="56.977200000000003"/>
  </r>
  <r>
    <s v="First Class"/>
    <x v="0"/>
    <s v="United States"/>
    <s v="Jacksonville"/>
    <x v="3"/>
    <n v="28540"/>
    <x v="0"/>
    <x v="2"/>
    <x v="7"/>
    <n v="47.975999999999999"/>
    <n v="3"/>
    <n v="0.2"/>
    <n v="4.7976000000000001"/>
  </r>
  <r>
    <s v="Standard Class"/>
    <x v="1"/>
    <s v="United States"/>
    <s v="Tigard"/>
    <x v="21"/>
    <n v="97224"/>
    <x v="1"/>
    <x v="1"/>
    <x v="10"/>
    <n v="60.048000000000002"/>
    <n v="9"/>
    <n v="0.2"/>
    <n v="22.518000000000001"/>
  </r>
  <r>
    <s v="Standard Class"/>
    <x v="1"/>
    <s v="United States"/>
    <s v="Tigard"/>
    <x v="21"/>
    <n v="97224"/>
    <x v="1"/>
    <x v="1"/>
    <x v="8"/>
    <n v="5.0220000000000002"/>
    <n v="1"/>
    <n v="0.7"/>
    <n v="-3.5154000000000001"/>
  </r>
  <r>
    <s v="Standard Class"/>
    <x v="1"/>
    <s v="United States"/>
    <s v="Decatur"/>
    <x v="10"/>
    <n v="62521"/>
    <x v="2"/>
    <x v="1"/>
    <x v="8"/>
    <n v="182.994"/>
    <n v="3"/>
    <n v="0.8"/>
    <n v="-320.23950000000002"/>
  </r>
  <r>
    <s v="Standard Class"/>
    <x v="1"/>
    <s v="United States"/>
    <s v="Decatur"/>
    <x v="10"/>
    <n v="62521"/>
    <x v="2"/>
    <x v="1"/>
    <x v="10"/>
    <n v="10.272"/>
    <n v="3"/>
    <n v="0.2"/>
    <n v="3.21"/>
  </r>
  <r>
    <s v="First Class"/>
    <x v="2"/>
    <s v="United States"/>
    <s v="Phoenix"/>
    <x v="16"/>
    <n v="85023"/>
    <x v="1"/>
    <x v="1"/>
    <x v="8"/>
    <n v="7.8570000000000002"/>
    <n v="3"/>
    <n v="0.7"/>
    <n v="-6.0236999999999998"/>
  </r>
  <r>
    <s v="Second Class"/>
    <x v="1"/>
    <s v="United States"/>
    <s v="Sacramento"/>
    <x v="1"/>
    <n v="95823"/>
    <x v="1"/>
    <x v="2"/>
    <x v="7"/>
    <n v="302.38400000000001"/>
    <n v="2"/>
    <n v="0.2"/>
    <n v="30.238399999999999"/>
  </r>
  <r>
    <s v="Second Class"/>
    <x v="1"/>
    <s v="United States"/>
    <s v="Sacramento"/>
    <x v="1"/>
    <n v="95823"/>
    <x v="1"/>
    <x v="1"/>
    <x v="8"/>
    <n v="20.952000000000002"/>
    <n v="3"/>
    <n v="0.2"/>
    <n v="7.0712999999999999"/>
  </r>
  <r>
    <s v="Second Class"/>
    <x v="1"/>
    <s v="United States"/>
    <s v="Sacramento"/>
    <x v="1"/>
    <n v="95823"/>
    <x v="1"/>
    <x v="1"/>
    <x v="8"/>
    <n v="11.784000000000001"/>
    <n v="3"/>
    <n v="0.2"/>
    <n v="3.9771000000000001"/>
  </r>
  <r>
    <s v="Standard Class"/>
    <x v="0"/>
    <s v="United States"/>
    <s v="Jonesboro"/>
    <x v="36"/>
    <n v="72401"/>
    <x v="0"/>
    <x v="0"/>
    <x v="0"/>
    <n v="638.82000000000005"/>
    <n v="9"/>
    <n v="0"/>
    <n v="172.48140000000001"/>
  </r>
  <r>
    <s v="Standard Class"/>
    <x v="1"/>
    <s v="United States"/>
    <s v="New York City"/>
    <x v="15"/>
    <n v="10035"/>
    <x v="3"/>
    <x v="1"/>
    <x v="2"/>
    <n v="20.7"/>
    <n v="2"/>
    <n v="0"/>
    <n v="9.9359999999999999"/>
  </r>
  <r>
    <s v="Standard Class"/>
    <x v="1"/>
    <s v="United States"/>
    <s v="New York City"/>
    <x v="15"/>
    <n v="10035"/>
    <x v="3"/>
    <x v="1"/>
    <x v="14"/>
    <n v="10.95"/>
    <n v="3"/>
    <n v="0"/>
    <n v="3.2850000000000001"/>
  </r>
  <r>
    <s v="Standard Class"/>
    <x v="1"/>
    <s v="United States"/>
    <s v="New York City"/>
    <x v="15"/>
    <n v="10035"/>
    <x v="3"/>
    <x v="1"/>
    <x v="8"/>
    <n v="14.352"/>
    <n v="3"/>
    <n v="0.2"/>
    <n v="4.6643999999999997"/>
  </r>
  <r>
    <s v="First Class"/>
    <x v="0"/>
    <s v="United States"/>
    <s v="Akron"/>
    <x v="24"/>
    <n v="44312"/>
    <x v="3"/>
    <x v="1"/>
    <x v="4"/>
    <n v="221.024"/>
    <n v="2"/>
    <n v="0.2"/>
    <n v="-55.256"/>
  </r>
  <r>
    <s v="Standard Class"/>
    <x v="0"/>
    <s v="United States"/>
    <s v="Florence"/>
    <x v="0"/>
    <n v="41042"/>
    <x v="0"/>
    <x v="2"/>
    <x v="15"/>
    <n v="3080"/>
    <n v="7"/>
    <n v="0"/>
    <n v="1416.8"/>
  </r>
  <r>
    <s v="Standard Class"/>
    <x v="0"/>
    <s v="United States"/>
    <s v="Florence"/>
    <x v="0"/>
    <n v="41042"/>
    <x v="0"/>
    <x v="2"/>
    <x v="11"/>
    <n v="79.959999999999994"/>
    <n v="4"/>
    <n v="0"/>
    <n v="18.390799999999999"/>
  </r>
  <r>
    <s v="Standard Class"/>
    <x v="0"/>
    <s v="United States"/>
    <s v="Florence"/>
    <x v="0"/>
    <n v="41042"/>
    <x v="0"/>
    <x v="2"/>
    <x v="7"/>
    <n v="587.97"/>
    <n v="3"/>
    <n v="0"/>
    <n v="170.51130000000001"/>
  </r>
  <r>
    <s v="Standard Class"/>
    <x v="0"/>
    <s v="United States"/>
    <s v="Minneapolis"/>
    <x v="11"/>
    <n v="55407"/>
    <x v="2"/>
    <x v="1"/>
    <x v="10"/>
    <n v="32.4"/>
    <n v="5"/>
    <n v="0"/>
    <n v="15.552"/>
  </r>
  <r>
    <s v="Standard Class"/>
    <x v="0"/>
    <s v="United States"/>
    <s v="Minneapolis"/>
    <x v="11"/>
    <n v="55407"/>
    <x v="2"/>
    <x v="1"/>
    <x v="4"/>
    <n v="404.9"/>
    <n v="5"/>
    <n v="0"/>
    <n v="16.196000000000002"/>
  </r>
  <r>
    <s v="Standard Class"/>
    <x v="0"/>
    <s v="United States"/>
    <s v="Minneapolis"/>
    <x v="11"/>
    <n v="55407"/>
    <x v="2"/>
    <x v="1"/>
    <x v="8"/>
    <n v="9449.9500000000007"/>
    <n v="5"/>
    <n v="0"/>
    <n v="4630.4754999999996"/>
  </r>
  <r>
    <s v="Standard Class"/>
    <x v="0"/>
    <s v="United States"/>
    <s v="Minneapolis"/>
    <x v="11"/>
    <n v="55407"/>
    <x v="2"/>
    <x v="1"/>
    <x v="8"/>
    <n v="12.94"/>
    <n v="2"/>
    <n v="0"/>
    <n v="6.47"/>
  </r>
  <r>
    <s v="Standard Class"/>
    <x v="0"/>
    <s v="United States"/>
    <s v="Houston"/>
    <x v="5"/>
    <n v="77095"/>
    <x v="2"/>
    <x v="1"/>
    <x v="9"/>
    <n v="2.2639999999999998"/>
    <n v="1"/>
    <n v="0.8"/>
    <n v="-5.2072000000000003"/>
  </r>
  <r>
    <s v="Standard Class"/>
    <x v="0"/>
    <s v="United States"/>
    <s v="Houston"/>
    <x v="5"/>
    <n v="77095"/>
    <x v="2"/>
    <x v="1"/>
    <x v="9"/>
    <n v="0.44400000000000001"/>
    <n v="1"/>
    <n v="0.8"/>
    <n v="-1.1100000000000001"/>
  </r>
  <r>
    <s v="Standard Class"/>
    <x v="0"/>
    <s v="United States"/>
    <s v="Houston"/>
    <x v="5"/>
    <n v="77095"/>
    <x v="2"/>
    <x v="1"/>
    <x v="10"/>
    <n v="146.17599999999999"/>
    <n v="8"/>
    <n v="0.2"/>
    <n v="47.507199999999997"/>
  </r>
  <r>
    <s v="Same Day"/>
    <x v="2"/>
    <s v="United States"/>
    <s v="Fremont"/>
    <x v="8"/>
    <n v="68025"/>
    <x v="2"/>
    <x v="0"/>
    <x v="5"/>
    <n v="15.92"/>
    <n v="2"/>
    <n v="0"/>
    <n v="7.0048000000000004"/>
  </r>
  <r>
    <s v="Standard Class"/>
    <x v="0"/>
    <s v="United States"/>
    <s v="San Diego"/>
    <x v="1"/>
    <n v="92105"/>
    <x v="1"/>
    <x v="2"/>
    <x v="7"/>
    <n v="159.96"/>
    <n v="5"/>
    <n v="0.2"/>
    <n v="17.9955"/>
  </r>
  <r>
    <s v="Standard Class"/>
    <x v="0"/>
    <s v="United States"/>
    <s v="San Diego"/>
    <x v="1"/>
    <n v="92105"/>
    <x v="1"/>
    <x v="1"/>
    <x v="8"/>
    <n v="13.76"/>
    <n v="2"/>
    <n v="0.2"/>
    <n v="4.6440000000000001"/>
  </r>
  <r>
    <s v="Standard Class"/>
    <x v="0"/>
    <s v="United States"/>
    <s v="Houston"/>
    <x v="5"/>
    <n v="77041"/>
    <x v="2"/>
    <x v="1"/>
    <x v="8"/>
    <n v="4.3120000000000003"/>
    <n v="2"/>
    <n v="0.8"/>
    <n v="-6.8992000000000004"/>
  </r>
  <r>
    <s v="Same Day"/>
    <x v="0"/>
    <s v="United States"/>
    <s v="New York City"/>
    <x v="15"/>
    <n v="10011"/>
    <x v="3"/>
    <x v="1"/>
    <x v="4"/>
    <n v="13.96"/>
    <n v="2"/>
    <n v="0"/>
    <n v="0.2792"/>
  </r>
  <r>
    <s v="Same Day"/>
    <x v="0"/>
    <s v="United States"/>
    <s v="New York City"/>
    <x v="15"/>
    <n v="10011"/>
    <x v="3"/>
    <x v="0"/>
    <x v="3"/>
    <n v="27.414000000000001"/>
    <n v="3"/>
    <n v="0.4"/>
    <n v="-14.1639"/>
  </r>
  <r>
    <s v="Standard Class"/>
    <x v="1"/>
    <s v="United States"/>
    <s v="Detroit"/>
    <x v="12"/>
    <n v="48227"/>
    <x v="2"/>
    <x v="2"/>
    <x v="7"/>
    <n v="73.98"/>
    <n v="2"/>
    <n v="0"/>
    <n v="19.974599999999999"/>
  </r>
  <r>
    <s v="Standard Class"/>
    <x v="1"/>
    <s v="United States"/>
    <s v="Detroit"/>
    <x v="12"/>
    <n v="48227"/>
    <x v="2"/>
    <x v="0"/>
    <x v="0"/>
    <n v="160.97999999999999"/>
    <n v="1"/>
    <n v="0"/>
    <n v="20.927399999999999"/>
  </r>
  <r>
    <s v="Standard Class"/>
    <x v="1"/>
    <s v="United States"/>
    <s v="Detroit"/>
    <x v="12"/>
    <n v="48227"/>
    <x v="2"/>
    <x v="1"/>
    <x v="10"/>
    <n v="17.34"/>
    <n v="3"/>
    <n v="0"/>
    <n v="8.4966000000000008"/>
  </r>
  <r>
    <s v="Standard Class"/>
    <x v="1"/>
    <s v="United States"/>
    <s v="Detroit"/>
    <x v="12"/>
    <n v="48227"/>
    <x v="2"/>
    <x v="1"/>
    <x v="6"/>
    <n v="3.28"/>
    <n v="1"/>
    <n v="0"/>
    <n v="0.95120000000000005"/>
  </r>
  <r>
    <s v="Standard Class"/>
    <x v="1"/>
    <s v="United States"/>
    <s v="Houston"/>
    <x v="5"/>
    <n v="77095"/>
    <x v="2"/>
    <x v="1"/>
    <x v="2"/>
    <n v="8.8559999999999999"/>
    <n v="3"/>
    <n v="0.2"/>
    <n v="2.9889000000000001"/>
  </r>
  <r>
    <s v="Standard Class"/>
    <x v="1"/>
    <s v="United States"/>
    <s v="Houston"/>
    <x v="5"/>
    <n v="77095"/>
    <x v="2"/>
    <x v="2"/>
    <x v="7"/>
    <n v="158.376"/>
    <n v="3"/>
    <n v="0.2"/>
    <n v="13.857900000000001"/>
  </r>
  <r>
    <s v="First Class"/>
    <x v="0"/>
    <s v="United States"/>
    <s v="Seattle"/>
    <x v="4"/>
    <n v="98105"/>
    <x v="1"/>
    <x v="1"/>
    <x v="8"/>
    <n v="1219.96"/>
    <n v="5"/>
    <n v="0.2"/>
    <n v="381.23750000000001"/>
  </r>
  <r>
    <s v="Standard Class"/>
    <x v="0"/>
    <s v="United States"/>
    <s v="Los Angeles"/>
    <x v="1"/>
    <n v="90036"/>
    <x v="1"/>
    <x v="1"/>
    <x v="8"/>
    <n v="3.1680000000000001"/>
    <n v="2"/>
    <n v="0.2"/>
    <n v="0.99"/>
  </r>
  <r>
    <s v="Standard Class"/>
    <x v="0"/>
    <s v="United States"/>
    <s v="Los Angeles"/>
    <x v="1"/>
    <n v="90036"/>
    <x v="1"/>
    <x v="1"/>
    <x v="10"/>
    <n v="19.440000000000001"/>
    <n v="3"/>
    <n v="0"/>
    <n v="9.3312000000000008"/>
  </r>
  <r>
    <s v="Standard Class"/>
    <x v="0"/>
    <s v="United States"/>
    <s v="Los Angeles"/>
    <x v="1"/>
    <n v="90036"/>
    <x v="1"/>
    <x v="1"/>
    <x v="4"/>
    <n v="454.86"/>
    <n v="7"/>
    <n v="0"/>
    <n v="54.583199999999998"/>
  </r>
  <r>
    <s v="Standard Class"/>
    <x v="0"/>
    <s v="United States"/>
    <s v="Los Angeles"/>
    <x v="1"/>
    <n v="90036"/>
    <x v="1"/>
    <x v="1"/>
    <x v="8"/>
    <n v="91.391999999999996"/>
    <n v="8"/>
    <n v="0.2"/>
    <n v="29.702400000000001"/>
  </r>
  <r>
    <s v="Standard Class"/>
    <x v="0"/>
    <s v="United States"/>
    <s v="Philadelphia"/>
    <x v="9"/>
    <n v="19120"/>
    <x v="3"/>
    <x v="2"/>
    <x v="11"/>
    <n v="19.04"/>
    <n v="4"/>
    <n v="0.2"/>
    <n v="-1.4279999999999999"/>
  </r>
  <r>
    <s v="Same Day"/>
    <x v="0"/>
    <s v="United States"/>
    <s v="Seattle"/>
    <x v="4"/>
    <n v="98103"/>
    <x v="1"/>
    <x v="1"/>
    <x v="10"/>
    <n v="37.44"/>
    <n v="6"/>
    <n v="0"/>
    <n v="16.847999999999999"/>
  </r>
  <r>
    <s v="Same Day"/>
    <x v="0"/>
    <s v="United States"/>
    <s v="Seattle"/>
    <x v="4"/>
    <n v="98103"/>
    <x v="1"/>
    <x v="1"/>
    <x v="2"/>
    <n v="37.590000000000003"/>
    <n v="3"/>
    <n v="0"/>
    <n v="17.667300000000001"/>
  </r>
  <r>
    <s v="Same Day"/>
    <x v="0"/>
    <s v="United States"/>
    <s v="Seattle"/>
    <x v="4"/>
    <n v="98103"/>
    <x v="1"/>
    <x v="1"/>
    <x v="8"/>
    <n v="26.032"/>
    <n v="2"/>
    <n v="0.2"/>
    <n v="9.4366000000000003"/>
  </r>
  <r>
    <s v="Standard Class"/>
    <x v="1"/>
    <s v="United States"/>
    <s v="Watertown"/>
    <x v="15"/>
    <n v="13601"/>
    <x v="3"/>
    <x v="1"/>
    <x v="9"/>
    <n v="35.909999999999997"/>
    <n v="3"/>
    <n v="0"/>
    <n v="9.6957000000000004"/>
  </r>
  <r>
    <s v="Second Class"/>
    <x v="0"/>
    <s v="United States"/>
    <s v="Jacksonville"/>
    <x v="2"/>
    <n v="32216"/>
    <x v="0"/>
    <x v="0"/>
    <x v="5"/>
    <n v="91.031999999999996"/>
    <n v="3"/>
    <n v="0.2"/>
    <n v="-2.2757999999999998"/>
  </r>
  <r>
    <s v="First Class"/>
    <x v="0"/>
    <s v="United States"/>
    <s v="Arlington"/>
    <x v="17"/>
    <n v="22204"/>
    <x v="0"/>
    <x v="1"/>
    <x v="6"/>
    <n v="54.66"/>
    <n v="6"/>
    <n v="0"/>
    <n v="18.037800000000001"/>
  </r>
  <r>
    <s v="Standard Class"/>
    <x v="0"/>
    <s v="United States"/>
    <s v="Charlotte"/>
    <x v="3"/>
    <n v="28205"/>
    <x v="0"/>
    <x v="1"/>
    <x v="4"/>
    <n v="67.343999999999994"/>
    <n v="6"/>
    <n v="0.2"/>
    <n v="7.5762"/>
  </r>
  <r>
    <s v="Standard Class"/>
    <x v="0"/>
    <s v="United States"/>
    <s v="Charlotte"/>
    <x v="3"/>
    <n v="28205"/>
    <x v="0"/>
    <x v="2"/>
    <x v="15"/>
    <n v="2624.9850000000001"/>
    <n v="3"/>
    <n v="0.5"/>
    <n v="-944.99459999999999"/>
  </r>
  <r>
    <s v="Standard Class"/>
    <x v="0"/>
    <s v="United States"/>
    <s v="Seattle"/>
    <x v="4"/>
    <n v="98103"/>
    <x v="1"/>
    <x v="1"/>
    <x v="9"/>
    <n v="73.28"/>
    <n v="4"/>
    <n v="0"/>
    <n v="21.251200000000001"/>
  </r>
  <r>
    <s v="Standard Class"/>
    <x v="1"/>
    <s v="United States"/>
    <s v="Chicago"/>
    <x v="10"/>
    <n v="60623"/>
    <x v="2"/>
    <x v="1"/>
    <x v="8"/>
    <n v="14.48"/>
    <n v="5"/>
    <n v="0.8"/>
    <n v="-23.891999999999999"/>
  </r>
  <r>
    <s v="Standard Class"/>
    <x v="0"/>
    <s v="United States"/>
    <s v="Hollywood"/>
    <x v="2"/>
    <n v="33021"/>
    <x v="0"/>
    <x v="1"/>
    <x v="10"/>
    <n v="11.952"/>
    <n v="3"/>
    <n v="0.2"/>
    <n v="4.0338000000000003"/>
  </r>
  <r>
    <s v="Standard Class"/>
    <x v="0"/>
    <s v="United States"/>
    <s v="Hollywood"/>
    <x v="2"/>
    <n v="33021"/>
    <x v="0"/>
    <x v="1"/>
    <x v="10"/>
    <n v="15.552"/>
    <n v="3"/>
    <n v="0.2"/>
    <n v="5.6375999999999999"/>
  </r>
  <r>
    <s v="Standard Class"/>
    <x v="0"/>
    <s v="United States"/>
    <s v="Chesapeake"/>
    <x v="17"/>
    <n v="23320"/>
    <x v="0"/>
    <x v="1"/>
    <x v="13"/>
    <n v="45"/>
    <n v="9"/>
    <n v="0"/>
    <n v="21.6"/>
  </r>
  <r>
    <s v="Standard Class"/>
    <x v="0"/>
    <s v="United States"/>
    <s v="Chesapeake"/>
    <x v="17"/>
    <n v="23320"/>
    <x v="0"/>
    <x v="2"/>
    <x v="15"/>
    <n v="209.97"/>
    <n v="3"/>
    <n v="0"/>
    <n v="90.287099999999995"/>
  </r>
  <r>
    <s v="Standard Class"/>
    <x v="2"/>
    <s v="United States"/>
    <s v="Los Angeles"/>
    <x v="1"/>
    <n v="90036"/>
    <x v="1"/>
    <x v="1"/>
    <x v="8"/>
    <n v="112.12"/>
    <n v="5"/>
    <n v="0.2"/>
    <n v="42.045000000000002"/>
  </r>
  <r>
    <s v="Standard Class"/>
    <x v="2"/>
    <s v="United States"/>
    <s v="Los Angeles"/>
    <x v="1"/>
    <n v="90036"/>
    <x v="1"/>
    <x v="1"/>
    <x v="4"/>
    <n v="1575.14"/>
    <n v="7"/>
    <n v="0"/>
    <n v="204.76820000000001"/>
  </r>
  <r>
    <s v="Standard Class"/>
    <x v="0"/>
    <s v="United States"/>
    <s v="Alexandria"/>
    <x v="17"/>
    <n v="22304"/>
    <x v="0"/>
    <x v="1"/>
    <x v="13"/>
    <n v="25.06"/>
    <n v="7"/>
    <n v="0"/>
    <n v="12.53"/>
  </r>
  <r>
    <s v="First Class"/>
    <x v="1"/>
    <s v="United States"/>
    <s v="Deer Park"/>
    <x v="5"/>
    <n v="77536"/>
    <x v="2"/>
    <x v="1"/>
    <x v="8"/>
    <n v="6.9240000000000004"/>
    <n v="6"/>
    <n v="0.8"/>
    <n v="-10.385999999999999"/>
  </r>
  <r>
    <s v="First Class"/>
    <x v="0"/>
    <s v="United States"/>
    <s v="Philadelphia"/>
    <x v="9"/>
    <n v="19120"/>
    <x v="3"/>
    <x v="1"/>
    <x v="4"/>
    <n v="37.392000000000003"/>
    <n v="3"/>
    <n v="0.2"/>
    <n v="2.3370000000000002"/>
  </r>
  <r>
    <s v="First Class"/>
    <x v="0"/>
    <s v="United States"/>
    <s v="Philadelphia"/>
    <x v="9"/>
    <n v="19120"/>
    <x v="3"/>
    <x v="0"/>
    <x v="5"/>
    <n v="79.12"/>
    <n v="5"/>
    <n v="0.2"/>
    <n v="13.846"/>
  </r>
  <r>
    <s v="Standard Class"/>
    <x v="0"/>
    <s v="United States"/>
    <s v="Wichita"/>
    <x v="41"/>
    <n v="67212"/>
    <x v="2"/>
    <x v="1"/>
    <x v="2"/>
    <n v="18.899999999999999"/>
    <n v="3"/>
    <n v="0"/>
    <n v="8.6940000000000008"/>
  </r>
  <r>
    <s v="Standard Class"/>
    <x v="0"/>
    <s v="United States"/>
    <s v="Midland"/>
    <x v="12"/>
    <n v="48640"/>
    <x v="2"/>
    <x v="1"/>
    <x v="8"/>
    <n v="57.42"/>
    <n v="9"/>
    <n v="0"/>
    <n v="26.4132"/>
  </r>
  <r>
    <s v="Standard Class"/>
    <x v="2"/>
    <s v="United States"/>
    <s v="San Francisco"/>
    <x v="1"/>
    <n v="94110"/>
    <x v="1"/>
    <x v="1"/>
    <x v="6"/>
    <n v="12.74"/>
    <n v="7"/>
    <n v="0"/>
    <n v="5.7329999999999997"/>
  </r>
  <r>
    <s v="Standard Class"/>
    <x v="2"/>
    <s v="United States"/>
    <s v="San Francisco"/>
    <x v="1"/>
    <n v="94110"/>
    <x v="1"/>
    <x v="1"/>
    <x v="6"/>
    <n v="8.82"/>
    <n v="3"/>
    <n v="0"/>
    <n v="2.3814000000000002"/>
  </r>
  <r>
    <s v="Standard Class"/>
    <x v="2"/>
    <s v="United States"/>
    <s v="San Francisco"/>
    <x v="1"/>
    <n v="94110"/>
    <x v="1"/>
    <x v="0"/>
    <x v="1"/>
    <n v="120.78400000000001"/>
    <n v="1"/>
    <n v="0.2"/>
    <n v="-13.588200000000001"/>
  </r>
  <r>
    <s v="Standard Class"/>
    <x v="0"/>
    <s v="United States"/>
    <s v="Freeport"/>
    <x v="15"/>
    <n v="11520"/>
    <x v="3"/>
    <x v="0"/>
    <x v="5"/>
    <n v="322.58999999999997"/>
    <n v="3"/>
    <n v="0"/>
    <n v="64.518000000000001"/>
  </r>
  <r>
    <s v="Standard Class"/>
    <x v="0"/>
    <s v="United States"/>
    <s v="Austin"/>
    <x v="5"/>
    <n v="78745"/>
    <x v="2"/>
    <x v="1"/>
    <x v="8"/>
    <n v="9.7620000000000005"/>
    <n v="3"/>
    <n v="0.8"/>
    <n v="-15.1311"/>
  </r>
  <r>
    <s v="Standard Class"/>
    <x v="0"/>
    <s v="United States"/>
    <s v="Austin"/>
    <x v="5"/>
    <n v="78745"/>
    <x v="2"/>
    <x v="1"/>
    <x v="4"/>
    <n v="13.72"/>
    <n v="1"/>
    <n v="0.2"/>
    <n v="1.2004999999999999"/>
  </r>
  <r>
    <s v="Standard Class"/>
    <x v="0"/>
    <s v="United States"/>
    <s v="Austin"/>
    <x v="5"/>
    <n v="78745"/>
    <x v="2"/>
    <x v="2"/>
    <x v="11"/>
    <n v="55.2"/>
    <n v="1"/>
    <n v="0.2"/>
    <n v="-2.0699999999999998"/>
  </r>
  <r>
    <s v="Standard Class"/>
    <x v="0"/>
    <s v="United States"/>
    <s v="Austin"/>
    <x v="5"/>
    <n v="78745"/>
    <x v="2"/>
    <x v="1"/>
    <x v="4"/>
    <n v="259.13600000000002"/>
    <n v="4"/>
    <n v="0.2"/>
    <n v="-58.305599999999998"/>
  </r>
  <r>
    <s v="Standard Class"/>
    <x v="0"/>
    <s v="United States"/>
    <s v="Philadelphia"/>
    <x v="9"/>
    <n v="19134"/>
    <x v="3"/>
    <x v="1"/>
    <x v="2"/>
    <n v="29.24"/>
    <n v="5"/>
    <n v="0.2"/>
    <n v="9.8684999999999992"/>
  </r>
  <r>
    <s v="Standard Class"/>
    <x v="0"/>
    <s v="United States"/>
    <s v="Philadelphia"/>
    <x v="9"/>
    <n v="19134"/>
    <x v="3"/>
    <x v="1"/>
    <x v="10"/>
    <n v="15.552"/>
    <n v="3"/>
    <n v="0.2"/>
    <n v="5.4432"/>
  </r>
  <r>
    <s v="Standard Class"/>
    <x v="0"/>
    <s v="United States"/>
    <s v="Philadelphia"/>
    <x v="9"/>
    <n v="19134"/>
    <x v="3"/>
    <x v="1"/>
    <x v="12"/>
    <n v="4.8959999999999999"/>
    <n v="3"/>
    <n v="0.2"/>
    <n v="1.6524000000000001"/>
  </r>
  <r>
    <s v="Standard Class"/>
    <x v="1"/>
    <s v="United States"/>
    <s v="Bristol"/>
    <x v="18"/>
    <n v="37620"/>
    <x v="0"/>
    <x v="1"/>
    <x v="8"/>
    <n v="38.088000000000001"/>
    <n v="4"/>
    <n v="0.7"/>
    <n v="-27.9312"/>
  </r>
  <r>
    <s v="Standard Class"/>
    <x v="1"/>
    <s v="United States"/>
    <s v="Bristol"/>
    <x v="18"/>
    <n v="37620"/>
    <x v="0"/>
    <x v="1"/>
    <x v="8"/>
    <n v="2.8079999999999998"/>
    <n v="3"/>
    <n v="0.7"/>
    <n v="-1.9656"/>
  </r>
  <r>
    <s v="Second Class"/>
    <x v="0"/>
    <s v="United States"/>
    <s v="Philadelphia"/>
    <x v="9"/>
    <n v="19140"/>
    <x v="3"/>
    <x v="2"/>
    <x v="11"/>
    <n v="47.984000000000002"/>
    <n v="2"/>
    <n v="0.2"/>
    <n v="0.5998"/>
  </r>
  <r>
    <s v="Second Class"/>
    <x v="0"/>
    <s v="United States"/>
    <s v="Philadelphia"/>
    <x v="9"/>
    <n v="19140"/>
    <x v="3"/>
    <x v="1"/>
    <x v="8"/>
    <n v="26.064"/>
    <n v="6"/>
    <n v="0.7"/>
    <n v="-19.982399999999998"/>
  </r>
  <r>
    <s v="Standard Class"/>
    <x v="1"/>
    <s v="United States"/>
    <s v="Chicago"/>
    <x v="10"/>
    <n v="60610"/>
    <x v="2"/>
    <x v="1"/>
    <x v="10"/>
    <n v="15.696"/>
    <n v="3"/>
    <n v="0.2"/>
    <n v="5.1012000000000004"/>
  </r>
  <r>
    <s v="Standard Class"/>
    <x v="0"/>
    <s v="United States"/>
    <s v="Columbus"/>
    <x v="32"/>
    <n v="31907"/>
    <x v="0"/>
    <x v="1"/>
    <x v="6"/>
    <n v="12.84"/>
    <n v="3"/>
    <n v="0"/>
    <n v="3.7235999999999998"/>
  </r>
  <r>
    <s v="Standard Class"/>
    <x v="0"/>
    <s v="United States"/>
    <s v="New York City"/>
    <x v="15"/>
    <n v="10035"/>
    <x v="3"/>
    <x v="2"/>
    <x v="7"/>
    <n v="539.97"/>
    <n v="3"/>
    <n v="0"/>
    <n v="134.99250000000001"/>
  </r>
  <r>
    <s v="Standard Class"/>
    <x v="0"/>
    <s v="United States"/>
    <s v="New York City"/>
    <x v="15"/>
    <n v="10035"/>
    <x v="3"/>
    <x v="1"/>
    <x v="4"/>
    <n v="22.58"/>
    <n v="2"/>
    <n v="0"/>
    <n v="5.8708"/>
  </r>
  <r>
    <s v="Standard Class"/>
    <x v="0"/>
    <s v="United States"/>
    <s v="Dover"/>
    <x v="38"/>
    <n v="3820"/>
    <x v="3"/>
    <x v="1"/>
    <x v="2"/>
    <n v="16.52"/>
    <n v="4"/>
    <n v="0"/>
    <n v="7.5991999999999997"/>
  </r>
  <r>
    <s v="Standard Class"/>
    <x v="0"/>
    <s v="United States"/>
    <s v="Dover"/>
    <x v="38"/>
    <n v="3820"/>
    <x v="3"/>
    <x v="1"/>
    <x v="8"/>
    <n v="671.94"/>
    <n v="3"/>
    <n v="0"/>
    <n v="315.81180000000001"/>
  </r>
  <r>
    <s v="First Class"/>
    <x v="1"/>
    <s v="United States"/>
    <s v="Aurora"/>
    <x v="22"/>
    <n v="80013"/>
    <x v="1"/>
    <x v="2"/>
    <x v="11"/>
    <n v="169.06399999999999"/>
    <n v="7"/>
    <n v="0.2"/>
    <n v="-14.793100000000001"/>
  </r>
  <r>
    <s v="First Class"/>
    <x v="1"/>
    <s v="United States"/>
    <s v="Aurora"/>
    <x v="22"/>
    <n v="80013"/>
    <x v="1"/>
    <x v="1"/>
    <x v="4"/>
    <n v="168.624"/>
    <n v="9"/>
    <n v="0.2"/>
    <n v="14.7546"/>
  </r>
  <r>
    <s v="Standard Class"/>
    <x v="1"/>
    <s v="United States"/>
    <s v="Long Beach"/>
    <x v="15"/>
    <n v="11561"/>
    <x v="3"/>
    <x v="1"/>
    <x v="10"/>
    <n v="19.440000000000001"/>
    <n v="3"/>
    <n v="0"/>
    <n v="9.3312000000000008"/>
  </r>
  <r>
    <s v="First Class"/>
    <x v="0"/>
    <s v="United States"/>
    <s v="Pasadena"/>
    <x v="1"/>
    <n v="91104"/>
    <x v="1"/>
    <x v="1"/>
    <x v="4"/>
    <n v="31.92"/>
    <n v="4"/>
    <n v="0"/>
    <n v="8.2992000000000008"/>
  </r>
  <r>
    <s v="First Class"/>
    <x v="0"/>
    <s v="United States"/>
    <s v="Pasadena"/>
    <x v="1"/>
    <n v="91104"/>
    <x v="1"/>
    <x v="0"/>
    <x v="1"/>
    <n v="433.56799999999998"/>
    <n v="2"/>
    <n v="0.2"/>
    <n v="-65.035200000000003"/>
  </r>
  <r>
    <s v="First Class"/>
    <x v="2"/>
    <s v="United States"/>
    <s v="Mesa"/>
    <x v="16"/>
    <n v="85204"/>
    <x v="1"/>
    <x v="1"/>
    <x v="10"/>
    <n v="31.103999999999999"/>
    <n v="6"/>
    <n v="0.2"/>
    <n v="10.8864"/>
  </r>
  <r>
    <s v="First Class"/>
    <x v="2"/>
    <s v="United States"/>
    <s v="Mesa"/>
    <x v="16"/>
    <n v="85204"/>
    <x v="1"/>
    <x v="1"/>
    <x v="10"/>
    <n v="54.816000000000003"/>
    <n v="3"/>
    <n v="0.2"/>
    <n v="17.815200000000001"/>
  </r>
  <r>
    <s v="Standard Class"/>
    <x v="0"/>
    <s v="United States"/>
    <s v="Fresno"/>
    <x v="1"/>
    <n v="93727"/>
    <x v="1"/>
    <x v="1"/>
    <x v="4"/>
    <n v="48.86"/>
    <n v="7"/>
    <n v="0"/>
    <n v="0.97719999999999996"/>
  </r>
  <r>
    <s v="Same Day"/>
    <x v="0"/>
    <s v="United States"/>
    <s v="Columbia"/>
    <x v="20"/>
    <n v="29203"/>
    <x v="0"/>
    <x v="1"/>
    <x v="8"/>
    <n v="14.2"/>
    <n v="2"/>
    <n v="0"/>
    <n v="6.532"/>
  </r>
  <r>
    <s v="Same Day"/>
    <x v="0"/>
    <s v="United States"/>
    <s v="Columbia"/>
    <x v="20"/>
    <n v="29203"/>
    <x v="0"/>
    <x v="1"/>
    <x v="10"/>
    <n v="12.96"/>
    <n v="2"/>
    <n v="0"/>
    <n v="6.2207999999999997"/>
  </r>
  <r>
    <s v="Same Day"/>
    <x v="0"/>
    <s v="United States"/>
    <s v="Columbia"/>
    <x v="20"/>
    <n v="29203"/>
    <x v="0"/>
    <x v="1"/>
    <x v="8"/>
    <n v="58.34"/>
    <n v="2"/>
    <n v="0"/>
    <n v="28.0032"/>
  </r>
  <r>
    <s v="First Class"/>
    <x v="2"/>
    <s v="United States"/>
    <s v="Santa Ana"/>
    <x v="1"/>
    <n v="92704"/>
    <x v="1"/>
    <x v="1"/>
    <x v="6"/>
    <n v="56.3"/>
    <n v="2"/>
    <n v="0"/>
    <n v="15.763999999999999"/>
  </r>
  <r>
    <s v="Standard Class"/>
    <x v="1"/>
    <s v="United States"/>
    <s v="Columbia"/>
    <x v="20"/>
    <n v="29203"/>
    <x v="0"/>
    <x v="2"/>
    <x v="7"/>
    <n v="629.95000000000005"/>
    <n v="5"/>
    <n v="0"/>
    <n v="163.78700000000001"/>
  </r>
  <r>
    <s v="Standard Class"/>
    <x v="1"/>
    <s v="United States"/>
    <s v="Columbia"/>
    <x v="20"/>
    <n v="29203"/>
    <x v="0"/>
    <x v="1"/>
    <x v="10"/>
    <n v="122.97"/>
    <n v="3"/>
    <n v="0"/>
    <n v="60.255299999999998"/>
  </r>
  <r>
    <s v="Second Class"/>
    <x v="0"/>
    <s v="United States"/>
    <s v="Los Angeles"/>
    <x v="1"/>
    <n v="90045"/>
    <x v="1"/>
    <x v="1"/>
    <x v="10"/>
    <n v="46.35"/>
    <n v="5"/>
    <n v="0"/>
    <n v="21.784500000000001"/>
  </r>
  <r>
    <s v="Standard Class"/>
    <x v="2"/>
    <s v="United States"/>
    <s v="San Francisco"/>
    <x v="1"/>
    <n v="94109"/>
    <x v="1"/>
    <x v="1"/>
    <x v="8"/>
    <n v="14.976000000000001"/>
    <n v="9"/>
    <n v="0.2"/>
    <n v="5.4287999999999998"/>
  </r>
  <r>
    <s v="Standard Class"/>
    <x v="0"/>
    <s v="United States"/>
    <s v="Houston"/>
    <x v="5"/>
    <n v="77036"/>
    <x v="2"/>
    <x v="1"/>
    <x v="8"/>
    <n v="4.24"/>
    <n v="5"/>
    <n v="0.8"/>
    <n v="-6.36"/>
  </r>
  <r>
    <s v="Standard Class"/>
    <x v="2"/>
    <s v="United States"/>
    <s v="New York City"/>
    <x v="15"/>
    <n v="10035"/>
    <x v="3"/>
    <x v="2"/>
    <x v="11"/>
    <n v="319.95999999999998"/>
    <n v="4"/>
    <n v="0"/>
    <n v="115.18559999999999"/>
  </r>
  <r>
    <s v="Standard Class"/>
    <x v="2"/>
    <s v="United States"/>
    <s v="New York City"/>
    <x v="15"/>
    <n v="10035"/>
    <x v="3"/>
    <x v="1"/>
    <x v="10"/>
    <n v="17.04"/>
    <n v="3"/>
    <n v="0"/>
    <n v="7.6680000000000001"/>
  </r>
  <r>
    <s v="Standard Class"/>
    <x v="2"/>
    <s v="United States"/>
    <s v="New York City"/>
    <x v="15"/>
    <n v="10035"/>
    <x v="3"/>
    <x v="1"/>
    <x v="4"/>
    <n v="344.91"/>
    <n v="3"/>
    <n v="0"/>
    <n v="10.347300000000001"/>
  </r>
  <r>
    <s v="First Class"/>
    <x v="1"/>
    <s v="United States"/>
    <s v="Franklin"/>
    <x v="31"/>
    <n v="2038"/>
    <x v="3"/>
    <x v="0"/>
    <x v="0"/>
    <n v="81.94"/>
    <n v="1"/>
    <n v="0"/>
    <n v="20.484999999999999"/>
  </r>
  <r>
    <s v="First Class"/>
    <x v="0"/>
    <s v="United States"/>
    <s v="Baltimore"/>
    <x v="39"/>
    <n v="21215"/>
    <x v="3"/>
    <x v="2"/>
    <x v="11"/>
    <n v="98.16"/>
    <n v="6"/>
    <n v="0"/>
    <n v="9.8160000000000007"/>
  </r>
  <r>
    <s v="Standard Class"/>
    <x v="1"/>
    <s v="United States"/>
    <s v="Mcallen"/>
    <x v="5"/>
    <n v="78501"/>
    <x v="2"/>
    <x v="1"/>
    <x v="8"/>
    <n v="6.8739999999999997"/>
    <n v="7"/>
    <n v="0.8"/>
    <n v="-10.6547"/>
  </r>
  <r>
    <s v="Standard Class"/>
    <x v="1"/>
    <s v="United States"/>
    <s v="Mcallen"/>
    <x v="5"/>
    <n v="78501"/>
    <x v="2"/>
    <x v="1"/>
    <x v="8"/>
    <n v="1.996"/>
    <n v="1"/>
    <n v="0.8"/>
    <n v="-3.2934000000000001"/>
  </r>
  <r>
    <s v="Standard Class"/>
    <x v="1"/>
    <s v="United States"/>
    <s v="Mcallen"/>
    <x v="5"/>
    <n v="78501"/>
    <x v="2"/>
    <x v="1"/>
    <x v="4"/>
    <n v="8.9280000000000008"/>
    <n v="2"/>
    <n v="0.2"/>
    <n v="0.66959999999999997"/>
  </r>
  <r>
    <s v="Second Class"/>
    <x v="1"/>
    <s v="United States"/>
    <s v="Iowa City"/>
    <x v="23"/>
    <n v="52240"/>
    <x v="2"/>
    <x v="1"/>
    <x v="10"/>
    <n v="9.99"/>
    <n v="1"/>
    <n v="0"/>
    <n v="4.4954999999999998"/>
  </r>
  <r>
    <s v="Standard Class"/>
    <x v="0"/>
    <s v="United States"/>
    <s v="Newark"/>
    <x v="13"/>
    <n v="19711"/>
    <x v="3"/>
    <x v="2"/>
    <x v="16"/>
    <n v="10499.97"/>
    <n v="3"/>
    <n v="0"/>
    <n v="5039.9856"/>
  </r>
  <r>
    <s v="Same Day"/>
    <x v="0"/>
    <s v="United States"/>
    <s v="Houston"/>
    <x v="5"/>
    <n v="77070"/>
    <x v="2"/>
    <x v="1"/>
    <x v="10"/>
    <n v="21.12"/>
    <n v="5"/>
    <n v="0.2"/>
    <n v="6.6"/>
  </r>
  <r>
    <s v="Standard Class"/>
    <x v="1"/>
    <s v="United States"/>
    <s v="Boise"/>
    <x v="45"/>
    <n v="83704"/>
    <x v="1"/>
    <x v="0"/>
    <x v="3"/>
    <n v="696.42"/>
    <n v="2"/>
    <n v="0"/>
    <n v="160.17660000000001"/>
  </r>
  <r>
    <s v="Standard Class"/>
    <x v="1"/>
    <s v="United States"/>
    <s v="Boise"/>
    <x v="45"/>
    <n v="83704"/>
    <x v="1"/>
    <x v="2"/>
    <x v="7"/>
    <n v="304.77600000000001"/>
    <n v="3"/>
    <n v="0.2"/>
    <n v="22.8582"/>
  </r>
  <r>
    <s v="Standard Class"/>
    <x v="0"/>
    <s v="United States"/>
    <s v="San Diego"/>
    <x v="1"/>
    <n v="92105"/>
    <x v="1"/>
    <x v="1"/>
    <x v="6"/>
    <n v="51.98"/>
    <n v="2"/>
    <n v="0"/>
    <n v="15.074199999999999"/>
  </r>
  <r>
    <s v="Standard Class"/>
    <x v="0"/>
    <s v="United States"/>
    <s v="Los Angeles"/>
    <x v="1"/>
    <n v="90032"/>
    <x v="1"/>
    <x v="0"/>
    <x v="5"/>
    <n v="24.7"/>
    <n v="5"/>
    <n v="0"/>
    <n v="10.374000000000001"/>
  </r>
  <r>
    <s v="Second Class"/>
    <x v="0"/>
    <s v="United States"/>
    <s v="New York City"/>
    <x v="15"/>
    <n v="10024"/>
    <x v="3"/>
    <x v="1"/>
    <x v="2"/>
    <n v="21.93"/>
    <n v="3"/>
    <n v="0"/>
    <n v="10.3071"/>
  </r>
  <r>
    <s v="Standard Class"/>
    <x v="0"/>
    <s v="United States"/>
    <s v="Philadelphia"/>
    <x v="9"/>
    <n v="19134"/>
    <x v="3"/>
    <x v="1"/>
    <x v="9"/>
    <n v="394.81599999999997"/>
    <n v="4"/>
    <n v="0.2"/>
    <n v="93.768799999999999"/>
  </r>
  <r>
    <s v="Standard Class"/>
    <x v="0"/>
    <s v="United States"/>
    <s v="Philadelphia"/>
    <x v="9"/>
    <n v="19134"/>
    <x v="3"/>
    <x v="1"/>
    <x v="8"/>
    <n v="18.192"/>
    <n v="4"/>
    <n v="0.7"/>
    <n v="-14.553599999999999"/>
  </r>
  <r>
    <s v="Same Day"/>
    <x v="2"/>
    <s v="United States"/>
    <s v="New York City"/>
    <x v="15"/>
    <n v="10024"/>
    <x v="3"/>
    <x v="1"/>
    <x v="2"/>
    <n v="7.31"/>
    <n v="1"/>
    <n v="0"/>
    <n v="3.4357000000000002"/>
  </r>
  <r>
    <s v="Same Day"/>
    <x v="2"/>
    <s v="United States"/>
    <s v="New York City"/>
    <x v="15"/>
    <n v="10024"/>
    <x v="3"/>
    <x v="2"/>
    <x v="16"/>
    <n v="799.98400000000004"/>
    <n v="2"/>
    <n v="0.2"/>
    <n v="249.995"/>
  </r>
  <r>
    <s v="Same Day"/>
    <x v="2"/>
    <s v="United States"/>
    <s v="New York City"/>
    <x v="15"/>
    <n v="10024"/>
    <x v="3"/>
    <x v="1"/>
    <x v="10"/>
    <n v="41.28"/>
    <n v="6"/>
    <n v="0"/>
    <n v="18.988800000000001"/>
  </r>
  <r>
    <s v="Same Day"/>
    <x v="2"/>
    <s v="United States"/>
    <s v="New York City"/>
    <x v="15"/>
    <n v="10024"/>
    <x v="3"/>
    <x v="1"/>
    <x v="10"/>
    <n v="184.66"/>
    <n v="7"/>
    <n v="0"/>
    <n v="84.943600000000004"/>
  </r>
  <r>
    <s v="Second Class"/>
    <x v="0"/>
    <s v="United States"/>
    <s v="Cranston"/>
    <x v="34"/>
    <n v="2920"/>
    <x v="3"/>
    <x v="1"/>
    <x v="6"/>
    <n v="49.25"/>
    <n v="5"/>
    <n v="0"/>
    <n v="18.715"/>
  </r>
  <r>
    <s v="Second Class"/>
    <x v="0"/>
    <s v="United States"/>
    <s v="Cranston"/>
    <x v="34"/>
    <n v="2920"/>
    <x v="3"/>
    <x v="1"/>
    <x v="10"/>
    <n v="10.16"/>
    <n v="2"/>
    <n v="0"/>
    <n v="4.7751999999999999"/>
  </r>
  <r>
    <s v="Second Class"/>
    <x v="0"/>
    <s v="United States"/>
    <s v="Cranston"/>
    <x v="34"/>
    <n v="2920"/>
    <x v="3"/>
    <x v="0"/>
    <x v="5"/>
    <n v="14.76"/>
    <n v="2"/>
    <n v="0"/>
    <n v="4.2804000000000002"/>
  </r>
  <r>
    <s v="Second Class"/>
    <x v="0"/>
    <s v="United States"/>
    <s v="Cranston"/>
    <x v="34"/>
    <n v="2920"/>
    <x v="3"/>
    <x v="1"/>
    <x v="8"/>
    <n v="34.08"/>
    <n v="2"/>
    <n v="0"/>
    <n v="15.6768"/>
  </r>
  <r>
    <s v="Second Class"/>
    <x v="0"/>
    <s v="United States"/>
    <s v="Cranston"/>
    <x v="34"/>
    <n v="2920"/>
    <x v="3"/>
    <x v="0"/>
    <x v="5"/>
    <n v="17.670000000000002"/>
    <n v="3"/>
    <n v="0"/>
    <n v="7.7747999999999999"/>
  </r>
  <r>
    <s v="Second Class"/>
    <x v="0"/>
    <s v="United States"/>
    <s v="Cranston"/>
    <x v="34"/>
    <n v="2920"/>
    <x v="3"/>
    <x v="0"/>
    <x v="1"/>
    <n v="1604.9"/>
    <n v="5"/>
    <n v="0"/>
    <n v="481.47"/>
  </r>
  <r>
    <s v="Second Class"/>
    <x v="0"/>
    <s v="United States"/>
    <s v="Cranston"/>
    <x v="34"/>
    <n v="2920"/>
    <x v="3"/>
    <x v="0"/>
    <x v="3"/>
    <n v="385.68599999999998"/>
    <n v="1"/>
    <n v="0.3"/>
    <n v="-60.607799999999997"/>
  </r>
  <r>
    <s v="Standard Class"/>
    <x v="0"/>
    <s v="United States"/>
    <s v="Chicago"/>
    <x v="10"/>
    <n v="60623"/>
    <x v="2"/>
    <x v="1"/>
    <x v="10"/>
    <n v="15.984"/>
    <n v="2"/>
    <n v="0.2"/>
    <n v="4.9950000000000001"/>
  </r>
  <r>
    <s v="Second Class"/>
    <x v="0"/>
    <s v="United States"/>
    <s v="Richmond"/>
    <x v="0"/>
    <n v="40475"/>
    <x v="0"/>
    <x v="1"/>
    <x v="10"/>
    <n v="9.42"/>
    <n v="3"/>
    <n v="0"/>
    <n v="4.2389999999999999"/>
  </r>
  <r>
    <s v="Second Class"/>
    <x v="0"/>
    <s v="United States"/>
    <s v="Richmond"/>
    <x v="0"/>
    <n v="40475"/>
    <x v="0"/>
    <x v="1"/>
    <x v="6"/>
    <n v="6.56"/>
    <n v="2"/>
    <n v="0"/>
    <n v="1.9024000000000001"/>
  </r>
  <r>
    <s v="Second Class"/>
    <x v="0"/>
    <s v="United States"/>
    <s v="Richmond"/>
    <x v="0"/>
    <n v="40475"/>
    <x v="0"/>
    <x v="1"/>
    <x v="10"/>
    <n v="24.56"/>
    <n v="2"/>
    <n v="0"/>
    <n v="11.543200000000001"/>
  </r>
  <r>
    <s v="Standard Class"/>
    <x v="0"/>
    <s v="United States"/>
    <s v="Mishawaka"/>
    <x v="14"/>
    <n v="46544"/>
    <x v="2"/>
    <x v="1"/>
    <x v="8"/>
    <n v="128.4"/>
    <n v="3"/>
    <n v="0"/>
    <n v="64.2"/>
  </r>
  <r>
    <s v="Standard Class"/>
    <x v="0"/>
    <s v="United States"/>
    <s v="Mount Vernon"/>
    <x v="15"/>
    <n v="10550"/>
    <x v="3"/>
    <x v="1"/>
    <x v="12"/>
    <n v="62.28"/>
    <n v="4"/>
    <n v="0"/>
    <n v="29.271599999999999"/>
  </r>
  <r>
    <s v="Standard Class"/>
    <x v="1"/>
    <s v="United States"/>
    <s v="Los Angeles"/>
    <x v="1"/>
    <n v="90004"/>
    <x v="1"/>
    <x v="1"/>
    <x v="2"/>
    <n v="9.24"/>
    <n v="3"/>
    <n v="0"/>
    <n v="4.4352"/>
  </r>
  <r>
    <s v="First Class"/>
    <x v="1"/>
    <s v="United States"/>
    <s v="San Francisco"/>
    <x v="1"/>
    <n v="94110"/>
    <x v="1"/>
    <x v="0"/>
    <x v="0"/>
    <n v="482.66399999999999"/>
    <n v="8"/>
    <n v="0.15"/>
    <n v="85.176000000000002"/>
  </r>
  <r>
    <s v="First Class"/>
    <x v="1"/>
    <s v="United States"/>
    <s v="San Francisco"/>
    <x v="1"/>
    <n v="94110"/>
    <x v="1"/>
    <x v="2"/>
    <x v="15"/>
    <n v="4799.9840000000004"/>
    <n v="2"/>
    <n v="0.2"/>
    <n v="359.99880000000002"/>
  </r>
  <r>
    <s v="Second Class"/>
    <x v="0"/>
    <s v="United States"/>
    <s v="Seattle"/>
    <x v="4"/>
    <n v="98103"/>
    <x v="1"/>
    <x v="1"/>
    <x v="10"/>
    <n v="37.94"/>
    <n v="2"/>
    <n v="0"/>
    <n v="18.211200000000002"/>
  </r>
  <r>
    <s v="Second Class"/>
    <x v="0"/>
    <s v="United States"/>
    <s v="Seattle"/>
    <x v="4"/>
    <n v="98103"/>
    <x v="1"/>
    <x v="1"/>
    <x v="8"/>
    <n v="18.288"/>
    <n v="6"/>
    <n v="0.2"/>
    <n v="6.6294000000000004"/>
  </r>
  <r>
    <s v="Second Class"/>
    <x v="0"/>
    <s v="United States"/>
    <s v="Seattle"/>
    <x v="4"/>
    <n v="98103"/>
    <x v="1"/>
    <x v="2"/>
    <x v="15"/>
    <n v="385.8"/>
    <n v="5"/>
    <n v="0.2"/>
    <n v="130.20750000000001"/>
  </r>
  <r>
    <s v="Second Class"/>
    <x v="0"/>
    <s v="United States"/>
    <s v="Seattle"/>
    <x v="4"/>
    <n v="98103"/>
    <x v="1"/>
    <x v="1"/>
    <x v="4"/>
    <n v="102.96"/>
    <n v="2"/>
    <n v="0"/>
    <n v="1.0296000000000001"/>
  </r>
  <r>
    <s v="Second Class"/>
    <x v="0"/>
    <s v="United States"/>
    <s v="Seattle"/>
    <x v="4"/>
    <n v="98103"/>
    <x v="1"/>
    <x v="0"/>
    <x v="0"/>
    <n v="174.42"/>
    <n v="3"/>
    <n v="0"/>
    <n v="41.860799999999998"/>
  </r>
  <r>
    <s v="First Class"/>
    <x v="0"/>
    <s v="United States"/>
    <s v="Quincy"/>
    <x v="10"/>
    <n v="62301"/>
    <x v="2"/>
    <x v="1"/>
    <x v="8"/>
    <n v="1.964"/>
    <n v="2"/>
    <n v="0.8"/>
    <n v="-3.2406000000000001"/>
  </r>
  <r>
    <s v="Standard Class"/>
    <x v="1"/>
    <s v="United States"/>
    <s v="Chicago"/>
    <x v="10"/>
    <n v="60623"/>
    <x v="2"/>
    <x v="0"/>
    <x v="5"/>
    <n v="94.427999999999997"/>
    <n v="3"/>
    <n v="0.6"/>
    <n v="-42.492600000000003"/>
  </r>
  <r>
    <s v="Standard Class"/>
    <x v="0"/>
    <s v="United States"/>
    <s v="Urbandale"/>
    <x v="23"/>
    <n v="50322"/>
    <x v="2"/>
    <x v="1"/>
    <x v="13"/>
    <n v="45.92"/>
    <n v="4"/>
    <n v="0"/>
    <n v="21.5824"/>
  </r>
  <r>
    <s v="Standard Class"/>
    <x v="2"/>
    <s v="United States"/>
    <s v="Seattle"/>
    <x v="4"/>
    <n v="98103"/>
    <x v="1"/>
    <x v="0"/>
    <x v="1"/>
    <n v="61.584000000000003"/>
    <n v="1"/>
    <n v="0.2"/>
    <n v="-6.9282000000000004"/>
  </r>
  <r>
    <s v="First Class"/>
    <x v="1"/>
    <s v="United States"/>
    <s v="Richmond"/>
    <x v="14"/>
    <n v="47374"/>
    <x v="2"/>
    <x v="1"/>
    <x v="10"/>
    <n v="22.48"/>
    <n v="1"/>
    <n v="0"/>
    <n v="10.3408"/>
  </r>
  <r>
    <s v="Standard Class"/>
    <x v="1"/>
    <s v="United States"/>
    <s v="Dallas"/>
    <x v="5"/>
    <n v="75220"/>
    <x v="2"/>
    <x v="0"/>
    <x v="5"/>
    <n v="332.02800000000002"/>
    <n v="9"/>
    <n v="0.6"/>
    <n v="-348.62939999999998"/>
  </r>
  <r>
    <s v="Standard Class"/>
    <x v="1"/>
    <s v="United States"/>
    <s v="Dallas"/>
    <x v="5"/>
    <n v="75220"/>
    <x v="2"/>
    <x v="1"/>
    <x v="8"/>
    <n v="11.394"/>
    <n v="9"/>
    <n v="0.8"/>
    <n v="-17.660699999999999"/>
  </r>
  <r>
    <s v="Standard Class"/>
    <x v="1"/>
    <s v="United States"/>
    <s v="Dallas"/>
    <x v="5"/>
    <n v="75220"/>
    <x v="2"/>
    <x v="1"/>
    <x v="10"/>
    <n v="15.552"/>
    <n v="3"/>
    <n v="0.2"/>
    <n v="5.6375999999999999"/>
  </r>
  <r>
    <s v="Standard Class"/>
    <x v="1"/>
    <s v="United States"/>
    <s v="Dallas"/>
    <x v="5"/>
    <n v="75220"/>
    <x v="2"/>
    <x v="1"/>
    <x v="10"/>
    <n v="31.103999999999999"/>
    <n v="6"/>
    <n v="0.2"/>
    <n v="11.2752"/>
  </r>
  <r>
    <s v="Standard Class"/>
    <x v="1"/>
    <s v="United States"/>
    <s v="Dallas"/>
    <x v="5"/>
    <n v="75220"/>
    <x v="2"/>
    <x v="1"/>
    <x v="8"/>
    <n v="6.3159999999999998"/>
    <n v="1"/>
    <n v="0.8"/>
    <n v="-10.4214"/>
  </r>
  <r>
    <s v="First Class"/>
    <x v="2"/>
    <s v="United States"/>
    <s v="Philadelphia"/>
    <x v="9"/>
    <n v="19143"/>
    <x v="3"/>
    <x v="1"/>
    <x v="10"/>
    <n v="11.352"/>
    <n v="3"/>
    <n v="0.2"/>
    <n v="4.1151"/>
  </r>
  <r>
    <s v="First Class"/>
    <x v="2"/>
    <s v="United States"/>
    <s v="Philadelphia"/>
    <x v="9"/>
    <n v="19143"/>
    <x v="3"/>
    <x v="1"/>
    <x v="2"/>
    <n v="20.808"/>
    <n v="9"/>
    <n v="0.2"/>
    <n v="7.0227000000000004"/>
  </r>
  <r>
    <s v="Standard Class"/>
    <x v="2"/>
    <s v="United States"/>
    <s v="Rockford"/>
    <x v="10"/>
    <n v="61107"/>
    <x v="2"/>
    <x v="1"/>
    <x v="8"/>
    <n v="11.416"/>
    <n v="4"/>
    <n v="0.8"/>
    <n v="-18.836400000000001"/>
  </r>
  <r>
    <s v="Second Class"/>
    <x v="1"/>
    <s v="United States"/>
    <s v="Philadelphia"/>
    <x v="9"/>
    <n v="19134"/>
    <x v="3"/>
    <x v="1"/>
    <x v="6"/>
    <n v="9.4079999999999995"/>
    <n v="7"/>
    <n v="0.2"/>
    <n v="0.7056"/>
  </r>
  <r>
    <s v="First Class"/>
    <x v="2"/>
    <s v="United States"/>
    <s v="Seattle"/>
    <x v="4"/>
    <n v="98105"/>
    <x v="1"/>
    <x v="1"/>
    <x v="6"/>
    <n v="19.829999999999998"/>
    <n v="1"/>
    <n v="0"/>
    <n v="5.9489999999999998"/>
  </r>
  <r>
    <s v="Standard Class"/>
    <x v="1"/>
    <s v="United States"/>
    <s v="Grand Rapids"/>
    <x v="12"/>
    <n v="49505"/>
    <x v="2"/>
    <x v="1"/>
    <x v="10"/>
    <n v="209.7"/>
    <n v="2"/>
    <n v="0"/>
    <n v="100.65600000000001"/>
  </r>
  <r>
    <s v="Standard Class"/>
    <x v="2"/>
    <s v="United States"/>
    <s v="Los Angeles"/>
    <x v="1"/>
    <n v="90004"/>
    <x v="1"/>
    <x v="1"/>
    <x v="9"/>
    <n v="43.92"/>
    <n v="4"/>
    <n v="0"/>
    <n v="11.8584"/>
  </r>
  <r>
    <s v="Standard Class"/>
    <x v="2"/>
    <s v="United States"/>
    <s v="Los Angeles"/>
    <x v="1"/>
    <n v="90004"/>
    <x v="1"/>
    <x v="1"/>
    <x v="8"/>
    <n v="20.231999999999999"/>
    <n v="3"/>
    <n v="0.2"/>
    <n v="6.5754000000000001"/>
  </r>
  <r>
    <s v="First Class"/>
    <x v="2"/>
    <s v="United States"/>
    <s v="Springfield"/>
    <x v="17"/>
    <n v="22153"/>
    <x v="0"/>
    <x v="2"/>
    <x v="7"/>
    <n v="149.97"/>
    <n v="3"/>
    <n v="0"/>
    <n v="5.9988000000000001"/>
  </r>
  <r>
    <s v="First Class"/>
    <x v="2"/>
    <s v="United States"/>
    <s v="Springfield"/>
    <x v="17"/>
    <n v="22153"/>
    <x v="0"/>
    <x v="1"/>
    <x v="10"/>
    <n v="27.81"/>
    <n v="3"/>
    <n v="0"/>
    <n v="13.0707"/>
  </r>
  <r>
    <s v="Standard Class"/>
    <x v="1"/>
    <s v="United States"/>
    <s v="Los Angeles"/>
    <x v="1"/>
    <n v="90036"/>
    <x v="1"/>
    <x v="2"/>
    <x v="11"/>
    <n v="66.3"/>
    <n v="3"/>
    <n v="0"/>
    <n v="8.6189999999999998"/>
  </r>
  <r>
    <s v="Standard Class"/>
    <x v="2"/>
    <s v="United States"/>
    <s v="Baltimore"/>
    <x v="39"/>
    <n v="21215"/>
    <x v="3"/>
    <x v="1"/>
    <x v="6"/>
    <n v="1.64"/>
    <n v="1"/>
    <n v="0"/>
    <n v="0.73799999999999999"/>
  </r>
  <r>
    <s v="Standard Class"/>
    <x v="2"/>
    <s v="United States"/>
    <s v="Baltimore"/>
    <x v="39"/>
    <n v="21215"/>
    <x v="3"/>
    <x v="0"/>
    <x v="5"/>
    <n v="1049.2"/>
    <n v="5"/>
    <n v="0"/>
    <n v="272.79199999999997"/>
  </r>
  <r>
    <s v="Standard Class"/>
    <x v="2"/>
    <s v="United States"/>
    <s v="Baltimore"/>
    <x v="39"/>
    <n v="21215"/>
    <x v="3"/>
    <x v="0"/>
    <x v="5"/>
    <n v="20.9"/>
    <n v="5"/>
    <n v="0"/>
    <n v="7.524"/>
  </r>
  <r>
    <s v="Second Class"/>
    <x v="0"/>
    <s v="United States"/>
    <s v="Fairfield"/>
    <x v="29"/>
    <n v="6824"/>
    <x v="3"/>
    <x v="1"/>
    <x v="8"/>
    <n v="88.08"/>
    <n v="6"/>
    <n v="0"/>
    <n v="40.516800000000003"/>
  </r>
  <r>
    <s v="Second Class"/>
    <x v="0"/>
    <s v="United States"/>
    <s v="Fairfield"/>
    <x v="29"/>
    <n v="6824"/>
    <x v="3"/>
    <x v="0"/>
    <x v="1"/>
    <n v="751.92"/>
    <n v="4"/>
    <n v="0"/>
    <n v="150.38399999999999"/>
  </r>
  <r>
    <s v="Same Day"/>
    <x v="1"/>
    <s v="United States"/>
    <s v="New York City"/>
    <x v="15"/>
    <n v="10011"/>
    <x v="3"/>
    <x v="0"/>
    <x v="1"/>
    <n v="887.10299999999995"/>
    <n v="7"/>
    <n v="0.1"/>
    <n v="177.42060000000001"/>
  </r>
  <r>
    <s v="Same Day"/>
    <x v="0"/>
    <s v="United States"/>
    <s v="Lakeland"/>
    <x v="2"/>
    <n v="33801"/>
    <x v="0"/>
    <x v="2"/>
    <x v="7"/>
    <n v="55.944000000000003"/>
    <n v="7"/>
    <n v="0.2"/>
    <n v="-13.2867"/>
  </r>
  <r>
    <s v="Same Day"/>
    <x v="0"/>
    <s v="United States"/>
    <s v="Lakeland"/>
    <x v="2"/>
    <n v="33801"/>
    <x v="0"/>
    <x v="1"/>
    <x v="6"/>
    <n v="10.688000000000001"/>
    <n v="2"/>
    <n v="0.2"/>
    <n v="2.2711999999999999"/>
  </r>
  <r>
    <s v="Same Day"/>
    <x v="0"/>
    <s v="United States"/>
    <s v="Lakeland"/>
    <x v="2"/>
    <n v="33801"/>
    <x v="0"/>
    <x v="2"/>
    <x v="7"/>
    <n v="11.824"/>
    <n v="2"/>
    <n v="0.2"/>
    <n v="1.0346"/>
  </r>
  <r>
    <s v="First Class"/>
    <x v="0"/>
    <s v="United States"/>
    <s v="Freeport"/>
    <x v="10"/>
    <n v="61032"/>
    <x v="2"/>
    <x v="1"/>
    <x v="10"/>
    <n v="63.311999999999998"/>
    <n v="3"/>
    <n v="0.2"/>
    <n v="20.5764"/>
  </r>
  <r>
    <s v="First Class"/>
    <x v="0"/>
    <s v="United States"/>
    <s v="Freeport"/>
    <x v="10"/>
    <n v="61032"/>
    <x v="2"/>
    <x v="1"/>
    <x v="8"/>
    <n v="96.784000000000006"/>
    <n v="4"/>
    <n v="0.8"/>
    <n v="-145.17599999999999"/>
  </r>
  <r>
    <s v="First Class"/>
    <x v="0"/>
    <s v="United States"/>
    <s v="Freeport"/>
    <x v="10"/>
    <n v="61032"/>
    <x v="2"/>
    <x v="0"/>
    <x v="5"/>
    <n v="10.476000000000001"/>
    <n v="3"/>
    <n v="0.6"/>
    <n v="-6.8094000000000001"/>
  </r>
  <r>
    <s v="Standard Class"/>
    <x v="1"/>
    <s v="United States"/>
    <s v="Medford"/>
    <x v="21"/>
    <n v="97504"/>
    <x v="1"/>
    <x v="1"/>
    <x v="8"/>
    <n v="9.7620000000000005"/>
    <n v="2"/>
    <n v="0.7"/>
    <n v="-6.8334000000000001"/>
  </r>
  <r>
    <s v="First Class"/>
    <x v="1"/>
    <s v="United States"/>
    <s v="Seattle"/>
    <x v="4"/>
    <n v="98103"/>
    <x v="1"/>
    <x v="0"/>
    <x v="1"/>
    <n v="196.78399999999999"/>
    <n v="2"/>
    <n v="0.2"/>
    <n v="-22.138200000000001"/>
  </r>
  <r>
    <s v="Second Class"/>
    <x v="1"/>
    <s v="United States"/>
    <s v="New York City"/>
    <x v="15"/>
    <n v="10035"/>
    <x v="3"/>
    <x v="1"/>
    <x v="12"/>
    <n v="47.98"/>
    <n v="2"/>
    <n v="0"/>
    <n v="23.99"/>
  </r>
  <r>
    <s v="Second Class"/>
    <x v="1"/>
    <s v="United States"/>
    <s v="Fairfield"/>
    <x v="29"/>
    <n v="6824"/>
    <x v="3"/>
    <x v="1"/>
    <x v="2"/>
    <n v="13.05"/>
    <n v="5"/>
    <n v="0"/>
    <n v="6.0030000000000001"/>
  </r>
  <r>
    <s v="Standard Class"/>
    <x v="0"/>
    <s v="United States"/>
    <s v="Moorhead"/>
    <x v="11"/>
    <n v="56560"/>
    <x v="2"/>
    <x v="2"/>
    <x v="11"/>
    <n v="63.96"/>
    <n v="4"/>
    <n v="0"/>
    <n v="19.8276"/>
  </r>
  <r>
    <s v="Standard Class"/>
    <x v="0"/>
    <s v="United States"/>
    <s v="Columbus"/>
    <x v="32"/>
    <n v="31907"/>
    <x v="0"/>
    <x v="1"/>
    <x v="9"/>
    <n v="80.48"/>
    <n v="1"/>
    <n v="0"/>
    <n v="24.143999999999998"/>
  </r>
  <r>
    <s v="Standard Class"/>
    <x v="0"/>
    <s v="United States"/>
    <s v="Philadelphia"/>
    <x v="9"/>
    <n v="19143"/>
    <x v="3"/>
    <x v="1"/>
    <x v="8"/>
    <n v="11.673"/>
    <n v="3"/>
    <n v="0.7"/>
    <n v="-7.782"/>
  </r>
  <r>
    <s v="Standard Class"/>
    <x v="0"/>
    <s v="United States"/>
    <s v="Houston"/>
    <x v="5"/>
    <n v="77036"/>
    <x v="2"/>
    <x v="0"/>
    <x v="3"/>
    <n v="863.12800000000004"/>
    <n v="8"/>
    <n v="0.3"/>
    <n v="-160.29519999999999"/>
  </r>
  <r>
    <s v="Standard Class"/>
    <x v="0"/>
    <s v="United States"/>
    <s v="Houston"/>
    <x v="5"/>
    <n v="77036"/>
    <x v="2"/>
    <x v="1"/>
    <x v="8"/>
    <n v="3.5640000000000001"/>
    <n v="3"/>
    <n v="0.8"/>
    <n v="-6.2370000000000001"/>
  </r>
  <r>
    <s v="Standard Class"/>
    <x v="0"/>
    <s v="United States"/>
    <s v="Houston"/>
    <x v="5"/>
    <n v="77036"/>
    <x v="2"/>
    <x v="0"/>
    <x v="0"/>
    <n v="956.66480000000001"/>
    <n v="7"/>
    <n v="0.32"/>
    <n v="-225.0976"/>
  </r>
  <r>
    <s v="Standard Class"/>
    <x v="0"/>
    <s v="United States"/>
    <s v="Houston"/>
    <x v="5"/>
    <n v="77036"/>
    <x v="2"/>
    <x v="1"/>
    <x v="8"/>
    <n v="12.587999999999999"/>
    <n v="3"/>
    <n v="0.8"/>
    <n v="-20.140799999999999"/>
  </r>
  <r>
    <s v="Standard Class"/>
    <x v="0"/>
    <s v="United States"/>
    <s v="Houston"/>
    <x v="5"/>
    <n v="77036"/>
    <x v="2"/>
    <x v="2"/>
    <x v="11"/>
    <n v="171.96"/>
    <n v="5"/>
    <n v="0.2"/>
    <n v="45.139499999999998"/>
  </r>
  <r>
    <s v="Second Class"/>
    <x v="0"/>
    <s v="United States"/>
    <s v="Seattle"/>
    <x v="4"/>
    <n v="98115"/>
    <x v="1"/>
    <x v="0"/>
    <x v="3"/>
    <n v="871.4"/>
    <n v="4"/>
    <n v="0"/>
    <n v="148.13800000000001"/>
  </r>
  <r>
    <s v="Standard Class"/>
    <x v="1"/>
    <s v="United States"/>
    <s v="Jackson"/>
    <x v="18"/>
    <n v="38301"/>
    <x v="0"/>
    <x v="0"/>
    <x v="5"/>
    <n v="692.47199999999998"/>
    <n v="11"/>
    <n v="0.2"/>
    <n v="190.4298"/>
  </r>
  <r>
    <s v="Second Class"/>
    <x v="1"/>
    <s v="United States"/>
    <s v="Baltimore"/>
    <x v="39"/>
    <n v="21215"/>
    <x v="3"/>
    <x v="0"/>
    <x v="5"/>
    <n v="207.76"/>
    <n v="4"/>
    <n v="0"/>
    <n v="85.181600000000003"/>
  </r>
  <r>
    <s v="Same Day"/>
    <x v="0"/>
    <s v="United States"/>
    <s v="Murray"/>
    <x v="7"/>
    <n v="84107"/>
    <x v="1"/>
    <x v="2"/>
    <x v="7"/>
    <n v="71.927999999999997"/>
    <n v="9"/>
    <n v="0.2"/>
    <n v="6.2937000000000003"/>
  </r>
  <r>
    <s v="Same Day"/>
    <x v="0"/>
    <s v="United States"/>
    <s v="Murray"/>
    <x v="7"/>
    <n v="84107"/>
    <x v="1"/>
    <x v="1"/>
    <x v="6"/>
    <n v="25.99"/>
    <n v="1"/>
    <n v="0"/>
    <n v="7.5370999999999997"/>
  </r>
  <r>
    <s v="Standard Class"/>
    <x v="1"/>
    <s v="United States"/>
    <s v="Seattle"/>
    <x v="4"/>
    <n v="98105"/>
    <x v="1"/>
    <x v="1"/>
    <x v="8"/>
    <n v="3.5920000000000001"/>
    <n v="1"/>
    <n v="0.2"/>
    <n v="1.1225000000000001"/>
  </r>
  <r>
    <s v="Standard Class"/>
    <x v="1"/>
    <s v="United States"/>
    <s v="Dallas"/>
    <x v="5"/>
    <n v="75220"/>
    <x v="2"/>
    <x v="1"/>
    <x v="9"/>
    <n v="48.631999999999998"/>
    <n v="2"/>
    <n v="0.8"/>
    <n v="-121.58"/>
  </r>
  <r>
    <s v="Standard Class"/>
    <x v="2"/>
    <s v="United States"/>
    <s v="Seattle"/>
    <x v="4"/>
    <n v="98105"/>
    <x v="1"/>
    <x v="1"/>
    <x v="4"/>
    <n v="323.10000000000002"/>
    <n v="2"/>
    <n v="0"/>
    <n v="61.389000000000003"/>
  </r>
  <r>
    <s v="Standard Class"/>
    <x v="1"/>
    <s v="United States"/>
    <s v="Lakewood"/>
    <x v="30"/>
    <n v="8701"/>
    <x v="3"/>
    <x v="2"/>
    <x v="15"/>
    <n v="9099.93"/>
    <n v="7"/>
    <n v="0"/>
    <n v="2365.9818"/>
  </r>
  <r>
    <s v="Standard Class"/>
    <x v="1"/>
    <s v="United States"/>
    <s v="Lakewood"/>
    <x v="30"/>
    <n v="8701"/>
    <x v="3"/>
    <x v="0"/>
    <x v="5"/>
    <n v="9.9600000000000009"/>
    <n v="2"/>
    <n v="0"/>
    <n v="3.2867999999999999"/>
  </r>
  <r>
    <s v="Standard Class"/>
    <x v="1"/>
    <s v="United States"/>
    <s v="Lakewood"/>
    <x v="30"/>
    <n v="8701"/>
    <x v="3"/>
    <x v="1"/>
    <x v="8"/>
    <n v="25.3"/>
    <n v="5"/>
    <n v="0"/>
    <n v="11.891"/>
  </r>
  <r>
    <s v="Standard Class"/>
    <x v="2"/>
    <s v="United States"/>
    <s v="New York City"/>
    <x v="15"/>
    <n v="10011"/>
    <x v="3"/>
    <x v="1"/>
    <x v="10"/>
    <n v="11.36"/>
    <n v="2"/>
    <n v="0"/>
    <n v="5.2256"/>
  </r>
  <r>
    <s v="Standard Class"/>
    <x v="2"/>
    <s v="United States"/>
    <s v="New York City"/>
    <x v="15"/>
    <n v="10011"/>
    <x v="3"/>
    <x v="0"/>
    <x v="1"/>
    <n v="69.263999999999996"/>
    <n v="2"/>
    <n v="0.1"/>
    <n v="14.622400000000001"/>
  </r>
  <r>
    <s v="First Class"/>
    <x v="0"/>
    <s v="United States"/>
    <s v="Indianapolis"/>
    <x v="14"/>
    <n v="46203"/>
    <x v="2"/>
    <x v="1"/>
    <x v="2"/>
    <n v="3.69"/>
    <n v="1"/>
    <n v="0"/>
    <n v="1.7343"/>
  </r>
  <r>
    <s v="First Class"/>
    <x v="0"/>
    <s v="United States"/>
    <s v="Indianapolis"/>
    <x v="14"/>
    <n v="46203"/>
    <x v="2"/>
    <x v="1"/>
    <x v="8"/>
    <n v="1103.97"/>
    <n v="3"/>
    <n v="0"/>
    <n v="496.78649999999999"/>
  </r>
  <r>
    <s v="Second Class"/>
    <x v="1"/>
    <s v="United States"/>
    <s v="Port Arthur"/>
    <x v="5"/>
    <n v="77642"/>
    <x v="2"/>
    <x v="0"/>
    <x v="0"/>
    <n v="246.1328"/>
    <n v="2"/>
    <n v="0.32"/>
    <n v="-76.011600000000001"/>
  </r>
  <r>
    <s v="Second Class"/>
    <x v="1"/>
    <s v="United States"/>
    <s v="Port Arthur"/>
    <x v="5"/>
    <n v="77642"/>
    <x v="2"/>
    <x v="1"/>
    <x v="2"/>
    <n v="11.696"/>
    <n v="2"/>
    <n v="0.2"/>
    <n v="3.9474"/>
  </r>
  <r>
    <s v="Second Class"/>
    <x v="1"/>
    <s v="United States"/>
    <s v="Port Arthur"/>
    <x v="5"/>
    <n v="77642"/>
    <x v="2"/>
    <x v="2"/>
    <x v="16"/>
    <n v="439.99200000000002"/>
    <n v="1"/>
    <n v="0.2"/>
    <n v="164.99700000000001"/>
  </r>
  <r>
    <s v="Standard Class"/>
    <x v="2"/>
    <s v="United States"/>
    <s v="Nashville"/>
    <x v="18"/>
    <n v="37211"/>
    <x v="0"/>
    <x v="1"/>
    <x v="4"/>
    <n v="64.784000000000006"/>
    <n v="1"/>
    <n v="0.2"/>
    <n v="-12.956799999999999"/>
  </r>
  <r>
    <s v="Standard Class"/>
    <x v="1"/>
    <s v="United States"/>
    <s v="Houston"/>
    <x v="5"/>
    <n v="77095"/>
    <x v="2"/>
    <x v="1"/>
    <x v="8"/>
    <n v="33.28"/>
    <n v="5"/>
    <n v="0.8"/>
    <n v="-49.92"/>
  </r>
  <r>
    <s v="Standard Class"/>
    <x v="1"/>
    <s v="United States"/>
    <s v="Houston"/>
    <x v="5"/>
    <n v="77095"/>
    <x v="2"/>
    <x v="1"/>
    <x v="10"/>
    <n v="14.087999999999999"/>
    <n v="3"/>
    <n v="0.2"/>
    <n v="4.9307999999999996"/>
  </r>
  <r>
    <s v="Second Class"/>
    <x v="2"/>
    <s v="United States"/>
    <s v="Los Angeles"/>
    <x v="1"/>
    <n v="90004"/>
    <x v="1"/>
    <x v="1"/>
    <x v="6"/>
    <n v="11.16"/>
    <n v="2"/>
    <n v="0"/>
    <n v="2.79"/>
  </r>
  <r>
    <s v="Second Class"/>
    <x v="2"/>
    <s v="United States"/>
    <s v="Los Angeles"/>
    <x v="1"/>
    <n v="90004"/>
    <x v="1"/>
    <x v="0"/>
    <x v="3"/>
    <n v="896.32799999999997"/>
    <n v="9"/>
    <n v="0.2"/>
    <n v="22.408200000000001"/>
  </r>
  <r>
    <s v="Second Class"/>
    <x v="2"/>
    <s v="United States"/>
    <s v="Los Angeles"/>
    <x v="1"/>
    <n v="90004"/>
    <x v="1"/>
    <x v="1"/>
    <x v="9"/>
    <n v="189"/>
    <n v="1"/>
    <n v="0"/>
    <n v="68.040000000000006"/>
  </r>
  <r>
    <s v="Standard Class"/>
    <x v="0"/>
    <s v="United States"/>
    <s v="Philadelphia"/>
    <x v="9"/>
    <n v="19140"/>
    <x v="3"/>
    <x v="2"/>
    <x v="7"/>
    <n v="53.981999999999999"/>
    <n v="3"/>
    <n v="0.4"/>
    <n v="-10.7964"/>
  </r>
  <r>
    <s v="Standard Class"/>
    <x v="1"/>
    <s v="United States"/>
    <s v="Redmond"/>
    <x v="21"/>
    <n v="97756"/>
    <x v="1"/>
    <x v="0"/>
    <x v="3"/>
    <n v="177.22499999999999"/>
    <n v="5"/>
    <n v="0.5"/>
    <n v="-120.51300000000001"/>
  </r>
  <r>
    <s v="Standard Class"/>
    <x v="0"/>
    <s v="United States"/>
    <s v="Citrus Heights"/>
    <x v="1"/>
    <n v="95610"/>
    <x v="1"/>
    <x v="0"/>
    <x v="5"/>
    <n v="129.38999999999999"/>
    <n v="3"/>
    <n v="0"/>
    <n v="54.343800000000002"/>
  </r>
  <r>
    <s v="Standard Class"/>
    <x v="1"/>
    <s v="United States"/>
    <s v="Los Angeles"/>
    <x v="1"/>
    <n v="90032"/>
    <x v="1"/>
    <x v="1"/>
    <x v="4"/>
    <n v="54.32"/>
    <n v="4"/>
    <n v="0"/>
    <n v="0.54320000000000002"/>
  </r>
  <r>
    <s v="Second Class"/>
    <x v="0"/>
    <s v="United States"/>
    <s v="Tallahassee"/>
    <x v="2"/>
    <n v="32303"/>
    <x v="0"/>
    <x v="2"/>
    <x v="7"/>
    <n v="4367.8959999999997"/>
    <n v="13"/>
    <n v="0.2"/>
    <n v="327.59219999999999"/>
  </r>
  <r>
    <s v="Second Class"/>
    <x v="0"/>
    <s v="United States"/>
    <s v="Tallahassee"/>
    <x v="2"/>
    <n v="32303"/>
    <x v="0"/>
    <x v="1"/>
    <x v="10"/>
    <n v="49.567999999999998"/>
    <n v="2"/>
    <n v="0.2"/>
    <n v="15.49"/>
  </r>
  <r>
    <s v="Second Class"/>
    <x v="0"/>
    <s v="United States"/>
    <s v="Tallahassee"/>
    <x v="2"/>
    <n v="32303"/>
    <x v="0"/>
    <x v="1"/>
    <x v="9"/>
    <n v="161.376"/>
    <n v="6"/>
    <n v="0.2"/>
    <n v="12.103199999999999"/>
  </r>
  <r>
    <s v="Second Class"/>
    <x v="0"/>
    <s v="United States"/>
    <s v="Tallahassee"/>
    <x v="2"/>
    <n v="32303"/>
    <x v="0"/>
    <x v="0"/>
    <x v="5"/>
    <n v="2.7839999999999998"/>
    <n v="2"/>
    <n v="0.2"/>
    <n v="0.41760000000000003"/>
  </r>
  <r>
    <s v="Second Class"/>
    <x v="0"/>
    <s v="United States"/>
    <s v="Tallahassee"/>
    <x v="2"/>
    <n v="32303"/>
    <x v="0"/>
    <x v="1"/>
    <x v="10"/>
    <n v="8.7200000000000006"/>
    <n v="5"/>
    <n v="0.2"/>
    <n v="2.9430000000000001"/>
  </r>
  <r>
    <s v="Second Class"/>
    <x v="2"/>
    <s v="United States"/>
    <s v="Lakewood"/>
    <x v="24"/>
    <n v="44107"/>
    <x v="3"/>
    <x v="1"/>
    <x v="6"/>
    <n v="3.9119999999999999"/>
    <n v="1"/>
    <n v="0.2"/>
    <n v="1.0268999999999999"/>
  </r>
  <r>
    <s v="Same Day"/>
    <x v="0"/>
    <s v="United States"/>
    <s v="The Colony"/>
    <x v="5"/>
    <n v="75056"/>
    <x v="2"/>
    <x v="1"/>
    <x v="12"/>
    <n v="59.752000000000002"/>
    <n v="7"/>
    <n v="0.2"/>
    <n v="19.4194"/>
  </r>
  <r>
    <s v="Second Class"/>
    <x v="0"/>
    <s v="United States"/>
    <s v="Seattle"/>
    <x v="4"/>
    <n v="98105"/>
    <x v="1"/>
    <x v="0"/>
    <x v="5"/>
    <n v="63.92"/>
    <n v="4"/>
    <n v="0"/>
    <n v="3.1960000000000002"/>
  </r>
  <r>
    <s v="Second Class"/>
    <x v="0"/>
    <s v="United States"/>
    <s v="Seattle"/>
    <x v="4"/>
    <n v="98105"/>
    <x v="1"/>
    <x v="2"/>
    <x v="7"/>
    <n v="383.96"/>
    <n v="5"/>
    <n v="0.2"/>
    <n v="38.396000000000001"/>
  </r>
  <r>
    <s v="Same Day"/>
    <x v="1"/>
    <s v="United States"/>
    <s v="Los Angeles"/>
    <x v="1"/>
    <n v="90032"/>
    <x v="1"/>
    <x v="1"/>
    <x v="8"/>
    <n v="7.7519999999999998"/>
    <n v="3"/>
    <n v="0.2"/>
    <n v="2.8100999999999998"/>
  </r>
  <r>
    <s v="Same Day"/>
    <x v="1"/>
    <s v="United States"/>
    <s v="Los Angeles"/>
    <x v="1"/>
    <n v="90032"/>
    <x v="1"/>
    <x v="1"/>
    <x v="8"/>
    <n v="33.567999999999998"/>
    <n v="2"/>
    <n v="0.2"/>
    <n v="11.748799999999999"/>
  </r>
  <r>
    <s v="Standard Class"/>
    <x v="0"/>
    <s v="United States"/>
    <s v="Los Angeles"/>
    <x v="1"/>
    <n v="90045"/>
    <x v="1"/>
    <x v="2"/>
    <x v="7"/>
    <n v="666.34400000000005"/>
    <n v="7"/>
    <n v="0.2"/>
    <n v="66.634399999999999"/>
  </r>
  <r>
    <s v="Standard Class"/>
    <x v="0"/>
    <s v="United States"/>
    <s v="Los Angeles"/>
    <x v="1"/>
    <n v="90045"/>
    <x v="1"/>
    <x v="0"/>
    <x v="3"/>
    <n v="573.72799999999995"/>
    <n v="4"/>
    <n v="0.2"/>
    <n v="-64.544399999999996"/>
  </r>
  <r>
    <s v="Standard Class"/>
    <x v="0"/>
    <s v="United States"/>
    <s v="Los Angeles"/>
    <x v="1"/>
    <n v="90045"/>
    <x v="1"/>
    <x v="1"/>
    <x v="8"/>
    <n v="21.936"/>
    <n v="3"/>
    <n v="0.2"/>
    <n v="8.2260000000000009"/>
  </r>
  <r>
    <s v="Standard Class"/>
    <x v="0"/>
    <s v="United States"/>
    <s v="Los Angeles"/>
    <x v="1"/>
    <n v="90045"/>
    <x v="1"/>
    <x v="1"/>
    <x v="10"/>
    <n v="19.440000000000001"/>
    <n v="3"/>
    <n v="0"/>
    <n v="9.3312000000000008"/>
  </r>
  <r>
    <s v="Standard Class"/>
    <x v="0"/>
    <s v="United States"/>
    <s v="Los Angeles"/>
    <x v="1"/>
    <n v="90045"/>
    <x v="1"/>
    <x v="2"/>
    <x v="15"/>
    <n v="447.96800000000002"/>
    <n v="4"/>
    <n v="0.2"/>
    <n v="139.99"/>
  </r>
  <r>
    <s v="Standard Class"/>
    <x v="1"/>
    <s v="United States"/>
    <s v="Long Beach"/>
    <x v="15"/>
    <n v="11561"/>
    <x v="3"/>
    <x v="1"/>
    <x v="9"/>
    <n v="16.78"/>
    <n v="2"/>
    <n v="0"/>
    <n v="4.1950000000000003"/>
  </r>
  <r>
    <s v="Standard Class"/>
    <x v="0"/>
    <s v="United States"/>
    <s v="Los Angeles"/>
    <x v="1"/>
    <n v="90045"/>
    <x v="1"/>
    <x v="1"/>
    <x v="6"/>
    <n v="20.96"/>
    <n v="2"/>
    <n v="0"/>
    <n v="5.24"/>
  </r>
  <r>
    <s v="Standard Class"/>
    <x v="0"/>
    <s v="United States"/>
    <s v="Los Angeles"/>
    <x v="1"/>
    <n v="90045"/>
    <x v="1"/>
    <x v="1"/>
    <x v="8"/>
    <n v="88.751999999999995"/>
    <n v="3"/>
    <n v="0.2"/>
    <n v="27.734999999999999"/>
  </r>
  <r>
    <s v="Standard Class"/>
    <x v="0"/>
    <s v="United States"/>
    <s v="Los Angeles"/>
    <x v="1"/>
    <n v="90045"/>
    <x v="1"/>
    <x v="1"/>
    <x v="4"/>
    <n v="304.23"/>
    <n v="3"/>
    <n v="0"/>
    <n v="9.1268999999999991"/>
  </r>
  <r>
    <s v="Standard Class"/>
    <x v="0"/>
    <s v="United States"/>
    <s v="San Francisco"/>
    <x v="1"/>
    <n v="94110"/>
    <x v="1"/>
    <x v="1"/>
    <x v="12"/>
    <n v="167.86"/>
    <n v="2"/>
    <n v="0"/>
    <n v="78.894199999999998"/>
  </r>
  <r>
    <s v="Standard Class"/>
    <x v="0"/>
    <s v="United States"/>
    <s v="Richmond"/>
    <x v="17"/>
    <n v="23223"/>
    <x v="0"/>
    <x v="0"/>
    <x v="5"/>
    <n v="82.38"/>
    <n v="6"/>
    <n v="0"/>
    <n v="25.537800000000001"/>
  </r>
  <r>
    <s v="Second Class"/>
    <x v="0"/>
    <s v="United States"/>
    <s v="Albuquerque"/>
    <x v="27"/>
    <n v="87105"/>
    <x v="1"/>
    <x v="2"/>
    <x v="7"/>
    <n v="23.975999999999999"/>
    <n v="3"/>
    <n v="0.2"/>
    <n v="-5.6943000000000001"/>
  </r>
  <r>
    <s v="Second Class"/>
    <x v="0"/>
    <s v="United States"/>
    <s v="Albuquerque"/>
    <x v="27"/>
    <n v="87105"/>
    <x v="1"/>
    <x v="1"/>
    <x v="4"/>
    <n v="33.29"/>
    <n v="1"/>
    <n v="0"/>
    <n v="7.9896000000000003"/>
  </r>
  <r>
    <s v="Standard Class"/>
    <x v="0"/>
    <s v="United States"/>
    <s v="Akron"/>
    <x v="24"/>
    <n v="44312"/>
    <x v="3"/>
    <x v="1"/>
    <x v="8"/>
    <n v="14.952"/>
    <n v="2"/>
    <n v="0.7"/>
    <n v="-11.961600000000001"/>
  </r>
  <r>
    <s v="Standard Class"/>
    <x v="0"/>
    <s v="United States"/>
    <s v="Akron"/>
    <x v="24"/>
    <n v="44312"/>
    <x v="3"/>
    <x v="2"/>
    <x v="7"/>
    <n v="323.98200000000003"/>
    <n v="3"/>
    <n v="0.4"/>
    <n v="-80.995500000000007"/>
  </r>
  <r>
    <s v="Standard Class"/>
    <x v="0"/>
    <s v="United States"/>
    <s v="Akron"/>
    <x v="24"/>
    <n v="44312"/>
    <x v="3"/>
    <x v="1"/>
    <x v="8"/>
    <n v="2.286"/>
    <n v="2"/>
    <n v="0.7"/>
    <n v="-1.6763999999999999"/>
  </r>
  <r>
    <s v="Standard Class"/>
    <x v="0"/>
    <s v="United States"/>
    <s v="Akron"/>
    <x v="24"/>
    <n v="44312"/>
    <x v="3"/>
    <x v="1"/>
    <x v="6"/>
    <n v="14.352"/>
    <n v="3"/>
    <n v="0.2"/>
    <n v="0.89700000000000002"/>
  </r>
  <r>
    <s v="Standard Class"/>
    <x v="0"/>
    <s v="United States"/>
    <s v="Akron"/>
    <x v="24"/>
    <n v="44312"/>
    <x v="3"/>
    <x v="2"/>
    <x v="11"/>
    <n v="71.975999999999999"/>
    <n v="3"/>
    <n v="0.2"/>
    <n v="0.89970000000000006"/>
  </r>
  <r>
    <s v="First Class"/>
    <x v="1"/>
    <s v="United States"/>
    <s v="Plainfield"/>
    <x v="30"/>
    <n v="7060"/>
    <x v="3"/>
    <x v="1"/>
    <x v="6"/>
    <n v="9.2100000000000009"/>
    <n v="3"/>
    <n v="0"/>
    <n v="2.3025000000000002"/>
  </r>
  <r>
    <s v="First Class"/>
    <x v="1"/>
    <s v="United States"/>
    <s v="Plainfield"/>
    <x v="30"/>
    <n v="7060"/>
    <x v="3"/>
    <x v="1"/>
    <x v="10"/>
    <n v="18"/>
    <n v="5"/>
    <n v="0"/>
    <n v="8.2799999999999994"/>
  </r>
  <r>
    <s v="Standard Class"/>
    <x v="0"/>
    <s v="United States"/>
    <s v="New York City"/>
    <x v="15"/>
    <n v="10011"/>
    <x v="3"/>
    <x v="1"/>
    <x v="10"/>
    <n v="42.93"/>
    <n v="9"/>
    <n v="0"/>
    <n v="19.3185"/>
  </r>
  <r>
    <s v="Standard Class"/>
    <x v="0"/>
    <s v="United States"/>
    <s v="Hialeah"/>
    <x v="2"/>
    <n v="33012"/>
    <x v="0"/>
    <x v="1"/>
    <x v="10"/>
    <n v="15.552"/>
    <n v="3"/>
    <n v="0.2"/>
    <n v="5.4432"/>
  </r>
  <r>
    <s v="Standard Class"/>
    <x v="0"/>
    <s v="United States"/>
    <s v="Hialeah"/>
    <x v="2"/>
    <n v="33012"/>
    <x v="0"/>
    <x v="1"/>
    <x v="9"/>
    <n v="17.920000000000002"/>
    <n v="5"/>
    <n v="0.2"/>
    <n v="1.1200000000000001"/>
  </r>
  <r>
    <s v="Standard Class"/>
    <x v="0"/>
    <s v="United States"/>
    <s v="Redmond"/>
    <x v="4"/>
    <n v="98052"/>
    <x v="1"/>
    <x v="2"/>
    <x v="11"/>
    <n v="19.989999999999998"/>
    <n v="1"/>
    <n v="0"/>
    <n v="6.7965999999999998"/>
  </r>
  <r>
    <s v="Standard Class"/>
    <x v="0"/>
    <s v="United States"/>
    <s v="Redmond"/>
    <x v="4"/>
    <n v="98052"/>
    <x v="1"/>
    <x v="1"/>
    <x v="8"/>
    <n v="22.92"/>
    <n v="5"/>
    <n v="0.2"/>
    <n v="8.0220000000000002"/>
  </r>
  <r>
    <s v="Standard Class"/>
    <x v="0"/>
    <s v="United States"/>
    <s v="Daytona Beach"/>
    <x v="2"/>
    <n v="32114"/>
    <x v="0"/>
    <x v="2"/>
    <x v="11"/>
    <n v="50.88"/>
    <n v="6"/>
    <n v="0.2"/>
    <n v="14.628"/>
  </r>
  <r>
    <s v="Standard Class"/>
    <x v="0"/>
    <s v="United States"/>
    <s v="Daytona Beach"/>
    <x v="2"/>
    <n v="32114"/>
    <x v="0"/>
    <x v="1"/>
    <x v="12"/>
    <n v="27.312000000000001"/>
    <n v="2"/>
    <n v="0.2"/>
    <n v="9.2178000000000004"/>
  </r>
  <r>
    <s v="Standard Class"/>
    <x v="0"/>
    <s v="United States"/>
    <s v="Bullhead City"/>
    <x v="16"/>
    <n v="86442"/>
    <x v="1"/>
    <x v="1"/>
    <x v="12"/>
    <n v="7.92"/>
    <n v="1"/>
    <n v="0.2"/>
    <n v="2.7719999999999998"/>
  </r>
  <r>
    <s v="Standard Class"/>
    <x v="0"/>
    <s v="United States"/>
    <s v="Bullhead City"/>
    <x v="16"/>
    <n v="86442"/>
    <x v="1"/>
    <x v="0"/>
    <x v="5"/>
    <n v="14.368"/>
    <n v="2"/>
    <n v="0.2"/>
    <n v="3.9512"/>
  </r>
  <r>
    <s v="Standard Class"/>
    <x v="2"/>
    <s v="United States"/>
    <s v="Los Angeles"/>
    <x v="1"/>
    <n v="90049"/>
    <x v="1"/>
    <x v="2"/>
    <x v="11"/>
    <n v="107.97"/>
    <n v="3"/>
    <n v="0"/>
    <n v="22.6737"/>
  </r>
  <r>
    <s v="Standard Class"/>
    <x v="2"/>
    <s v="United States"/>
    <s v="Los Angeles"/>
    <x v="1"/>
    <n v="90049"/>
    <x v="1"/>
    <x v="1"/>
    <x v="10"/>
    <n v="113.82"/>
    <n v="3"/>
    <n v="0"/>
    <n v="53.495399999999997"/>
  </r>
  <r>
    <s v="Standard Class"/>
    <x v="0"/>
    <s v="United States"/>
    <s v="Franklin"/>
    <x v="18"/>
    <n v="37064"/>
    <x v="0"/>
    <x v="1"/>
    <x v="10"/>
    <n v="5.1840000000000002"/>
    <n v="1"/>
    <n v="0.2"/>
    <n v="1.8144"/>
  </r>
  <r>
    <s v="Same Day"/>
    <x v="0"/>
    <s v="United States"/>
    <s v="Portage"/>
    <x v="14"/>
    <n v="46368"/>
    <x v="2"/>
    <x v="1"/>
    <x v="6"/>
    <n v="16.28"/>
    <n v="2"/>
    <n v="0"/>
    <n v="6.5119999999999996"/>
  </r>
  <r>
    <s v="Standard Class"/>
    <x v="0"/>
    <s v="United States"/>
    <s v="Arlington"/>
    <x v="17"/>
    <n v="22204"/>
    <x v="0"/>
    <x v="1"/>
    <x v="4"/>
    <n v="544.38"/>
    <n v="3"/>
    <n v="0"/>
    <n v="157.87020000000001"/>
  </r>
  <r>
    <s v="First Class"/>
    <x v="0"/>
    <s v="United States"/>
    <s v="San Francisco"/>
    <x v="1"/>
    <n v="94110"/>
    <x v="1"/>
    <x v="1"/>
    <x v="8"/>
    <n v="19.824000000000002"/>
    <n v="6"/>
    <n v="0.2"/>
    <n v="6.6905999999999999"/>
  </r>
  <r>
    <s v="First Class"/>
    <x v="0"/>
    <s v="United States"/>
    <s v="San Francisco"/>
    <x v="1"/>
    <n v="94110"/>
    <x v="1"/>
    <x v="2"/>
    <x v="7"/>
    <n v="657.50400000000002"/>
    <n v="6"/>
    <n v="0.2"/>
    <n v="-131.5008"/>
  </r>
  <r>
    <s v="First Class"/>
    <x v="0"/>
    <s v="United States"/>
    <s v="San Francisco"/>
    <x v="1"/>
    <n v="94110"/>
    <x v="1"/>
    <x v="2"/>
    <x v="11"/>
    <n v="99.54"/>
    <n v="2"/>
    <n v="0"/>
    <n v="10.949400000000001"/>
  </r>
  <r>
    <s v="First Class"/>
    <x v="0"/>
    <s v="United States"/>
    <s v="San Francisco"/>
    <x v="1"/>
    <n v="94110"/>
    <x v="1"/>
    <x v="2"/>
    <x v="11"/>
    <n v="199.96"/>
    <n v="4"/>
    <n v="0"/>
    <n v="85.982799999999997"/>
  </r>
  <r>
    <s v="Standard Class"/>
    <x v="0"/>
    <s v="United States"/>
    <s v="New Rochelle"/>
    <x v="15"/>
    <n v="10801"/>
    <x v="3"/>
    <x v="0"/>
    <x v="1"/>
    <n v="631.78200000000004"/>
    <n v="2"/>
    <n v="0.1"/>
    <n v="140.39599999999999"/>
  </r>
  <r>
    <s v="Standard Class"/>
    <x v="0"/>
    <s v="United States"/>
    <s v="New Rochelle"/>
    <x v="15"/>
    <n v="10801"/>
    <x v="3"/>
    <x v="0"/>
    <x v="5"/>
    <n v="60.72"/>
    <n v="3"/>
    <n v="0"/>
    <n v="26.1096"/>
  </r>
  <r>
    <s v="Second Class"/>
    <x v="0"/>
    <s v="United States"/>
    <s v="Mesa"/>
    <x v="16"/>
    <n v="85204"/>
    <x v="1"/>
    <x v="1"/>
    <x v="8"/>
    <n v="20.724"/>
    <n v="2"/>
    <n v="0.7"/>
    <n v="-15.1976"/>
  </r>
  <r>
    <s v="Second Class"/>
    <x v="0"/>
    <s v="United States"/>
    <s v="Mesa"/>
    <x v="16"/>
    <n v="85204"/>
    <x v="1"/>
    <x v="1"/>
    <x v="4"/>
    <n v="415.87200000000001"/>
    <n v="8"/>
    <n v="0.2"/>
    <n v="-41.587200000000003"/>
  </r>
  <r>
    <s v="Standard Class"/>
    <x v="0"/>
    <s v="United States"/>
    <s v="Lancaster"/>
    <x v="24"/>
    <n v="43130"/>
    <x v="3"/>
    <x v="1"/>
    <x v="4"/>
    <n v="16.768000000000001"/>
    <n v="2"/>
    <n v="0.2"/>
    <n v="1.4672000000000001"/>
  </r>
  <r>
    <s v="Standard Class"/>
    <x v="0"/>
    <s v="United States"/>
    <s v="Lancaster"/>
    <x v="24"/>
    <n v="43130"/>
    <x v="3"/>
    <x v="2"/>
    <x v="11"/>
    <n v="27.12"/>
    <n v="2"/>
    <n v="0.2"/>
    <n v="-4.7460000000000004"/>
  </r>
  <r>
    <s v="Second Class"/>
    <x v="0"/>
    <s v="United States"/>
    <s v="Stockton"/>
    <x v="1"/>
    <n v="95207"/>
    <x v="1"/>
    <x v="2"/>
    <x v="7"/>
    <n v="95.84"/>
    <n v="4"/>
    <n v="0.2"/>
    <n v="34.741999999999997"/>
  </r>
  <r>
    <s v="Second Class"/>
    <x v="0"/>
    <s v="United States"/>
    <s v="Stockton"/>
    <x v="1"/>
    <n v="95207"/>
    <x v="1"/>
    <x v="1"/>
    <x v="10"/>
    <n v="12.96"/>
    <n v="2"/>
    <n v="0"/>
    <n v="6.2207999999999997"/>
  </r>
  <r>
    <s v="Second Class"/>
    <x v="1"/>
    <s v="United States"/>
    <s v="Asheville"/>
    <x v="3"/>
    <n v="28806"/>
    <x v="0"/>
    <x v="1"/>
    <x v="8"/>
    <n v="19.007999999999999"/>
    <n v="8"/>
    <n v="0.7"/>
    <n v="-12.672000000000001"/>
  </r>
  <r>
    <s v="Second Class"/>
    <x v="0"/>
    <s v="United States"/>
    <s v="Clarksville"/>
    <x v="18"/>
    <n v="37042"/>
    <x v="0"/>
    <x v="1"/>
    <x v="8"/>
    <n v="1598.058"/>
    <n v="7"/>
    <n v="0.7"/>
    <n v="-1065.3720000000001"/>
  </r>
  <r>
    <s v="Second Class"/>
    <x v="0"/>
    <s v="United States"/>
    <s v="Clarksville"/>
    <x v="18"/>
    <n v="37042"/>
    <x v="0"/>
    <x v="1"/>
    <x v="6"/>
    <n v="36.96"/>
    <n v="4"/>
    <n v="0.2"/>
    <n v="12.012"/>
  </r>
  <r>
    <s v="Same Day"/>
    <x v="0"/>
    <s v="United States"/>
    <s v="Aurora"/>
    <x v="10"/>
    <n v="60505"/>
    <x v="2"/>
    <x v="1"/>
    <x v="10"/>
    <n v="10.368"/>
    <n v="2"/>
    <n v="0.2"/>
    <n v="3.6288"/>
  </r>
  <r>
    <s v="Same Day"/>
    <x v="0"/>
    <s v="United States"/>
    <s v="Aurora"/>
    <x v="10"/>
    <n v="60505"/>
    <x v="2"/>
    <x v="0"/>
    <x v="5"/>
    <n v="77.72"/>
    <n v="1"/>
    <n v="0.6"/>
    <n v="-66.061999999999998"/>
  </r>
  <r>
    <s v="Same Day"/>
    <x v="0"/>
    <s v="United States"/>
    <s v="Aurora"/>
    <x v="10"/>
    <n v="60505"/>
    <x v="2"/>
    <x v="0"/>
    <x v="1"/>
    <n v="520.46400000000006"/>
    <n v="2"/>
    <n v="0.3"/>
    <n v="-14.8704"/>
  </r>
  <r>
    <s v="First Class"/>
    <x v="1"/>
    <s v="United States"/>
    <s v="Warwick"/>
    <x v="34"/>
    <n v="2886"/>
    <x v="3"/>
    <x v="1"/>
    <x v="10"/>
    <n v="111.96"/>
    <n v="2"/>
    <n v="0"/>
    <n v="54.860399999999998"/>
  </r>
  <r>
    <s v="Second Class"/>
    <x v="0"/>
    <s v="United States"/>
    <s v="Lafayette"/>
    <x v="28"/>
    <n v="70506"/>
    <x v="0"/>
    <x v="2"/>
    <x v="7"/>
    <n v="29.16"/>
    <n v="3"/>
    <n v="0"/>
    <n v="8.4564000000000004"/>
  </r>
  <r>
    <s v="Second Class"/>
    <x v="0"/>
    <s v="United States"/>
    <s v="Fargo"/>
    <x v="46"/>
    <n v="58103"/>
    <x v="2"/>
    <x v="1"/>
    <x v="6"/>
    <n v="131.94"/>
    <n v="3"/>
    <n v="0"/>
    <n v="35.623800000000003"/>
  </r>
  <r>
    <s v="Second Class"/>
    <x v="0"/>
    <s v="United States"/>
    <s v="Fargo"/>
    <x v="46"/>
    <n v="58103"/>
    <x v="2"/>
    <x v="1"/>
    <x v="6"/>
    <n v="25.92"/>
    <n v="4"/>
    <n v="0"/>
    <n v="8.2943999999999996"/>
  </r>
  <r>
    <s v="Second Class"/>
    <x v="0"/>
    <s v="United States"/>
    <s v="Fargo"/>
    <x v="46"/>
    <n v="58103"/>
    <x v="2"/>
    <x v="1"/>
    <x v="4"/>
    <n v="704.76"/>
    <n v="4"/>
    <n v="0"/>
    <n v="162.09479999999999"/>
  </r>
  <r>
    <s v="Second Class"/>
    <x v="0"/>
    <s v="United States"/>
    <s v="Fargo"/>
    <x v="46"/>
    <n v="58103"/>
    <x v="2"/>
    <x v="1"/>
    <x v="13"/>
    <n v="7.41"/>
    <n v="3"/>
    <n v="0"/>
    <n v="3.4826999999999999"/>
  </r>
  <r>
    <s v="Second Class"/>
    <x v="0"/>
    <s v="United States"/>
    <s v="Fargo"/>
    <x v="46"/>
    <n v="58103"/>
    <x v="2"/>
    <x v="1"/>
    <x v="6"/>
    <n v="21.5"/>
    <n v="10"/>
    <n v="0"/>
    <n v="7.0949999999999998"/>
  </r>
  <r>
    <s v="Second Class"/>
    <x v="0"/>
    <s v="United States"/>
    <s v="Chicago"/>
    <x v="10"/>
    <n v="60623"/>
    <x v="2"/>
    <x v="1"/>
    <x v="13"/>
    <n v="10.528"/>
    <n v="4"/>
    <n v="0.2"/>
    <n v="3.29"/>
  </r>
  <r>
    <s v="Second Class"/>
    <x v="0"/>
    <s v="United States"/>
    <s v="Chicago"/>
    <x v="10"/>
    <n v="60623"/>
    <x v="2"/>
    <x v="1"/>
    <x v="10"/>
    <n v="20.544"/>
    <n v="6"/>
    <n v="0.2"/>
    <n v="6.42"/>
  </r>
  <r>
    <s v="Standard Class"/>
    <x v="2"/>
    <s v="United States"/>
    <s v="Lawrence"/>
    <x v="14"/>
    <n v="46226"/>
    <x v="2"/>
    <x v="1"/>
    <x v="8"/>
    <n v="104.9"/>
    <n v="5"/>
    <n v="0"/>
    <n v="50.351999999999997"/>
  </r>
  <r>
    <s v="Standard Class"/>
    <x v="2"/>
    <s v="United States"/>
    <s v="Lawrence"/>
    <x v="14"/>
    <n v="46226"/>
    <x v="2"/>
    <x v="1"/>
    <x v="6"/>
    <n v="39.68"/>
    <n v="2"/>
    <n v="0"/>
    <n v="16.268799999999999"/>
  </r>
  <r>
    <s v="Standard Class"/>
    <x v="2"/>
    <s v="United States"/>
    <s v="Lawrence"/>
    <x v="14"/>
    <n v="46226"/>
    <x v="2"/>
    <x v="1"/>
    <x v="2"/>
    <n v="51.75"/>
    <n v="5"/>
    <n v="0"/>
    <n v="24.84"/>
  </r>
  <r>
    <s v="Second Class"/>
    <x v="0"/>
    <s v="United States"/>
    <s v="Elkhart"/>
    <x v="14"/>
    <n v="46514"/>
    <x v="2"/>
    <x v="1"/>
    <x v="6"/>
    <n v="11.68"/>
    <n v="2"/>
    <n v="0"/>
    <n v="5.4896000000000003"/>
  </r>
  <r>
    <s v="Second Class"/>
    <x v="0"/>
    <s v="United States"/>
    <s v="Elkhart"/>
    <x v="14"/>
    <n v="46514"/>
    <x v="2"/>
    <x v="2"/>
    <x v="11"/>
    <n v="159.75"/>
    <n v="5"/>
    <n v="0"/>
    <n v="11.182499999999999"/>
  </r>
  <r>
    <s v="Standard Class"/>
    <x v="1"/>
    <s v="United States"/>
    <s v="Kent"/>
    <x v="24"/>
    <n v="44240"/>
    <x v="3"/>
    <x v="1"/>
    <x v="9"/>
    <n v="103.968"/>
    <n v="6"/>
    <n v="0.2"/>
    <n v="16.8948"/>
  </r>
  <r>
    <s v="Standard Class"/>
    <x v="2"/>
    <s v="United States"/>
    <s v="San Gabriel"/>
    <x v="1"/>
    <n v="91776"/>
    <x v="1"/>
    <x v="0"/>
    <x v="5"/>
    <n v="303.25"/>
    <n v="5"/>
    <n v="0"/>
    <n v="63.682499999999997"/>
  </r>
  <r>
    <s v="Standard Class"/>
    <x v="2"/>
    <s v="United States"/>
    <s v="San Gabriel"/>
    <x v="1"/>
    <n v="91776"/>
    <x v="1"/>
    <x v="1"/>
    <x v="9"/>
    <n v="270.72000000000003"/>
    <n v="3"/>
    <n v="0"/>
    <n v="78.508799999999994"/>
  </r>
  <r>
    <s v="Standard Class"/>
    <x v="2"/>
    <s v="United States"/>
    <s v="San Gabriel"/>
    <x v="1"/>
    <n v="91776"/>
    <x v="1"/>
    <x v="0"/>
    <x v="1"/>
    <n v="1487.04"/>
    <n v="5"/>
    <n v="0.2"/>
    <n v="148.70400000000001"/>
  </r>
  <r>
    <s v="Second Class"/>
    <x v="2"/>
    <s v="United States"/>
    <s v="Henderson"/>
    <x v="0"/>
    <n v="42420"/>
    <x v="0"/>
    <x v="1"/>
    <x v="12"/>
    <n v="17.48"/>
    <n v="2"/>
    <n v="0"/>
    <n v="8.2156000000000002"/>
  </r>
  <r>
    <s v="Second Class"/>
    <x v="2"/>
    <s v="United States"/>
    <s v="Henderson"/>
    <x v="0"/>
    <n v="42420"/>
    <x v="0"/>
    <x v="1"/>
    <x v="12"/>
    <n v="71.88"/>
    <n v="2"/>
    <n v="0"/>
    <n v="32.345999999999997"/>
  </r>
  <r>
    <s v="Standard Class"/>
    <x v="0"/>
    <s v="United States"/>
    <s v="San Francisco"/>
    <x v="1"/>
    <n v="94110"/>
    <x v="1"/>
    <x v="1"/>
    <x v="6"/>
    <n v="60.45"/>
    <n v="3"/>
    <n v="0"/>
    <n v="16.3215"/>
  </r>
  <r>
    <s v="Standard Class"/>
    <x v="0"/>
    <s v="United States"/>
    <s v="San Francisco"/>
    <x v="1"/>
    <n v="94110"/>
    <x v="1"/>
    <x v="0"/>
    <x v="3"/>
    <n v="253.17599999999999"/>
    <n v="3"/>
    <n v="0.2"/>
    <n v="-31.646999999999998"/>
  </r>
  <r>
    <s v="Standard Class"/>
    <x v="0"/>
    <s v="United States"/>
    <s v="Highland Park"/>
    <x v="10"/>
    <n v="60035"/>
    <x v="2"/>
    <x v="1"/>
    <x v="8"/>
    <n v="2.88"/>
    <n v="5"/>
    <n v="0.8"/>
    <n v="-4.4640000000000004"/>
  </r>
  <r>
    <s v="Standard Class"/>
    <x v="0"/>
    <s v="United States"/>
    <s v="Highland Park"/>
    <x v="10"/>
    <n v="60035"/>
    <x v="2"/>
    <x v="0"/>
    <x v="0"/>
    <n v="384.94400000000002"/>
    <n v="4"/>
    <n v="0.3"/>
    <n v="-126.4816"/>
  </r>
  <r>
    <s v="Standard Class"/>
    <x v="0"/>
    <s v="United States"/>
    <s v="Highland Park"/>
    <x v="10"/>
    <n v="60035"/>
    <x v="2"/>
    <x v="2"/>
    <x v="7"/>
    <n v="153.584"/>
    <n v="2"/>
    <n v="0.2"/>
    <n v="13.438599999999999"/>
  </r>
  <r>
    <s v="Standard Class"/>
    <x v="0"/>
    <s v="United States"/>
    <s v="Highland Park"/>
    <x v="10"/>
    <n v="60035"/>
    <x v="2"/>
    <x v="0"/>
    <x v="0"/>
    <n v="913.43"/>
    <n v="5"/>
    <n v="0.3"/>
    <n v="-52.195999999999998"/>
  </r>
  <r>
    <s v="Standard Class"/>
    <x v="1"/>
    <s v="United States"/>
    <s v="San Francisco"/>
    <x v="1"/>
    <n v="94122"/>
    <x v="1"/>
    <x v="1"/>
    <x v="9"/>
    <n v="43.92"/>
    <n v="4"/>
    <n v="0"/>
    <n v="11.8584"/>
  </r>
  <r>
    <s v="Standard Class"/>
    <x v="1"/>
    <s v="United States"/>
    <s v="San Francisco"/>
    <x v="1"/>
    <n v="94122"/>
    <x v="1"/>
    <x v="1"/>
    <x v="8"/>
    <n v="25.032"/>
    <n v="3"/>
    <n v="0.2"/>
    <n v="7.8224999999999998"/>
  </r>
  <r>
    <s v="First Class"/>
    <x v="0"/>
    <s v="United States"/>
    <s v="New York City"/>
    <x v="15"/>
    <n v="10035"/>
    <x v="3"/>
    <x v="1"/>
    <x v="10"/>
    <n v="46.76"/>
    <n v="7"/>
    <n v="0"/>
    <n v="22.444800000000001"/>
  </r>
  <r>
    <s v="First Class"/>
    <x v="0"/>
    <s v="United States"/>
    <s v="New York City"/>
    <x v="15"/>
    <n v="10035"/>
    <x v="3"/>
    <x v="0"/>
    <x v="0"/>
    <n v="183.96799999999999"/>
    <n v="2"/>
    <n v="0.2"/>
    <n v="-25.2956"/>
  </r>
  <r>
    <s v="First Class"/>
    <x v="0"/>
    <s v="United States"/>
    <s v="New York City"/>
    <x v="15"/>
    <n v="10035"/>
    <x v="3"/>
    <x v="2"/>
    <x v="7"/>
    <n v="1259.97"/>
    <n v="3"/>
    <n v="0"/>
    <n v="327.59219999999999"/>
  </r>
  <r>
    <s v="First Class"/>
    <x v="0"/>
    <s v="United States"/>
    <s v="New York City"/>
    <x v="15"/>
    <n v="10035"/>
    <x v="3"/>
    <x v="1"/>
    <x v="6"/>
    <n v="68.97"/>
    <n v="3"/>
    <n v="0"/>
    <n v="19.311599999999999"/>
  </r>
  <r>
    <s v="Standard Class"/>
    <x v="1"/>
    <s v="United States"/>
    <s v="Dallas"/>
    <x v="5"/>
    <n v="75081"/>
    <x v="2"/>
    <x v="1"/>
    <x v="6"/>
    <n v="70.367999999999995"/>
    <n v="2"/>
    <n v="0.2"/>
    <n v="6.1571999999999996"/>
  </r>
  <r>
    <s v="Standard Class"/>
    <x v="1"/>
    <s v="United States"/>
    <s v="Dallas"/>
    <x v="5"/>
    <n v="75081"/>
    <x v="2"/>
    <x v="2"/>
    <x v="7"/>
    <n v="59.96"/>
    <n v="5"/>
    <n v="0.2"/>
    <n v="21.735499999999998"/>
  </r>
  <r>
    <s v="Same Day"/>
    <x v="0"/>
    <s v="United States"/>
    <s v="Springfield"/>
    <x v="24"/>
    <n v="45503"/>
    <x v="3"/>
    <x v="1"/>
    <x v="4"/>
    <n v="25.984000000000002"/>
    <n v="1"/>
    <n v="0.2"/>
    <n v="-5.1967999999999996"/>
  </r>
  <r>
    <s v="Same Day"/>
    <x v="0"/>
    <s v="United States"/>
    <s v="Springfield"/>
    <x v="24"/>
    <n v="45503"/>
    <x v="3"/>
    <x v="1"/>
    <x v="8"/>
    <n v="27.36"/>
    <n v="3"/>
    <n v="0.7"/>
    <n v="-21.888000000000002"/>
  </r>
  <r>
    <s v="Standard Class"/>
    <x v="1"/>
    <s v="United States"/>
    <s v="San Diego"/>
    <x v="1"/>
    <n v="92024"/>
    <x v="1"/>
    <x v="2"/>
    <x v="7"/>
    <n v="361.37599999999998"/>
    <n v="2"/>
    <n v="0.2"/>
    <n v="27.103200000000001"/>
  </r>
  <r>
    <s v="Standard Class"/>
    <x v="0"/>
    <s v="United States"/>
    <s v="Philadelphia"/>
    <x v="9"/>
    <n v="19120"/>
    <x v="3"/>
    <x v="0"/>
    <x v="1"/>
    <n v="172.18600000000001"/>
    <n v="2"/>
    <n v="0.3"/>
    <n v="-46.736199999999997"/>
  </r>
  <r>
    <s v="Standard Class"/>
    <x v="0"/>
    <s v="United States"/>
    <s v="Philadelphia"/>
    <x v="9"/>
    <n v="19120"/>
    <x v="3"/>
    <x v="0"/>
    <x v="5"/>
    <n v="69.007999999999996"/>
    <n v="2"/>
    <n v="0.2"/>
    <n v="12.0764"/>
  </r>
  <r>
    <s v="Same Day"/>
    <x v="0"/>
    <s v="United States"/>
    <s v="Columbia"/>
    <x v="39"/>
    <n v="21044"/>
    <x v="3"/>
    <x v="1"/>
    <x v="12"/>
    <n v="199.9"/>
    <n v="5"/>
    <n v="0"/>
    <n v="89.954999999999998"/>
  </r>
  <r>
    <s v="Same Day"/>
    <x v="0"/>
    <s v="United States"/>
    <s v="Columbia"/>
    <x v="39"/>
    <n v="21044"/>
    <x v="3"/>
    <x v="1"/>
    <x v="9"/>
    <n v="901.95"/>
    <n v="3"/>
    <n v="0"/>
    <n v="297.64350000000002"/>
  </r>
  <r>
    <s v="Same Day"/>
    <x v="0"/>
    <s v="United States"/>
    <s v="Columbia"/>
    <x v="39"/>
    <n v="21044"/>
    <x v="3"/>
    <x v="0"/>
    <x v="5"/>
    <n v="971.5"/>
    <n v="5"/>
    <n v="0"/>
    <n v="252.59"/>
  </r>
  <r>
    <s v="First Class"/>
    <x v="0"/>
    <s v="United States"/>
    <s v="Colorado Springs"/>
    <x v="22"/>
    <n v="80906"/>
    <x v="1"/>
    <x v="1"/>
    <x v="6"/>
    <n v="11.327999999999999"/>
    <n v="2"/>
    <n v="0.2"/>
    <n v="2.5488"/>
  </r>
  <r>
    <s v="First Class"/>
    <x v="0"/>
    <s v="United States"/>
    <s v="New York City"/>
    <x v="15"/>
    <n v="10009"/>
    <x v="3"/>
    <x v="1"/>
    <x v="6"/>
    <n v="21.24"/>
    <n v="3"/>
    <n v="0"/>
    <n v="8.0711999999999993"/>
  </r>
  <r>
    <s v="Standard Class"/>
    <x v="0"/>
    <s v="United States"/>
    <s v="Philadelphia"/>
    <x v="9"/>
    <n v="19140"/>
    <x v="3"/>
    <x v="2"/>
    <x v="11"/>
    <n v="34.799999999999997"/>
    <n v="3"/>
    <n v="0.2"/>
    <n v="2.1749999999999998"/>
  </r>
  <r>
    <s v="Standard Class"/>
    <x v="0"/>
    <s v="United States"/>
    <s v="Philadelphia"/>
    <x v="9"/>
    <n v="19140"/>
    <x v="3"/>
    <x v="1"/>
    <x v="4"/>
    <n v="38.975999999999999"/>
    <n v="3"/>
    <n v="0.2"/>
    <n v="-2.4359999999999999"/>
  </r>
  <r>
    <s v="Standard Class"/>
    <x v="1"/>
    <s v="United States"/>
    <s v="Columbus"/>
    <x v="14"/>
    <n v="47201"/>
    <x v="2"/>
    <x v="1"/>
    <x v="10"/>
    <n v="9.08"/>
    <n v="2"/>
    <n v="0"/>
    <n v="4.0860000000000003"/>
  </r>
  <r>
    <s v="Standard Class"/>
    <x v="1"/>
    <s v="United States"/>
    <s v="Columbus"/>
    <x v="14"/>
    <n v="47201"/>
    <x v="2"/>
    <x v="1"/>
    <x v="10"/>
    <n v="314.55"/>
    <n v="3"/>
    <n v="0"/>
    <n v="150.98400000000001"/>
  </r>
  <r>
    <s v="Standard Class"/>
    <x v="1"/>
    <s v="United States"/>
    <s v="Columbus"/>
    <x v="14"/>
    <n v="47201"/>
    <x v="2"/>
    <x v="1"/>
    <x v="8"/>
    <n v="4.91"/>
    <n v="1"/>
    <n v="0"/>
    <n v="2.3077000000000001"/>
  </r>
  <r>
    <s v="Standard Class"/>
    <x v="2"/>
    <s v="United States"/>
    <s v="Los Angeles"/>
    <x v="1"/>
    <n v="90004"/>
    <x v="1"/>
    <x v="1"/>
    <x v="2"/>
    <n v="5.78"/>
    <n v="2"/>
    <n v="0"/>
    <n v="2.7166000000000001"/>
  </r>
  <r>
    <s v="Standard Class"/>
    <x v="2"/>
    <s v="United States"/>
    <s v="Los Angeles"/>
    <x v="1"/>
    <n v="90004"/>
    <x v="1"/>
    <x v="1"/>
    <x v="6"/>
    <n v="107.94"/>
    <n v="6"/>
    <n v="0"/>
    <n v="30.223199999999999"/>
  </r>
  <r>
    <s v="First Class"/>
    <x v="0"/>
    <s v="United States"/>
    <s v="New York City"/>
    <x v="15"/>
    <n v="10024"/>
    <x v="3"/>
    <x v="1"/>
    <x v="10"/>
    <n v="19.649999999999999"/>
    <n v="3"/>
    <n v="0"/>
    <n v="9.0389999999999997"/>
  </r>
  <r>
    <s v="First Class"/>
    <x v="0"/>
    <s v="United States"/>
    <s v="New York City"/>
    <x v="15"/>
    <n v="10024"/>
    <x v="3"/>
    <x v="2"/>
    <x v="7"/>
    <n v="617.97"/>
    <n v="3"/>
    <n v="0"/>
    <n v="160.6722"/>
  </r>
  <r>
    <s v="First Class"/>
    <x v="0"/>
    <s v="United States"/>
    <s v="New York City"/>
    <x v="15"/>
    <n v="10024"/>
    <x v="3"/>
    <x v="1"/>
    <x v="9"/>
    <n v="59.7"/>
    <n v="3"/>
    <n v="0"/>
    <n v="26.864999999999998"/>
  </r>
  <r>
    <s v="Standard Class"/>
    <x v="1"/>
    <s v="United States"/>
    <s v="Lawrence"/>
    <x v="31"/>
    <n v="1841"/>
    <x v="3"/>
    <x v="1"/>
    <x v="8"/>
    <n v="387.99"/>
    <n v="1"/>
    <n v="0"/>
    <n v="182.3553"/>
  </r>
  <r>
    <s v="Standard Class"/>
    <x v="0"/>
    <s v="United States"/>
    <s v="San Francisco"/>
    <x v="1"/>
    <n v="94122"/>
    <x v="1"/>
    <x v="2"/>
    <x v="7"/>
    <n v="575.91999999999996"/>
    <n v="2"/>
    <n v="0.2"/>
    <n v="71.989999999999995"/>
  </r>
  <r>
    <s v="Standard Class"/>
    <x v="0"/>
    <s v="United States"/>
    <s v="San Francisco"/>
    <x v="1"/>
    <n v="94122"/>
    <x v="1"/>
    <x v="1"/>
    <x v="13"/>
    <n v="30.4"/>
    <n v="5"/>
    <n v="0"/>
    <n v="15.2"/>
  </r>
  <r>
    <s v="Second Class"/>
    <x v="0"/>
    <s v="United States"/>
    <s v="Detroit"/>
    <x v="12"/>
    <n v="48205"/>
    <x v="2"/>
    <x v="1"/>
    <x v="8"/>
    <n v="478.24"/>
    <n v="8"/>
    <n v="0"/>
    <n v="219.99039999999999"/>
  </r>
  <r>
    <s v="Standard Class"/>
    <x v="0"/>
    <s v="United States"/>
    <s v="Hamilton"/>
    <x v="24"/>
    <n v="45011"/>
    <x v="3"/>
    <x v="0"/>
    <x v="5"/>
    <n v="190.84800000000001"/>
    <n v="3"/>
    <n v="0.2"/>
    <n v="-21.470400000000001"/>
  </r>
  <r>
    <s v="Standard Class"/>
    <x v="0"/>
    <s v="United States"/>
    <s v="Columbus"/>
    <x v="24"/>
    <n v="43229"/>
    <x v="3"/>
    <x v="1"/>
    <x v="8"/>
    <n v="5.484"/>
    <n v="4"/>
    <n v="0.7"/>
    <n v="-4.0216000000000003"/>
  </r>
  <r>
    <s v="Second Class"/>
    <x v="0"/>
    <s v="United States"/>
    <s v="Chicago"/>
    <x v="10"/>
    <n v="60610"/>
    <x v="2"/>
    <x v="1"/>
    <x v="14"/>
    <n v="40.92"/>
    <n v="5"/>
    <n v="0.2"/>
    <n v="3.069"/>
  </r>
  <r>
    <s v="Standard Class"/>
    <x v="0"/>
    <s v="United States"/>
    <s v="Margate"/>
    <x v="2"/>
    <n v="33063"/>
    <x v="0"/>
    <x v="1"/>
    <x v="6"/>
    <n v="15.552"/>
    <n v="3"/>
    <n v="0.2"/>
    <n v="2.3328000000000002"/>
  </r>
  <r>
    <s v="First Class"/>
    <x v="1"/>
    <s v="United States"/>
    <s v="Sandy Springs"/>
    <x v="32"/>
    <n v="30328"/>
    <x v="0"/>
    <x v="1"/>
    <x v="9"/>
    <n v="17.239999999999998"/>
    <n v="2"/>
    <n v="0"/>
    <n v="4.4824000000000002"/>
  </r>
  <r>
    <s v="First Class"/>
    <x v="1"/>
    <s v="United States"/>
    <s v="Sandy Springs"/>
    <x v="32"/>
    <n v="30328"/>
    <x v="0"/>
    <x v="0"/>
    <x v="0"/>
    <n v="302.94"/>
    <n v="3"/>
    <n v="0"/>
    <n v="75.734999999999999"/>
  </r>
  <r>
    <s v="First Class"/>
    <x v="1"/>
    <s v="United States"/>
    <s v="Sandy Springs"/>
    <x v="32"/>
    <n v="30328"/>
    <x v="0"/>
    <x v="2"/>
    <x v="7"/>
    <n v="34.75"/>
    <n v="5"/>
    <n v="0"/>
    <n v="15.637499999999999"/>
  </r>
  <r>
    <s v="First Class"/>
    <x v="1"/>
    <s v="United States"/>
    <s v="Sandy Springs"/>
    <x v="32"/>
    <n v="30328"/>
    <x v="0"/>
    <x v="1"/>
    <x v="8"/>
    <n v="113.94"/>
    <n v="6"/>
    <n v="0"/>
    <n v="54.691200000000002"/>
  </r>
  <r>
    <s v="First Class"/>
    <x v="1"/>
    <s v="United States"/>
    <s v="Sandy Springs"/>
    <x v="32"/>
    <n v="30328"/>
    <x v="0"/>
    <x v="2"/>
    <x v="7"/>
    <n v="55.98"/>
    <n v="2"/>
    <n v="0"/>
    <n v="15.6744"/>
  </r>
  <r>
    <s v="Standard Class"/>
    <x v="1"/>
    <s v="United States"/>
    <s v="Albuquerque"/>
    <x v="27"/>
    <n v="87105"/>
    <x v="1"/>
    <x v="1"/>
    <x v="10"/>
    <n v="27.18"/>
    <n v="3"/>
    <n v="0"/>
    <n v="12.231"/>
  </r>
  <r>
    <s v="Standard Class"/>
    <x v="0"/>
    <s v="United States"/>
    <s v="Tulsa"/>
    <x v="26"/>
    <n v="74133"/>
    <x v="2"/>
    <x v="0"/>
    <x v="1"/>
    <n v="1805.88"/>
    <n v="6"/>
    <n v="0"/>
    <n v="523.70519999999999"/>
  </r>
  <r>
    <s v="Same Day"/>
    <x v="0"/>
    <s v="United States"/>
    <s v="Orange"/>
    <x v="30"/>
    <n v="7050"/>
    <x v="3"/>
    <x v="1"/>
    <x v="6"/>
    <n v="70.95"/>
    <n v="3"/>
    <n v="0"/>
    <n v="18.446999999999999"/>
  </r>
  <r>
    <s v="Second Class"/>
    <x v="0"/>
    <s v="United States"/>
    <s v="Henderson"/>
    <x v="0"/>
    <n v="42420"/>
    <x v="0"/>
    <x v="1"/>
    <x v="13"/>
    <n v="20"/>
    <n v="4"/>
    <n v="0"/>
    <n v="9.6"/>
  </r>
  <r>
    <s v="Second Class"/>
    <x v="0"/>
    <s v="United States"/>
    <s v="Henderson"/>
    <x v="0"/>
    <n v="42420"/>
    <x v="0"/>
    <x v="1"/>
    <x v="6"/>
    <n v="7.98"/>
    <n v="3"/>
    <n v="0"/>
    <n v="2.0748000000000002"/>
  </r>
  <r>
    <s v="Second Class"/>
    <x v="0"/>
    <s v="United States"/>
    <s v="Henderson"/>
    <x v="0"/>
    <n v="42420"/>
    <x v="0"/>
    <x v="0"/>
    <x v="5"/>
    <n v="24.1"/>
    <n v="5"/>
    <n v="0"/>
    <n v="9.1579999999999995"/>
  </r>
  <r>
    <s v="Second Class"/>
    <x v="0"/>
    <s v="United States"/>
    <s v="Henderson"/>
    <x v="0"/>
    <n v="42420"/>
    <x v="0"/>
    <x v="1"/>
    <x v="6"/>
    <n v="8.75"/>
    <n v="1"/>
    <n v="0"/>
    <n v="2.625"/>
  </r>
  <r>
    <s v="Second Class"/>
    <x v="0"/>
    <s v="United States"/>
    <s v="Henderson"/>
    <x v="0"/>
    <n v="42420"/>
    <x v="0"/>
    <x v="0"/>
    <x v="3"/>
    <n v="842.94"/>
    <n v="3"/>
    <n v="0"/>
    <n v="160.15860000000001"/>
  </r>
  <r>
    <s v="Standard Class"/>
    <x v="0"/>
    <s v="United States"/>
    <s v="Chicago"/>
    <x v="10"/>
    <n v="60653"/>
    <x v="2"/>
    <x v="1"/>
    <x v="8"/>
    <n v="2.1819999999999999"/>
    <n v="1"/>
    <n v="0.8"/>
    <n v="-3.6002999999999998"/>
  </r>
  <r>
    <s v="Standard Class"/>
    <x v="0"/>
    <s v="United States"/>
    <s v="Chicago"/>
    <x v="10"/>
    <n v="60653"/>
    <x v="2"/>
    <x v="1"/>
    <x v="6"/>
    <n v="27.384"/>
    <n v="7"/>
    <n v="0.2"/>
    <n v="2.7383999999999999"/>
  </r>
  <r>
    <s v="Standard Class"/>
    <x v="0"/>
    <s v="United States"/>
    <s v="Chicago"/>
    <x v="10"/>
    <n v="60653"/>
    <x v="2"/>
    <x v="1"/>
    <x v="9"/>
    <n v="26.405999999999999"/>
    <n v="3"/>
    <n v="0.8"/>
    <n v="-71.296199999999999"/>
  </r>
  <r>
    <s v="Standard Class"/>
    <x v="0"/>
    <s v="United States"/>
    <s v="Port Arthur"/>
    <x v="5"/>
    <n v="77642"/>
    <x v="2"/>
    <x v="1"/>
    <x v="10"/>
    <n v="10.368"/>
    <n v="2"/>
    <n v="0.2"/>
    <n v="3.6288"/>
  </r>
  <r>
    <s v="Standard Class"/>
    <x v="0"/>
    <s v="United States"/>
    <s v="Port Arthur"/>
    <x v="5"/>
    <n v="77642"/>
    <x v="2"/>
    <x v="1"/>
    <x v="10"/>
    <n v="23.68"/>
    <n v="4"/>
    <n v="0.2"/>
    <n v="7.4"/>
  </r>
  <r>
    <s v="Standard Class"/>
    <x v="0"/>
    <s v="United States"/>
    <s v="Westland"/>
    <x v="12"/>
    <n v="48185"/>
    <x v="2"/>
    <x v="2"/>
    <x v="11"/>
    <n v="109.95"/>
    <n v="1"/>
    <n v="0"/>
    <n v="36.283499999999997"/>
  </r>
  <r>
    <s v="Standard Class"/>
    <x v="0"/>
    <s v="United States"/>
    <s v="Westland"/>
    <x v="12"/>
    <n v="48185"/>
    <x v="2"/>
    <x v="1"/>
    <x v="4"/>
    <n v="965.85"/>
    <n v="5"/>
    <n v="0"/>
    <n v="135.21899999999999"/>
  </r>
  <r>
    <s v="Standard Class"/>
    <x v="0"/>
    <s v="United States"/>
    <s v="Westland"/>
    <x v="12"/>
    <n v="48185"/>
    <x v="2"/>
    <x v="1"/>
    <x v="6"/>
    <n v="29.2"/>
    <n v="5"/>
    <n v="0"/>
    <n v="10.512"/>
  </r>
  <r>
    <s v="Standard Class"/>
    <x v="0"/>
    <s v="United States"/>
    <s v="Westland"/>
    <x v="12"/>
    <n v="48185"/>
    <x v="2"/>
    <x v="1"/>
    <x v="10"/>
    <n v="32.4"/>
    <n v="5"/>
    <n v="0"/>
    <n v="15.552"/>
  </r>
  <r>
    <s v="Standard Class"/>
    <x v="2"/>
    <s v="United States"/>
    <s v="Bloomington"/>
    <x v="14"/>
    <n v="47401"/>
    <x v="2"/>
    <x v="1"/>
    <x v="12"/>
    <n v="78.349999999999994"/>
    <n v="5"/>
    <n v="0"/>
    <n v="36.8245"/>
  </r>
  <r>
    <s v="Standard Class"/>
    <x v="2"/>
    <s v="United States"/>
    <s v="Bloomington"/>
    <x v="14"/>
    <n v="47401"/>
    <x v="2"/>
    <x v="1"/>
    <x v="10"/>
    <n v="31.68"/>
    <n v="6"/>
    <n v="0"/>
    <n v="14.256"/>
  </r>
  <r>
    <s v="Standard Class"/>
    <x v="2"/>
    <s v="United States"/>
    <s v="Bloomington"/>
    <x v="14"/>
    <n v="47401"/>
    <x v="2"/>
    <x v="1"/>
    <x v="8"/>
    <n v="29.12"/>
    <n v="4"/>
    <n v="0"/>
    <n v="14.268800000000001"/>
  </r>
  <r>
    <s v="Standard Class"/>
    <x v="2"/>
    <s v="United States"/>
    <s v="Bloomington"/>
    <x v="14"/>
    <n v="47401"/>
    <x v="2"/>
    <x v="1"/>
    <x v="4"/>
    <n v="169.45"/>
    <n v="5"/>
    <n v="0"/>
    <n v="42.362499999999997"/>
  </r>
  <r>
    <s v="Standard Class"/>
    <x v="0"/>
    <s v="United States"/>
    <s v="Los Angeles"/>
    <x v="1"/>
    <n v="90032"/>
    <x v="1"/>
    <x v="0"/>
    <x v="5"/>
    <n v="12.56"/>
    <n v="2"/>
    <n v="0"/>
    <n v="4.0191999999999997"/>
  </r>
  <r>
    <s v="Standard Class"/>
    <x v="0"/>
    <s v="United States"/>
    <s v="Los Angeles"/>
    <x v="1"/>
    <n v="90032"/>
    <x v="1"/>
    <x v="1"/>
    <x v="10"/>
    <n v="6.48"/>
    <n v="1"/>
    <n v="0"/>
    <n v="3.1103999999999998"/>
  </r>
  <r>
    <s v="Standard Class"/>
    <x v="0"/>
    <s v="United States"/>
    <s v="Los Angeles"/>
    <x v="1"/>
    <n v="90032"/>
    <x v="1"/>
    <x v="1"/>
    <x v="12"/>
    <n v="186.69"/>
    <n v="3"/>
    <n v="0"/>
    <n v="87.744299999999996"/>
  </r>
  <r>
    <s v="First Class"/>
    <x v="0"/>
    <s v="United States"/>
    <s v="San Francisco"/>
    <x v="1"/>
    <n v="94109"/>
    <x v="1"/>
    <x v="0"/>
    <x v="5"/>
    <n v="25.4"/>
    <n v="5"/>
    <n v="0"/>
    <n v="8.6359999999999992"/>
  </r>
  <r>
    <s v="First Class"/>
    <x v="0"/>
    <s v="United States"/>
    <s v="San Francisco"/>
    <x v="1"/>
    <n v="94109"/>
    <x v="1"/>
    <x v="1"/>
    <x v="12"/>
    <n v="43.96"/>
    <n v="2"/>
    <n v="0"/>
    <n v="20.661200000000001"/>
  </r>
  <r>
    <s v="First Class"/>
    <x v="0"/>
    <s v="United States"/>
    <s v="San Francisco"/>
    <x v="1"/>
    <n v="94109"/>
    <x v="1"/>
    <x v="0"/>
    <x v="0"/>
    <n v="1279.165"/>
    <n v="5"/>
    <n v="0.15"/>
    <n v="225.73500000000001"/>
  </r>
  <r>
    <s v="First Class"/>
    <x v="0"/>
    <s v="United States"/>
    <s v="San Francisco"/>
    <x v="1"/>
    <n v="94109"/>
    <x v="1"/>
    <x v="1"/>
    <x v="4"/>
    <n v="27.92"/>
    <n v="4"/>
    <n v="0"/>
    <n v="0.55840000000000001"/>
  </r>
  <r>
    <s v="Standard Class"/>
    <x v="2"/>
    <s v="United States"/>
    <s v="San Francisco"/>
    <x v="1"/>
    <n v="94110"/>
    <x v="1"/>
    <x v="0"/>
    <x v="1"/>
    <n v="129.56800000000001"/>
    <n v="2"/>
    <n v="0.2"/>
    <n v="-12.956799999999999"/>
  </r>
  <r>
    <s v="Standard Class"/>
    <x v="2"/>
    <s v="United States"/>
    <s v="San Francisco"/>
    <x v="1"/>
    <n v="94110"/>
    <x v="1"/>
    <x v="1"/>
    <x v="8"/>
    <n v="6.3680000000000003"/>
    <n v="2"/>
    <n v="0.2"/>
    <n v="2.1492"/>
  </r>
  <r>
    <s v="Standard Class"/>
    <x v="0"/>
    <s v="United States"/>
    <s v="San Jose"/>
    <x v="1"/>
    <n v="95123"/>
    <x v="1"/>
    <x v="1"/>
    <x v="10"/>
    <n v="244.55"/>
    <n v="5"/>
    <n v="0"/>
    <n v="114.9385"/>
  </r>
  <r>
    <s v="Standard Class"/>
    <x v="0"/>
    <s v="United States"/>
    <s v="Denver"/>
    <x v="22"/>
    <n v="80219"/>
    <x v="1"/>
    <x v="1"/>
    <x v="14"/>
    <n v="1332.4960000000001"/>
    <n v="2"/>
    <n v="0.2"/>
    <n v="-299.8116"/>
  </r>
  <r>
    <s v="First Class"/>
    <x v="2"/>
    <s v="United States"/>
    <s v="Aurora"/>
    <x v="22"/>
    <n v="80013"/>
    <x v="1"/>
    <x v="0"/>
    <x v="5"/>
    <n v="32.776000000000003"/>
    <n v="1"/>
    <n v="0.2"/>
    <n v="3.2776000000000001"/>
  </r>
  <r>
    <s v="First Class"/>
    <x v="2"/>
    <s v="United States"/>
    <s v="Aurora"/>
    <x v="22"/>
    <n v="80013"/>
    <x v="1"/>
    <x v="1"/>
    <x v="4"/>
    <n v="147.184"/>
    <n v="2"/>
    <n v="0.2"/>
    <n v="-29.436800000000002"/>
  </r>
  <r>
    <s v="First Class"/>
    <x v="2"/>
    <s v="United States"/>
    <s v="Aurora"/>
    <x v="22"/>
    <n v="80013"/>
    <x v="1"/>
    <x v="2"/>
    <x v="11"/>
    <n v="54.384"/>
    <n v="2"/>
    <n v="0.2"/>
    <n v="1.3595999999999999"/>
  </r>
  <r>
    <s v="First Class"/>
    <x v="2"/>
    <s v="United States"/>
    <s v="Aurora"/>
    <x v="22"/>
    <n v="80013"/>
    <x v="1"/>
    <x v="1"/>
    <x v="8"/>
    <n v="76.775999999999996"/>
    <n v="4"/>
    <n v="0.7"/>
    <n v="-58.861600000000003"/>
  </r>
  <r>
    <s v="First Class"/>
    <x v="2"/>
    <s v="United States"/>
    <s v="Aurora"/>
    <x v="22"/>
    <n v="80013"/>
    <x v="1"/>
    <x v="1"/>
    <x v="10"/>
    <n v="14.352"/>
    <n v="3"/>
    <n v="0.2"/>
    <n v="5.2026000000000003"/>
  </r>
  <r>
    <s v="First Class"/>
    <x v="2"/>
    <s v="United States"/>
    <s v="Aurora"/>
    <x v="22"/>
    <n v="80013"/>
    <x v="1"/>
    <x v="1"/>
    <x v="9"/>
    <n v="209.792"/>
    <n v="2"/>
    <n v="0.2"/>
    <n v="26.224"/>
  </r>
  <r>
    <s v="Standard Class"/>
    <x v="1"/>
    <s v="United States"/>
    <s v="Boise"/>
    <x v="45"/>
    <n v="83704"/>
    <x v="1"/>
    <x v="1"/>
    <x v="8"/>
    <n v="3.3039999999999998"/>
    <n v="1"/>
    <n v="0.2"/>
    <n v="1.1151"/>
  </r>
  <r>
    <s v="Standard Class"/>
    <x v="0"/>
    <s v="United States"/>
    <s v="New York City"/>
    <x v="15"/>
    <n v="10035"/>
    <x v="3"/>
    <x v="1"/>
    <x v="6"/>
    <n v="16.38"/>
    <n v="9"/>
    <n v="0"/>
    <n v="7.3710000000000004"/>
  </r>
  <r>
    <s v="Standard Class"/>
    <x v="0"/>
    <s v="United States"/>
    <s v="New York City"/>
    <x v="15"/>
    <n v="10035"/>
    <x v="3"/>
    <x v="1"/>
    <x v="12"/>
    <n v="167.96"/>
    <n v="2"/>
    <n v="0"/>
    <n v="78.941199999999995"/>
  </r>
  <r>
    <s v="Standard Class"/>
    <x v="0"/>
    <s v="United States"/>
    <s v="New York City"/>
    <x v="15"/>
    <n v="10035"/>
    <x v="3"/>
    <x v="0"/>
    <x v="0"/>
    <n v="321.56799999999998"/>
    <n v="2"/>
    <n v="0.2"/>
    <n v="-16.078399999999998"/>
  </r>
  <r>
    <s v="Standard Class"/>
    <x v="0"/>
    <s v="United States"/>
    <s v="New York City"/>
    <x v="15"/>
    <n v="10035"/>
    <x v="3"/>
    <x v="1"/>
    <x v="10"/>
    <n v="12.96"/>
    <n v="2"/>
    <n v="0"/>
    <n v="6.2207999999999997"/>
  </r>
  <r>
    <s v="Standard Class"/>
    <x v="1"/>
    <s v="United States"/>
    <s v="Philadelphia"/>
    <x v="9"/>
    <n v="19140"/>
    <x v="3"/>
    <x v="0"/>
    <x v="1"/>
    <n v="128.05799999999999"/>
    <n v="3"/>
    <n v="0.3"/>
    <n v="-23.7822"/>
  </r>
  <r>
    <s v="Same Day"/>
    <x v="2"/>
    <s v="United States"/>
    <s v="Mentor"/>
    <x v="24"/>
    <n v="44060"/>
    <x v="3"/>
    <x v="0"/>
    <x v="1"/>
    <n v="63.686"/>
    <n v="1"/>
    <n v="0.3"/>
    <n v="-15.4666"/>
  </r>
  <r>
    <s v="Same Day"/>
    <x v="2"/>
    <s v="United States"/>
    <s v="Mentor"/>
    <x v="24"/>
    <n v="44060"/>
    <x v="3"/>
    <x v="2"/>
    <x v="11"/>
    <n v="239.976"/>
    <n v="3"/>
    <n v="0.2"/>
    <n v="65.993399999999994"/>
  </r>
  <r>
    <s v="Same Day"/>
    <x v="2"/>
    <s v="United States"/>
    <s v="Mentor"/>
    <x v="24"/>
    <n v="44060"/>
    <x v="3"/>
    <x v="0"/>
    <x v="3"/>
    <n v="344.22"/>
    <n v="2"/>
    <n v="0.4"/>
    <n v="-189.321"/>
  </r>
  <r>
    <s v="Same Day"/>
    <x v="2"/>
    <s v="United States"/>
    <s v="Mentor"/>
    <x v="24"/>
    <n v="44060"/>
    <x v="3"/>
    <x v="1"/>
    <x v="10"/>
    <n v="15.552"/>
    <n v="3"/>
    <n v="0.2"/>
    <n v="5.4432"/>
  </r>
  <r>
    <s v="Same Day"/>
    <x v="2"/>
    <s v="United States"/>
    <s v="Mentor"/>
    <x v="24"/>
    <n v="44060"/>
    <x v="3"/>
    <x v="0"/>
    <x v="5"/>
    <n v="21.248000000000001"/>
    <n v="4"/>
    <n v="0.2"/>
    <n v="7.4367999999999999"/>
  </r>
  <r>
    <s v="Same Day"/>
    <x v="2"/>
    <s v="United States"/>
    <s v="Mentor"/>
    <x v="24"/>
    <n v="44060"/>
    <x v="3"/>
    <x v="1"/>
    <x v="10"/>
    <n v="8.4480000000000004"/>
    <n v="2"/>
    <n v="0.2"/>
    <n v="2.64"/>
  </r>
  <r>
    <s v="Same Day"/>
    <x v="0"/>
    <s v="United States"/>
    <s v="Lawton"/>
    <x v="26"/>
    <n v="73505"/>
    <x v="2"/>
    <x v="1"/>
    <x v="4"/>
    <n v="333.09"/>
    <n v="3"/>
    <n v="0"/>
    <n v="23.316299999999998"/>
  </r>
  <r>
    <s v="Same Day"/>
    <x v="0"/>
    <s v="United States"/>
    <s v="Lawton"/>
    <x v="26"/>
    <n v="73505"/>
    <x v="2"/>
    <x v="0"/>
    <x v="3"/>
    <n v="248.98"/>
    <n v="2"/>
    <n v="0"/>
    <n v="54.775599999999997"/>
  </r>
  <r>
    <s v="Standard Class"/>
    <x v="0"/>
    <s v="United States"/>
    <s v="New York City"/>
    <x v="15"/>
    <n v="10024"/>
    <x v="3"/>
    <x v="1"/>
    <x v="10"/>
    <n v="24.9"/>
    <n v="5"/>
    <n v="0"/>
    <n v="11.702999999999999"/>
  </r>
  <r>
    <s v="Standard Class"/>
    <x v="0"/>
    <s v="United States"/>
    <s v="Los Angeles"/>
    <x v="1"/>
    <n v="90049"/>
    <x v="1"/>
    <x v="1"/>
    <x v="13"/>
    <n v="15.26"/>
    <n v="7"/>
    <n v="0"/>
    <n v="5.0358000000000001"/>
  </r>
  <r>
    <s v="Standard Class"/>
    <x v="0"/>
    <s v="United States"/>
    <s v="Los Angeles"/>
    <x v="1"/>
    <n v="90049"/>
    <x v="1"/>
    <x v="1"/>
    <x v="9"/>
    <n v="43.32"/>
    <n v="2"/>
    <n v="0"/>
    <n v="14.2956"/>
  </r>
  <r>
    <s v="Standard Class"/>
    <x v="0"/>
    <s v="United States"/>
    <s v="Los Angeles"/>
    <x v="1"/>
    <n v="90049"/>
    <x v="1"/>
    <x v="1"/>
    <x v="8"/>
    <n v="43.584000000000003"/>
    <n v="12"/>
    <n v="0.2"/>
    <n v="15.799200000000001"/>
  </r>
  <r>
    <s v="Standard Class"/>
    <x v="0"/>
    <s v="United States"/>
    <s v="Los Angeles"/>
    <x v="1"/>
    <n v="90049"/>
    <x v="1"/>
    <x v="1"/>
    <x v="10"/>
    <n v="116.28"/>
    <n v="3"/>
    <n v="0"/>
    <n v="56.977200000000003"/>
  </r>
  <r>
    <s v="Standard Class"/>
    <x v="0"/>
    <s v="United States"/>
    <s v="Los Angeles"/>
    <x v="1"/>
    <n v="90049"/>
    <x v="1"/>
    <x v="1"/>
    <x v="8"/>
    <n v="9.2959999999999994"/>
    <n v="2"/>
    <n v="0.2"/>
    <n v="3.0211999999999999"/>
  </r>
  <r>
    <s v="Standard Class"/>
    <x v="0"/>
    <s v="United States"/>
    <s v="Los Angeles"/>
    <x v="1"/>
    <n v="90049"/>
    <x v="1"/>
    <x v="1"/>
    <x v="10"/>
    <n v="19.440000000000001"/>
    <n v="3"/>
    <n v="0"/>
    <n v="9.3312000000000008"/>
  </r>
  <r>
    <s v="Standard Class"/>
    <x v="0"/>
    <s v="United States"/>
    <s v="Los Angeles"/>
    <x v="1"/>
    <n v="90049"/>
    <x v="1"/>
    <x v="1"/>
    <x v="10"/>
    <n v="314.55"/>
    <n v="3"/>
    <n v="0"/>
    <n v="150.98400000000001"/>
  </r>
  <r>
    <s v="Standard Class"/>
    <x v="2"/>
    <s v="United States"/>
    <s v="Houston"/>
    <x v="5"/>
    <n v="77036"/>
    <x v="2"/>
    <x v="1"/>
    <x v="8"/>
    <n v="16.27"/>
    <n v="5"/>
    <n v="0.8"/>
    <n v="-25.218499999999999"/>
  </r>
  <r>
    <s v="Standard Class"/>
    <x v="2"/>
    <s v="United States"/>
    <s v="Houston"/>
    <x v="5"/>
    <n v="77036"/>
    <x v="2"/>
    <x v="1"/>
    <x v="14"/>
    <n v="69.12"/>
    <n v="9"/>
    <n v="0.2"/>
    <n v="-14.688000000000001"/>
  </r>
  <r>
    <s v="Standard Class"/>
    <x v="2"/>
    <s v="United States"/>
    <s v="Houston"/>
    <x v="5"/>
    <n v="77036"/>
    <x v="2"/>
    <x v="1"/>
    <x v="8"/>
    <n v="4.47"/>
    <n v="3"/>
    <n v="0.8"/>
    <n v="-7.8224999999999998"/>
  </r>
  <r>
    <s v="Standard Class"/>
    <x v="0"/>
    <s v="United States"/>
    <s v="Los Angeles"/>
    <x v="1"/>
    <n v="90032"/>
    <x v="1"/>
    <x v="0"/>
    <x v="3"/>
    <n v="418.29599999999999"/>
    <n v="3"/>
    <n v="0.2"/>
    <n v="5.2286999999999999"/>
  </r>
  <r>
    <s v="Second Class"/>
    <x v="0"/>
    <s v="United States"/>
    <s v="Columbus"/>
    <x v="24"/>
    <n v="43229"/>
    <x v="3"/>
    <x v="2"/>
    <x v="16"/>
    <n v="659.98800000000006"/>
    <n v="2"/>
    <n v="0.4"/>
    <n v="109.998"/>
  </r>
  <r>
    <s v="Second Class"/>
    <x v="0"/>
    <s v="United States"/>
    <s v="Columbus"/>
    <x v="24"/>
    <n v="43229"/>
    <x v="3"/>
    <x v="0"/>
    <x v="5"/>
    <n v="8.1280000000000001"/>
    <n v="2"/>
    <n v="0.2"/>
    <n v="1.4224000000000001"/>
  </r>
  <r>
    <s v="Second Class"/>
    <x v="0"/>
    <s v="United States"/>
    <s v="Columbus"/>
    <x v="24"/>
    <n v="43229"/>
    <x v="3"/>
    <x v="1"/>
    <x v="10"/>
    <n v="36.287999999999997"/>
    <n v="7"/>
    <n v="0.2"/>
    <n v="12.700799999999999"/>
  </r>
  <r>
    <s v="Second Class"/>
    <x v="0"/>
    <s v="United States"/>
    <s v="Columbus"/>
    <x v="24"/>
    <n v="43229"/>
    <x v="3"/>
    <x v="0"/>
    <x v="1"/>
    <n v="909.72"/>
    <n v="6"/>
    <n v="0.3"/>
    <n v="-51.984000000000002"/>
  </r>
  <r>
    <s v="Standard Class"/>
    <x v="0"/>
    <s v="United States"/>
    <s v="Los Angeles"/>
    <x v="1"/>
    <n v="90032"/>
    <x v="1"/>
    <x v="0"/>
    <x v="0"/>
    <n v="917.92349999999999"/>
    <n v="9"/>
    <n v="0.15"/>
    <n v="75.593699999999998"/>
  </r>
  <r>
    <s v="Standard Class"/>
    <x v="0"/>
    <s v="United States"/>
    <s v="Los Angeles"/>
    <x v="1"/>
    <n v="90032"/>
    <x v="1"/>
    <x v="1"/>
    <x v="10"/>
    <n v="38.880000000000003"/>
    <n v="6"/>
    <n v="0"/>
    <n v="19.051200000000001"/>
  </r>
  <r>
    <s v="Standard Class"/>
    <x v="0"/>
    <s v="United States"/>
    <s v="Philadelphia"/>
    <x v="9"/>
    <n v="19140"/>
    <x v="3"/>
    <x v="1"/>
    <x v="8"/>
    <n v="631.17600000000004"/>
    <n v="4"/>
    <n v="0.7"/>
    <n v="-462.86239999999998"/>
  </r>
  <r>
    <s v="Standard Class"/>
    <x v="1"/>
    <s v="United States"/>
    <s v="San Francisco"/>
    <x v="1"/>
    <n v="94110"/>
    <x v="1"/>
    <x v="1"/>
    <x v="10"/>
    <n v="12.96"/>
    <n v="2"/>
    <n v="0"/>
    <n v="6.2207999999999997"/>
  </r>
  <r>
    <s v="Standard Class"/>
    <x v="1"/>
    <s v="United States"/>
    <s v="Bakersfield"/>
    <x v="1"/>
    <n v="93309"/>
    <x v="1"/>
    <x v="1"/>
    <x v="10"/>
    <n v="12.96"/>
    <n v="2"/>
    <n v="0"/>
    <n v="6.2207999999999997"/>
  </r>
  <r>
    <s v="Standard Class"/>
    <x v="1"/>
    <s v="United States"/>
    <s v="Bakersfield"/>
    <x v="1"/>
    <n v="93309"/>
    <x v="1"/>
    <x v="1"/>
    <x v="8"/>
    <n v="23.2"/>
    <n v="5"/>
    <n v="0.2"/>
    <n v="8.1199999999999992"/>
  </r>
  <r>
    <s v="Standard Class"/>
    <x v="1"/>
    <s v="United States"/>
    <s v="Houston"/>
    <x v="5"/>
    <n v="77095"/>
    <x v="2"/>
    <x v="1"/>
    <x v="10"/>
    <n v="25.92"/>
    <n v="5"/>
    <n v="0.2"/>
    <n v="9.0719999999999992"/>
  </r>
  <r>
    <s v="Standard Class"/>
    <x v="1"/>
    <s v="United States"/>
    <s v="Houston"/>
    <x v="5"/>
    <n v="77095"/>
    <x v="2"/>
    <x v="1"/>
    <x v="13"/>
    <n v="21.312000000000001"/>
    <n v="6"/>
    <n v="0.2"/>
    <n v="7.1928000000000001"/>
  </r>
  <r>
    <s v="Standard Class"/>
    <x v="2"/>
    <s v="United States"/>
    <s v="Los Angeles"/>
    <x v="1"/>
    <n v="90045"/>
    <x v="1"/>
    <x v="2"/>
    <x v="7"/>
    <n v="173.65600000000001"/>
    <n v="7"/>
    <n v="0.2"/>
    <n v="17.365600000000001"/>
  </r>
  <r>
    <s v="Standard Class"/>
    <x v="2"/>
    <s v="United States"/>
    <s v="Los Angeles"/>
    <x v="1"/>
    <n v="90045"/>
    <x v="1"/>
    <x v="1"/>
    <x v="9"/>
    <n v="361.96"/>
    <n v="2"/>
    <n v="0"/>
    <n v="101.3488"/>
  </r>
  <r>
    <s v="Standard Class"/>
    <x v="2"/>
    <s v="United States"/>
    <s v="Los Angeles"/>
    <x v="1"/>
    <n v="90045"/>
    <x v="1"/>
    <x v="2"/>
    <x v="11"/>
    <n v="62.85"/>
    <n v="3"/>
    <n v="0"/>
    <n v="13.198499999999999"/>
  </r>
  <r>
    <s v="Standard Class"/>
    <x v="2"/>
    <s v="United States"/>
    <s v="Los Angeles"/>
    <x v="1"/>
    <n v="90045"/>
    <x v="1"/>
    <x v="2"/>
    <x v="7"/>
    <n v="818.37599999999998"/>
    <n v="3"/>
    <n v="0.2"/>
    <n v="51.148499999999999"/>
  </r>
  <r>
    <s v="Standard Class"/>
    <x v="2"/>
    <s v="United States"/>
    <s v="Los Angeles"/>
    <x v="1"/>
    <n v="90045"/>
    <x v="1"/>
    <x v="1"/>
    <x v="4"/>
    <n v="20.34"/>
    <n v="1"/>
    <n v="0"/>
    <n v="0.2034"/>
  </r>
  <r>
    <s v="Standard Class"/>
    <x v="2"/>
    <s v="United States"/>
    <s v="Los Angeles"/>
    <x v="1"/>
    <n v="90045"/>
    <x v="1"/>
    <x v="0"/>
    <x v="5"/>
    <n v="23.99"/>
    <n v="1"/>
    <n v="0"/>
    <n v="5.5176999999999996"/>
  </r>
  <r>
    <s v="Standard Class"/>
    <x v="0"/>
    <s v="United States"/>
    <s v="Los Angeles"/>
    <x v="1"/>
    <n v="90036"/>
    <x v="1"/>
    <x v="0"/>
    <x v="3"/>
    <n v="171.28800000000001"/>
    <n v="3"/>
    <n v="0.2"/>
    <n v="-6.4233000000000002"/>
  </r>
  <r>
    <s v="Standard Class"/>
    <x v="1"/>
    <s v="United States"/>
    <s v="Springfield"/>
    <x v="25"/>
    <n v="65807"/>
    <x v="2"/>
    <x v="0"/>
    <x v="5"/>
    <n v="37.299999999999997"/>
    <n v="2"/>
    <n v="0"/>
    <n v="17.158000000000001"/>
  </r>
  <r>
    <s v="Standard Class"/>
    <x v="1"/>
    <s v="United States"/>
    <s v="Springfield"/>
    <x v="25"/>
    <n v="65807"/>
    <x v="2"/>
    <x v="1"/>
    <x v="8"/>
    <n v="81.96"/>
    <n v="2"/>
    <n v="0"/>
    <n v="39.340800000000002"/>
  </r>
  <r>
    <s v="First Class"/>
    <x v="0"/>
    <s v="United States"/>
    <s v="Phoenix"/>
    <x v="16"/>
    <n v="85023"/>
    <x v="1"/>
    <x v="1"/>
    <x v="8"/>
    <n v="54.792000000000002"/>
    <n v="6"/>
    <n v="0.7"/>
    <n v="-40.180799999999998"/>
  </r>
  <r>
    <s v="First Class"/>
    <x v="0"/>
    <s v="United States"/>
    <s v="Houston"/>
    <x v="5"/>
    <n v="77070"/>
    <x v="2"/>
    <x v="1"/>
    <x v="4"/>
    <n v="10.784000000000001"/>
    <n v="1"/>
    <n v="0.2"/>
    <n v="0.80879999999999996"/>
  </r>
  <r>
    <s v="Second Class"/>
    <x v="0"/>
    <s v="United States"/>
    <s v="Hampton"/>
    <x v="17"/>
    <n v="23666"/>
    <x v="0"/>
    <x v="0"/>
    <x v="1"/>
    <n v="290.98"/>
    <n v="1"/>
    <n v="0"/>
    <n v="75.654799999999994"/>
  </r>
  <r>
    <s v="Standard Class"/>
    <x v="2"/>
    <s v="United States"/>
    <s v="Tulsa"/>
    <x v="26"/>
    <n v="74133"/>
    <x v="2"/>
    <x v="1"/>
    <x v="6"/>
    <n v="36.44"/>
    <n v="4"/>
    <n v="0"/>
    <n v="12.0252"/>
  </r>
  <r>
    <s v="Standard Class"/>
    <x v="0"/>
    <s v="United States"/>
    <s v="Seattle"/>
    <x v="4"/>
    <n v="98105"/>
    <x v="1"/>
    <x v="1"/>
    <x v="10"/>
    <n v="21.4"/>
    <n v="5"/>
    <n v="0"/>
    <n v="10.058"/>
  </r>
  <r>
    <s v="Standard Class"/>
    <x v="0"/>
    <s v="United States"/>
    <s v="Seattle"/>
    <x v="4"/>
    <n v="98105"/>
    <x v="1"/>
    <x v="1"/>
    <x v="8"/>
    <n v="48.664000000000001"/>
    <n v="7"/>
    <n v="0.2"/>
    <n v="15.815799999999999"/>
  </r>
  <r>
    <s v="Standard Class"/>
    <x v="0"/>
    <s v="United States"/>
    <s v="San Francisco"/>
    <x v="1"/>
    <n v="94109"/>
    <x v="1"/>
    <x v="1"/>
    <x v="6"/>
    <n v="16.559999999999999"/>
    <n v="4"/>
    <n v="0"/>
    <n v="6.9551999999999996"/>
  </r>
  <r>
    <s v="Standard Class"/>
    <x v="1"/>
    <s v="United States"/>
    <s v="Jacksonville"/>
    <x v="2"/>
    <n v="32216"/>
    <x v="0"/>
    <x v="1"/>
    <x v="4"/>
    <n v="1347.52"/>
    <n v="8"/>
    <n v="0.2"/>
    <n v="84.22"/>
  </r>
  <r>
    <s v="Standard Class"/>
    <x v="1"/>
    <s v="United States"/>
    <s v="Richmond"/>
    <x v="14"/>
    <n v="47374"/>
    <x v="2"/>
    <x v="2"/>
    <x v="11"/>
    <n v="62.31"/>
    <n v="3"/>
    <n v="0"/>
    <n v="22.4316"/>
  </r>
  <r>
    <s v="Standard Class"/>
    <x v="1"/>
    <s v="United States"/>
    <s v="Richmond"/>
    <x v="14"/>
    <n v="47374"/>
    <x v="2"/>
    <x v="0"/>
    <x v="5"/>
    <n v="20.32"/>
    <n v="4"/>
    <n v="0"/>
    <n v="6.9088000000000003"/>
  </r>
  <r>
    <s v="Second Class"/>
    <x v="1"/>
    <s v="United States"/>
    <s v="Louisville"/>
    <x v="22"/>
    <n v="80027"/>
    <x v="1"/>
    <x v="1"/>
    <x v="13"/>
    <n v="9.4320000000000004"/>
    <n v="3"/>
    <n v="0.2"/>
    <n v="3.0653999999999999"/>
  </r>
  <r>
    <s v="Standard Class"/>
    <x v="0"/>
    <s v="United States"/>
    <s v="New York City"/>
    <x v="15"/>
    <n v="10024"/>
    <x v="3"/>
    <x v="1"/>
    <x v="2"/>
    <n v="34.86"/>
    <n v="7"/>
    <n v="0"/>
    <n v="16.035599999999999"/>
  </r>
  <r>
    <s v="Standard Class"/>
    <x v="0"/>
    <s v="United States"/>
    <s v="New York City"/>
    <x v="15"/>
    <n v="10024"/>
    <x v="3"/>
    <x v="0"/>
    <x v="5"/>
    <n v="89.34"/>
    <n v="6"/>
    <n v="0"/>
    <n v="24.1218"/>
  </r>
  <r>
    <s v="Standard Class"/>
    <x v="2"/>
    <s v="United States"/>
    <s v="Rome"/>
    <x v="15"/>
    <n v="13440"/>
    <x v="3"/>
    <x v="2"/>
    <x v="7"/>
    <n v="269.98"/>
    <n v="2"/>
    <n v="0"/>
    <n v="67.495000000000005"/>
  </r>
  <r>
    <s v="Standard Class"/>
    <x v="2"/>
    <s v="United States"/>
    <s v="Rome"/>
    <x v="15"/>
    <n v="13440"/>
    <x v="3"/>
    <x v="1"/>
    <x v="10"/>
    <n v="99.9"/>
    <n v="5"/>
    <n v="0"/>
    <n v="47.951999999999998"/>
  </r>
  <r>
    <s v="Standard Class"/>
    <x v="2"/>
    <s v="United States"/>
    <s v="Rome"/>
    <x v="15"/>
    <n v="13440"/>
    <x v="3"/>
    <x v="0"/>
    <x v="5"/>
    <n v="39.08"/>
    <n v="4"/>
    <n v="0"/>
    <n v="14.4596"/>
  </r>
  <r>
    <s v="Second Class"/>
    <x v="1"/>
    <s v="United States"/>
    <s v="Marion"/>
    <x v="24"/>
    <n v="43302"/>
    <x v="3"/>
    <x v="2"/>
    <x v="11"/>
    <n v="116.83199999999999"/>
    <n v="4"/>
    <n v="0.2"/>
    <n v="33.589199999999998"/>
  </r>
  <r>
    <s v="Standard Class"/>
    <x v="0"/>
    <s v="United States"/>
    <s v="Houston"/>
    <x v="5"/>
    <n v="77041"/>
    <x v="2"/>
    <x v="1"/>
    <x v="8"/>
    <n v="2.2959999999999998"/>
    <n v="2"/>
    <n v="0.8"/>
    <n v="-3.9032"/>
  </r>
  <r>
    <s v="First Class"/>
    <x v="0"/>
    <s v="United States"/>
    <s v="New York City"/>
    <x v="15"/>
    <n v="10009"/>
    <x v="3"/>
    <x v="0"/>
    <x v="1"/>
    <n v="408.00599999999997"/>
    <n v="2"/>
    <n v="0.1"/>
    <n v="72.534400000000005"/>
  </r>
  <r>
    <s v="First Class"/>
    <x v="0"/>
    <s v="United States"/>
    <s v="New York City"/>
    <x v="15"/>
    <n v="10009"/>
    <x v="3"/>
    <x v="1"/>
    <x v="4"/>
    <n v="40.44"/>
    <n v="3"/>
    <n v="0"/>
    <n v="10.5144"/>
  </r>
  <r>
    <s v="Same Day"/>
    <x v="2"/>
    <s v="United States"/>
    <s v="Manteca"/>
    <x v="1"/>
    <n v="95336"/>
    <x v="1"/>
    <x v="0"/>
    <x v="1"/>
    <n v="122.352"/>
    <n v="3"/>
    <n v="0.2"/>
    <n v="13.7646"/>
  </r>
  <r>
    <s v="Same Day"/>
    <x v="2"/>
    <s v="United States"/>
    <s v="Manteca"/>
    <x v="1"/>
    <n v="95336"/>
    <x v="1"/>
    <x v="1"/>
    <x v="12"/>
    <n v="15.28"/>
    <n v="2"/>
    <n v="0"/>
    <n v="7.4871999999999996"/>
  </r>
  <r>
    <s v="Standard Class"/>
    <x v="1"/>
    <s v="United States"/>
    <s v="Los Angeles"/>
    <x v="1"/>
    <n v="90004"/>
    <x v="1"/>
    <x v="1"/>
    <x v="10"/>
    <n v="11.96"/>
    <n v="2"/>
    <n v="0"/>
    <n v="5.8604000000000003"/>
  </r>
  <r>
    <s v="Standard Class"/>
    <x v="2"/>
    <s v="United States"/>
    <s v="Seattle"/>
    <x v="4"/>
    <n v="98115"/>
    <x v="1"/>
    <x v="0"/>
    <x v="5"/>
    <n v="15.84"/>
    <n v="3"/>
    <n v="0"/>
    <n v="4.9104000000000001"/>
  </r>
  <r>
    <s v="Standard Class"/>
    <x v="2"/>
    <s v="United States"/>
    <s v="Seattle"/>
    <x v="4"/>
    <n v="98115"/>
    <x v="1"/>
    <x v="1"/>
    <x v="8"/>
    <n v="86.376000000000005"/>
    <n v="3"/>
    <n v="0.2"/>
    <n v="30.2316"/>
  </r>
  <r>
    <s v="Standard Class"/>
    <x v="2"/>
    <s v="United States"/>
    <s v="Seattle"/>
    <x v="4"/>
    <n v="98115"/>
    <x v="1"/>
    <x v="1"/>
    <x v="6"/>
    <n v="18.239999999999998"/>
    <n v="3"/>
    <n v="0"/>
    <n v="6.2016"/>
  </r>
  <r>
    <s v="Standard Class"/>
    <x v="2"/>
    <s v="United States"/>
    <s v="Seattle"/>
    <x v="4"/>
    <n v="98115"/>
    <x v="1"/>
    <x v="1"/>
    <x v="6"/>
    <n v="13.12"/>
    <n v="4"/>
    <n v="0"/>
    <n v="4.3296000000000001"/>
  </r>
  <r>
    <s v="Standard Class"/>
    <x v="1"/>
    <s v="United States"/>
    <s v="Providence"/>
    <x v="34"/>
    <n v="2908"/>
    <x v="3"/>
    <x v="2"/>
    <x v="7"/>
    <n v="105.98"/>
    <n v="2"/>
    <n v="0"/>
    <n v="1.0598000000000001"/>
  </r>
  <r>
    <s v="Standard Class"/>
    <x v="1"/>
    <s v="United States"/>
    <s v="Providence"/>
    <x v="34"/>
    <n v="2908"/>
    <x v="3"/>
    <x v="0"/>
    <x v="3"/>
    <n v="493.92"/>
    <n v="7"/>
    <n v="0.3"/>
    <n v="-28.224"/>
  </r>
  <r>
    <s v="Standard Class"/>
    <x v="1"/>
    <s v="United States"/>
    <s v="Chicago"/>
    <x v="10"/>
    <n v="60653"/>
    <x v="2"/>
    <x v="1"/>
    <x v="8"/>
    <n v="5.9359999999999999"/>
    <n v="7"/>
    <n v="0.8"/>
    <n v="-8.9039999999999999"/>
  </r>
  <r>
    <s v="First Class"/>
    <x v="0"/>
    <s v="United States"/>
    <s v="Oklahoma City"/>
    <x v="26"/>
    <n v="73120"/>
    <x v="2"/>
    <x v="1"/>
    <x v="12"/>
    <n v="325.86"/>
    <n v="2"/>
    <n v="0"/>
    <n v="149.8956"/>
  </r>
  <r>
    <s v="Second Class"/>
    <x v="0"/>
    <s v="United States"/>
    <s v="Chicago"/>
    <x v="10"/>
    <n v="60610"/>
    <x v="2"/>
    <x v="0"/>
    <x v="1"/>
    <n v="383.60700000000003"/>
    <n v="9"/>
    <n v="0.3"/>
    <n v="-5.4801000000000002"/>
  </r>
  <r>
    <s v="Second Class"/>
    <x v="0"/>
    <s v="United States"/>
    <s v="Chicago"/>
    <x v="10"/>
    <n v="60610"/>
    <x v="2"/>
    <x v="2"/>
    <x v="7"/>
    <n v="148.47999999999999"/>
    <n v="2"/>
    <n v="0.2"/>
    <n v="16.704000000000001"/>
  </r>
  <r>
    <s v="Second Class"/>
    <x v="0"/>
    <s v="United States"/>
    <s v="Chicago"/>
    <x v="10"/>
    <n v="60610"/>
    <x v="2"/>
    <x v="2"/>
    <x v="7"/>
    <n v="537.54399999999998"/>
    <n v="7"/>
    <n v="0.2"/>
    <n v="53.754399999999997"/>
  </r>
  <r>
    <s v="Second Class"/>
    <x v="0"/>
    <s v="United States"/>
    <s v="Chicago"/>
    <x v="10"/>
    <n v="60610"/>
    <x v="2"/>
    <x v="1"/>
    <x v="8"/>
    <n v="1.9279999999999999"/>
    <n v="2"/>
    <n v="0.8"/>
    <n v="-2.9883999999999999"/>
  </r>
  <r>
    <s v="Second Class"/>
    <x v="0"/>
    <s v="United States"/>
    <s v="Chicago"/>
    <x v="10"/>
    <n v="60610"/>
    <x v="2"/>
    <x v="1"/>
    <x v="6"/>
    <n v="6.9119999999999999"/>
    <n v="3"/>
    <n v="0.2"/>
    <n v="0.69120000000000004"/>
  </r>
  <r>
    <s v="Second Class"/>
    <x v="0"/>
    <s v="United States"/>
    <s v="Chicago"/>
    <x v="10"/>
    <n v="60610"/>
    <x v="2"/>
    <x v="0"/>
    <x v="5"/>
    <n v="7.76"/>
    <n v="1"/>
    <n v="0.6"/>
    <n v="-2.1339999999999999"/>
  </r>
  <r>
    <s v="Second Class"/>
    <x v="0"/>
    <s v="United States"/>
    <s v="Chicago"/>
    <x v="10"/>
    <n v="60610"/>
    <x v="2"/>
    <x v="2"/>
    <x v="7"/>
    <n v="659.16800000000001"/>
    <n v="4"/>
    <n v="0.2"/>
    <n v="49.437600000000003"/>
  </r>
  <r>
    <s v="First Class"/>
    <x v="0"/>
    <s v="United States"/>
    <s v="Manchester"/>
    <x v="29"/>
    <n v="6040"/>
    <x v="3"/>
    <x v="1"/>
    <x v="2"/>
    <n v="5.76"/>
    <n v="2"/>
    <n v="0"/>
    <n v="2.8224"/>
  </r>
  <r>
    <s v="Standard Class"/>
    <x v="1"/>
    <s v="United States"/>
    <s v="Los Angeles"/>
    <x v="1"/>
    <n v="90049"/>
    <x v="1"/>
    <x v="0"/>
    <x v="3"/>
    <n v="351.21600000000001"/>
    <n v="3"/>
    <n v="0.2"/>
    <n v="4.3902000000000001"/>
  </r>
  <r>
    <s v="Standard Class"/>
    <x v="0"/>
    <s v="United States"/>
    <s v="San Francisco"/>
    <x v="1"/>
    <n v="94122"/>
    <x v="1"/>
    <x v="0"/>
    <x v="1"/>
    <n v="230.28"/>
    <n v="3"/>
    <n v="0.2"/>
    <n v="23.027999999999999"/>
  </r>
  <r>
    <s v="Standard Class"/>
    <x v="0"/>
    <s v="United States"/>
    <s v="San Francisco"/>
    <x v="1"/>
    <n v="94122"/>
    <x v="1"/>
    <x v="1"/>
    <x v="10"/>
    <n v="12.84"/>
    <n v="3"/>
    <n v="0"/>
    <n v="5.7779999999999996"/>
  </r>
  <r>
    <s v="Second Class"/>
    <x v="0"/>
    <s v="United States"/>
    <s v="La Crosse"/>
    <x v="6"/>
    <n v="54601"/>
    <x v="2"/>
    <x v="1"/>
    <x v="8"/>
    <n v="56.82"/>
    <n v="3"/>
    <n v="0"/>
    <n v="28.41"/>
  </r>
  <r>
    <s v="First Class"/>
    <x v="0"/>
    <s v="United States"/>
    <s v="Florence"/>
    <x v="20"/>
    <n v="29501"/>
    <x v="0"/>
    <x v="1"/>
    <x v="13"/>
    <n v="31.56"/>
    <n v="4"/>
    <n v="0"/>
    <n v="14.202"/>
  </r>
  <r>
    <s v="First Class"/>
    <x v="0"/>
    <s v="United States"/>
    <s v="Florence"/>
    <x v="20"/>
    <n v="29501"/>
    <x v="0"/>
    <x v="1"/>
    <x v="4"/>
    <n v="27.92"/>
    <n v="4"/>
    <n v="0"/>
    <n v="0.55840000000000001"/>
  </r>
  <r>
    <s v="Standard Class"/>
    <x v="0"/>
    <s v="United States"/>
    <s v="Glendale"/>
    <x v="16"/>
    <n v="85301"/>
    <x v="1"/>
    <x v="1"/>
    <x v="8"/>
    <n v="8.5589999999999993"/>
    <n v="1"/>
    <n v="0.7"/>
    <n v="-6.5618999999999996"/>
  </r>
  <r>
    <s v="Standard Class"/>
    <x v="1"/>
    <s v="United States"/>
    <s v="El Paso"/>
    <x v="5"/>
    <n v="79907"/>
    <x v="2"/>
    <x v="1"/>
    <x v="12"/>
    <n v="49.567999999999998"/>
    <n v="2"/>
    <n v="0.2"/>
    <n v="17.968399999999999"/>
  </r>
  <r>
    <s v="First Class"/>
    <x v="0"/>
    <s v="United States"/>
    <s v="San Antonio"/>
    <x v="5"/>
    <n v="78207"/>
    <x v="2"/>
    <x v="0"/>
    <x v="1"/>
    <n v="127.869"/>
    <n v="3"/>
    <n v="0.3"/>
    <n v="-9.1334999999999997"/>
  </r>
  <r>
    <s v="Second Class"/>
    <x v="1"/>
    <s v="United States"/>
    <s v="Los Angeles"/>
    <x v="1"/>
    <n v="90049"/>
    <x v="1"/>
    <x v="1"/>
    <x v="12"/>
    <n v="271.44"/>
    <n v="3"/>
    <n v="0"/>
    <n v="122.148"/>
  </r>
  <r>
    <s v="Second Class"/>
    <x v="1"/>
    <s v="United States"/>
    <s v="Los Angeles"/>
    <x v="1"/>
    <n v="90049"/>
    <x v="1"/>
    <x v="2"/>
    <x v="7"/>
    <n v="110.352"/>
    <n v="3"/>
    <n v="0.2"/>
    <n v="8.2764000000000006"/>
  </r>
  <r>
    <s v="Second Class"/>
    <x v="1"/>
    <s v="United States"/>
    <s v="Los Angeles"/>
    <x v="1"/>
    <n v="90049"/>
    <x v="1"/>
    <x v="0"/>
    <x v="5"/>
    <n v="36.4"/>
    <n v="5"/>
    <n v="0"/>
    <n v="13.832000000000001"/>
  </r>
  <r>
    <s v="Standard Class"/>
    <x v="2"/>
    <s v="United States"/>
    <s v="Miramar"/>
    <x v="2"/>
    <n v="33023"/>
    <x v="0"/>
    <x v="0"/>
    <x v="1"/>
    <n v="419.13600000000002"/>
    <n v="4"/>
    <n v="0.2"/>
    <n v="-57.6312"/>
  </r>
  <r>
    <s v="Standard Class"/>
    <x v="1"/>
    <s v="United States"/>
    <s v="Mesa"/>
    <x v="16"/>
    <n v="85204"/>
    <x v="1"/>
    <x v="1"/>
    <x v="4"/>
    <n v="100.70399999999999"/>
    <n v="6"/>
    <n v="0.2"/>
    <n v="-1.2587999999999999"/>
  </r>
  <r>
    <s v="Standard Class"/>
    <x v="0"/>
    <s v="United States"/>
    <s v="Fayetteville"/>
    <x v="3"/>
    <n v="28314"/>
    <x v="0"/>
    <x v="1"/>
    <x v="9"/>
    <n v="45.216000000000001"/>
    <n v="3"/>
    <n v="0.2"/>
    <n v="4.5216000000000003"/>
  </r>
  <r>
    <s v="Standard Class"/>
    <x v="0"/>
    <s v="United States"/>
    <s v="Fayetteville"/>
    <x v="3"/>
    <n v="28314"/>
    <x v="0"/>
    <x v="1"/>
    <x v="8"/>
    <n v="28.782"/>
    <n v="6"/>
    <n v="0.7"/>
    <n v="-21.1068"/>
  </r>
  <r>
    <s v="Standard Class"/>
    <x v="0"/>
    <s v="United States"/>
    <s v="Fayetteville"/>
    <x v="3"/>
    <n v="28314"/>
    <x v="0"/>
    <x v="1"/>
    <x v="10"/>
    <n v="24.448"/>
    <n v="4"/>
    <n v="0.2"/>
    <n v="8.8623999999999992"/>
  </r>
  <r>
    <s v="Standard Class"/>
    <x v="0"/>
    <s v="United States"/>
    <s v="Houston"/>
    <x v="5"/>
    <n v="77095"/>
    <x v="2"/>
    <x v="1"/>
    <x v="8"/>
    <n v="10.476000000000001"/>
    <n v="6"/>
    <n v="0.8"/>
    <n v="-17.285399999999999"/>
  </r>
  <r>
    <s v="Second Class"/>
    <x v="2"/>
    <s v="United States"/>
    <s v="San Jose"/>
    <x v="1"/>
    <n v="95123"/>
    <x v="1"/>
    <x v="0"/>
    <x v="5"/>
    <n v="76.14"/>
    <n v="3"/>
    <n v="0"/>
    <n v="26.649000000000001"/>
  </r>
  <r>
    <s v="Second Class"/>
    <x v="2"/>
    <s v="United States"/>
    <s v="Wichita"/>
    <x v="41"/>
    <n v="67212"/>
    <x v="2"/>
    <x v="1"/>
    <x v="6"/>
    <n v="21.24"/>
    <n v="3"/>
    <n v="0"/>
    <n v="8.0711999999999993"/>
  </r>
  <r>
    <s v="Second Class"/>
    <x v="2"/>
    <s v="United States"/>
    <s v="Wichita"/>
    <x v="41"/>
    <n v="67212"/>
    <x v="2"/>
    <x v="1"/>
    <x v="8"/>
    <n v="127.96"/>
    <n v="2"/>
    <n v="0"/>
    <n v="60.141199999999998"/>
  </r>
  <r>
    <s v="Standard Class"/>
    <x v="2"/>
    <s v="United States"/>
    <s v="Los Angeles"/>
    <x v="1"/>
    <n v="90036"/>
    <x v="1"/>
    <x v="2"/>
    <x v="16"/>
    <n v="479.98399999999998"/>
    <n v="2"/>
    <n v="0.2"/>
    <n v="89.997"/>
  </r>
  <r>
    <s v="Standard Class"/>
    <x v="2"/>
    <s v="United States"/>
    <s v="Jackson"/>
    <x v="12"/>
    <n v="49201"/>
    <x v="2"/>
    <x v="2"/>
    <x v="7"/>
    <n v="657.93"/>
    <n v="7"/>
    <n v="0"/>
    <n v="184.22040000000001"/>
  </r>
  <r>
    <s v="Standard Class"/>
    <x v="2"/>
    <s v="United States"/>
    <s v="Jackson"/>
    <x v="12"/>
    <n v="49201"/>
    <x v="2"/>
    <x v="0"/>
    <x v="5"/>
    <n v="33.479999999999997"/>
    <n v="4"/>
    <n v="0"/>
    <n v="8.7048000000000005"/>
  </r>
  <r>
    <s v="Standard Class"/>
    <x v="2"/>
    <s v="United States"/>
    <s v="Jackson"/>
    <x v="12"/>
    <n v="49201"/>
    <x v="2"/>
    <x v="1"/>
    <x v="6"/>
    <n v="13.9"/>
    <n v="5"/>
    <n v="0"/>
    <n v="3.6139999999999999"/>
  </r>
  <r>
    <s v="Standard Class"/>
    <x v="2"/>
    <s v="United States"/>
    <s v="Jackson"/>
    <x v="12"/>
    <n v="49201"/>
    <x v="2"/>
    <x v="1"/>
    <x v="4"/>
    <n v="26.86"/>
    <n v="2"/>
    <n v="0"/>
    <n v="6.7149999999999999"/>
  </r>
  <r>
    <s v="Standard Class"/>
    <x v="0"/>
    <s v="United States"/>
    <s v="Lewiston"/>
    <x v="45"/>
    <n v="83501"/>
    <x v="1"/>
    <x v="1"/>
    <x v="8"/>
    <n v="9.5839999999999996"/>
    <n v="1"/>
    <n v="0.2"/>
    <n v="3.3544"/>
  </r>
  <r>
    <s v="Standard Class"/>
    <x v="2"/>
    <s v="United States"/>
    <s v="Hampton"/>
    <x v="17"/>
    <n v="23666"/>
    <x v="0"/>
    <x v="1"/>
    <x v="8"/>
    <n v="113.1"/>
    <n v="3"/>
    <n v="0"/>
    <n v="56.55"/>
  </r>
  <r>
    <s v="Standard Class"/>
    <x v="1"/>
    <s v="United States"/>
    <s v="New York City"/>
    <x v="15"/>
    <n v="10035"/>
    <x v="3"/>
    <x v="1"/>
    <x v="10"/>
    <n v="65.78"/>
    <n v="11"/>
    <n v="0"/>
    <n v="32.232199999999999"/>
  </r>
  <r>
    <s v="Standard Class"/>
    <x v="1"/>
    <s v="United States"/>
    <s v="Hattiesburg"/>
    <x v="35"/>
    <n v="39401"/>
    <x v="0"/>
    <x v="2"/>
    <x v="11"/>
    <n v="239.7"/>
    <n v="6"/>
    <n v="0"/>
    <n v="105.468"/>
  </r>
  <r>
    <s v="First Class"/>
    <x v="2"/>
    <s v="United States"/>
    <s v="Philadelphia"/>
    <x v="9"/>
    <n v="19140"/>
    <x v="3"/>
    <x v="0"/>
    <x v="5"/>
    <n v="25.632000000000001"/>
    <n v="3"/>
    <n v="0.2"/>
    <n v="3.8448000000000002"/>
  </r>
  <r>
    <s v="First Class"/>
    <x v="0"/>
    <s v="United States"/>
    <s v="Philadelphia"/>
    <x v="9"/>
    <n v="19140"/>
    <x v="3"/>
    <x v="1"/>
    <x v="2"/>
    <n v="23.616"/>
    <n v="8"/>
    <n v="0.2"/>
    <n v="7.9703999999999997"/>
  </r>
  <r>
    <s v="Second Class"/>
    <x v="1"/>
    <s v="United States"/>
    <s v="Los Angeles"/>
    <x v="1"/>
    <n v="90045"/>
    <x v="1"/>
    <x v="1"/>
    <x v="6"/>
    <n v="8.26"/>
    <n v="2"/>
    <n v="0"/>
    <n v="3.7995999999999999"/>
  </r>
  <r>
    <s v="Second Class"/>
    <x v="2"/>
    <s v="United States"/>
    <s v="Danville"/>
    <x v="1"/>
    <n v="94526"/>
    <x v="1"/>
    <x v="1"/>
    <x v="12"/>
    <n v="76.58"/>
    <n v="7"/>
    <n v="0"/>
    <n v="38.29"/>
  </r>
  <r>
    <s v="Second Class"/>
    <x v="2"/>
    <s v="United States"/>
    <s v="Danville"/>
    <x v="1"/>
    <n v="94526"/>
    <x v="1"/>
    <x v="1"/>
    <x v="6"/>
    <n v="8.8000000000000007"/>
    <n v="5"/>
    <n v="0"/>
    <n v="4.2240000000000002"/>
  </r>
  <r>
    <s v="Second Class"/>
    <x v="2"/>
    <s v="United States"/>
    <s v="Danville"/>
    <x v="1"/>
    <n v="94526"/>
    <x v="1"/>
    <x v="1"/>
    <x v="8"/>
    <n v="590.35199999999998"/>
    <n v="6"/>
    <n v="0.2"/>
    <n v="206.6232"/>
  </r>
  <r>
    <s v="Second Class"/>
    <x v="2"/>
    <s v="United States"/>
    <s v="Danville"/>
    <x v="1"/>
    <n v="94526"/>
    <x v="1"/>
    <x v="1"/>
    <x v="13"/>
    <n v="5.58"/>
    <n v="3"/>
    <n v="0"/>
    <n v="0.16739999999999999"/>
  </r>
  <r>
    <s v="Second Class"/>
    <x v="2"/>
    <s v="United States"/>
    <s v="Danville"/>
    <x v="1"/>
    <n v="94526"/>
    <x v="1"/>
    <x v="0"/>
    <x v="5"/>
    <n v="25.02"/>
    <n v="3"/>
    <n v="0"/>
    <n v="10.5084"/>
  </r>
  <r>
    <s v="Second Class"/>
    <x v="2"/>
    <s v="United States"/>
    <s v="Danville"/>
    <x v="1"/>
    <n v="94526"/>
    <x v="1"/>
    <x v="1"/>
    <x v="4"/>
    <n v="452.55"/>
    <n v="7"/>
    <n v="0"/>
    <n v="22.627500000000001"/>
  </r>
  <r>
    <s v="Standard Class"/>
    <x v="1"/>
    <s v="United States"/>
    <s v="Los Angeles"/>
    <x v="1"/>
    <n v="90004"/>
    <x v="1"/>
    <x v="1"/>
    <x v="14"/>
    <n v="17.760000000000002"/>
    <n v="2"/>
    <n v="0"/>
    <n v="4.9728000000000003"/>
  </r>
  <r>
    <s v="Standard Class"/>
    <x v="1"/>
    <s v="United States"/>
    <s v="Los Angeles"/>
    <x v="1"/>
    <n v="90004"/>
    <x v="1"/>
    <x v="2"/>
    <x v="7"/>
    <n v="302.38400000000001"/>
    <n v="2"/>
    <n v="0.2"/>
    <n v="30.238399999999999"/>
  </r>
  <r>
    <s v="Standard Class"/>
    <x v="1"/>
    <s v="United States"/>
    <s v="Los Angeles"/>
    <x v="1"/>
    <n v="90004"/>
    <x v="1"/>
    <x v="0"/>
    <x v="1"/>
    <n v="146.352"/>
    <n v="3"/>
    <n v="0.2"/>
    <n v="-5.4882"/>
  </r>
  <r>
    <s v="Standard Class"/>
    <x v="1"/>
    <s v="United States"/>
    <s v="Los Angeles"/>
    <x v="1"/>
    <n v="90004"/>
    <x v="1"/>
    <x v="1"/>
    <x v="9"/>
    <n v="7.9"/>
    <n v="2"/>
    <n v="0"/>
    <n v="2.0539999999999998"/>
  </r>
  <r>
    <s v="Standard Class"/>
    <x v="1"/>
    <s v="United States"/>
    <s v="Los Angeles"/>
    <x v="1"/>
    <n v="90004"/>
    <x v="1"/>
    <x v="0"/>
    <x v="3"/>
    <n v="902.71199999999999"/>
    <n v="3"/>
    <n v="0.2"/>
    <n v="33.851700000000001"/>
  </r>
  <r>
    <s v="Standard Class"/>
    <x v="1"/>
    <s v="United States"/>
    <s v="Los Angeles"/>
    <x v="1"/>
    <n v="90004"/>
    <x v="1"/>
    <x v="1"/>
    <x v="6"/>
    <n v="53.97"/>
    <n v="3"/>
    <n v="0"/>
    <n v="15.111599999999999"/>
  </r>
  <r>
    <s v="Second Class"/>
    <x v="2"/>
    <s v="United States"/>
    <s v="Washington"/>
    <x v="40"/>
    <n v="20016"/>
    <x v="3"/>
    <x v="1"/>
    <x v="6"/>
    <n v="33.92"/>
    <n v="8"/>
    <n v="0"/>
    <n v="13.2288"/>
  </r>
  <r>
    <s v="Standard Class"/>
    <x v="2"/>
    <s v="United States"/>
    <s v="Milwaukee"/>
    <x v="6"/>
    <n v="53209"/>
    <x v="2"/>
    <x v="1"/>
    <x v="14"/>
    <n v="21.81"/>
    <n v="3"/>
    <n v="0"/>
    <n v="5.8887"/>
  </r>
  <r>
    <s v="Standard Class"/>
    <x v="2"/>
    <s v="United States"/>
    <s v="Milwaukee"/>
    <x v="6"/>
    <n v="53209"/>
    <x v="2"/>
    <x v="1"/>
    <x v="9"/>
    <n v="91.6"/>
    <n v="5"/>
    <n v="0"/>
    <n v="26.564"/>
  </r>
  <r>
    <s v="Standard Class"/>
    <x v="2"/>
    <s v="United States"/>
    <s v="Baltimore"/>
    <x v="39"/>
    <n v="21215"/>
    <x v="3"/>
    <x v="0"/>
    <x v="1"/>
    <n v="150.97999999999999"/>
    <n v="1"/>
    <n v="0"/>
    <n v="43.784199999999998"/>
  </r>
  <r>
    <s v="Standard Class"/>
    <x v="2"/>
    <s v="United States"/>
    <s v="Baltimore"/>
    <x v="39"/>
    <n v="21215"/>
    <x v="3"/>
    <x v="1"/>
    <x v="12"/>
    <n v="137.25"/>
    <n v="9"/>
    <n v="0"/>
    <n v="63.134999999999998"/>
  </r>
  <r>
    <s v="Standard Class"/>
    <x v="2"/>
    <s v="United States"/>
    <s v="Baltimore"/>
    <x v="39"/>
    <n v="21215"/>
    <x v="3"/>
    <x v="1"/>
    <x v="13"/>
    <n v="11.52"/>
    <n v="4"/>
    <n v="0"/>
    <n v="5.4143999999999997"/>
  </r>
  <r>
    <s v="Second Class"/>
    <x v="2"/>
    <s v="United States"/>
    <s v="Jacksonville"/>
    <x v="3"/>
    <n v="28540"/>
    <x v="0"/>
    <x v="1"/>
    <x v="10"/>
    <n v="18.271999999999998"/>
    <n v="1"/>
    <n v="0.2"/>
    <n v="5.9383999999999997"/>
  </r>
  <r>
    <s v="Second Class"/>
    <x v="2"/>
    <s v="United States"/>
    <s v="Jacksonville"/>
    <x v="3"/>
    <n v="28540"/>
    <x v="0"/>
    <x v="1"/>
    <x v="10"/>
    <n v="153.72800000000001"/>
    <n v="4"/>
    <n v="0.2"/>
    <n v="53.8048"/>
  </r>
  <r>
    <s v="Second Class"/>
    <x v="2"/>
    <s v="United States"/>
    <s v="Jacksonville"/>
    <x v="3"/>
    <n v="28540"/>
    <x v="0"/>
    <x v="1"/>
    <x v="12"/>
    <n v="12.224"/>
    <n v="2"/>
    <n v="0.2"/>
    <n v="4.4311999999999996"/>
  </r>
  <r>
    <s v="Second Class"/>
    <x v="2"/>
    <s v="United States"/>
    <s v="Jacksonville"/>
    <x v="3"/>
    <n v="28540"/>
    <x v="0"/>
    <x v="2"/>
    <x v="11"/>
    <n v="167.94399999999999"/>
    <n v="7"/>
    <n v="0.2"/>
    <n v="50.383200000000002"/>
  </r>
  <r>
    <s v="Standard Class"/>
    <x v="0"/>
    <s v="United States"/>
    <s v="Rochester"/>
    <x v="15"/>
    <n v="14609"/>
    <x v="3"/>
    <x v="2"/>
    <x v="7"/>
    <n v="45.99"/>
    <n v="1"/>
    <n v="0"/>
    <n v="13.3371"/>
  </r>
  <r>
    <s v="Standard Class"/>
    <x v="0"/>
    <s v="United States"/>
    <s v="Rochester"/>
    <x v="15"/>
    <n v="14609"/>
    <x v="3"/>
    <x v="1"/>
    <x v="4"/>
    <n v="535.41"/>
    <n v="3"/>
    <n v="0"/>
    <n v="160.62299999999999"/>
  </r>
  <r>
    <s v="Standard Class"/>
    <x v="0"/>
    <s v="United States"/>
    <s v="Rochester"/>
    <x v="15"/>
    <n v="14609"/>
    <x v="3"/>
    <x v="1"/>
    <x v="8"/>
    <n v="6.0960000000000001"/>
    <n v="2"/>
    <n v="0.2"/>
    <n v="2.0573999999999999"/>
  </r>
  <r>
    <s v="Standard Class"/>
    <x v="0"/>
    <s v="United States"/>
    <s v="Rochester"/>
    <x v="15"/>
    <n v="14609"/>
    <x v="3"/>
    <x v="1"/>
    <x v="10"/>
    <n v="45.36"/>
    <n v="7"/>
    <n v="0"/>
    <n v="21.7728"/>
  </r>
  <r>
    <s v="Standard Class"/>
    <x v="0"/>
    <s v="United States"/>
    <s v="Oceanside"/>
    <x v="1"/>
    <n v="92054"/>
    <x v="1"/>
    <x v="0"/>
    <x v="5"/>
    <n v="47.12"/>
    <n v="8"/>
    <n v="0"/>
    <n v="20.732800000000001"/>
  </r>
  <r>
    <s v="Second Class"/>
    <x v="1"/>
    <s v="United States"/>
    <s v="Gulfport"/>
    <x v="35"/>
    <n v="39503"/>
    <x v="0"/>
    <x v="1"/>
    <x v="8"/>
    <n v="31.36"/>
    <n v="4"/>
    <n v="0"/>
    <n v="15.68"/>
  </r>
  <r>
    <s v="Standard Class"/>
    <x v="0"/>
    <s v="United States"/>
    <s v="Jacksonville"/>
    <x v="2"/>
    <n v="32216"/>
    <x v="0"/>
    <x v="1"/>
    <x v="6"/>
    <n v="47.616"/>
    <n v="3"/>
    <n v="0.2"/>
    <n v="3.5712000000000002"/>
  </r>
  <r>
    <s v="Standard Class"/>
    <x v="0"/>
    <s v="United States"/>
    <s v="Jacksonville"/>
    <x v="2"/>
    <n v="32216"/>
    <x v="0"/>
    <x v="1"/>
    <x v="10"/>
    <n v="23.48"/>
    <n v="5"/>
    <n v="0.2"/>
    <n v="8.218"/>
  </r>
  <r>
    <s v="Standard Class"/>
    <x v="2"/>
    <s v="United States"/>
    <s v="Houston"/>
    <x v="5"/>
    <n v="77070"/>
    <x v="2"/>
    <x v="1"/>
    <x v="9"/>
    <n v="62.79"/>
    <n v="3"/>
    <n v="0.8"/>
    <n v="-166.39349999999999"/>
  </r>
  <r>
    <s v="Standard Class"/>
    <x v="2"/>
    <s v="United States"/>
    <s v="Houston"/>
    <x v="5"/>
    <n v="77070"/>
    <x v="2"/>
    <x v="1"/>
    <x v="13"/>
    <n v="28.44"/>
    <n v="9"/>
    <n v="0.2"/>
    <n v="4.266"/>
  </r>
  <r>
    <s v="Second Class"/>
    <x v="1"/>
    <s v="United States"/>
    <s v="Houston"/>
    <x v="5"/>
    <n v="77095"/>
    <x v="2"/>
    <x v="2"/>
    <x v="11"/>
    <n v="134.376"/>
    <n v="3"/>
    <n v="0.2"/>
    <n v="6.7187999999999999"/>
  </r>
  <r>
    <s v="Standard Class"/>
    <x v="2"/>
    <s v="United States"/>
    <s v="Everett"/>
    <x v="31"/>
    <n v="2149"/>
    <x v="3"/>
    <x v="2"/>
    <x v="7"/>
    <n v="589.9"/>
    <n v="2"/>
    <n v="0"/>
    <n v="147.47499999999999"/>
  </r>
  <r>
    <s v="Standard Class"/>
    <x v="2"/>
    <s v="United States"/>
    <s v="Everett"/>
    <x v="31"/>
    <n v="2149"/>
    <x v="3"/>
    <x v="0"/>
    <x v="1"/>
    <n v="542.94000000000005"/>
    <n v="3"/>
    <n v="0"/>
    <n v="141.1644"/>
  </r>
  <r>
    <s v="First Class"/>
    <x v="2"/>
    <s v="United States"/>
    <s v="Los Angeles"/>
    <x v="1"/>
    <n v="90049"/>
    <x v="1"/>
    <x v="2"/>
    <x v="16"/>
    <n v="2879.9520000000002"/>
    <n v="6"/>
    <n v="0.2"/>
    <n v="1007.9832"/>
  </r>
  <r>
    <s v="First Class"/>
    <x v="2"/>
    <s v="United States"/>
    <s v="Los Angeles"/>
    <x v="1"/>
    <n v="90049"/>
    <x v="1"/>
    <x v="1"/>
    <x v="8"/>
    <n v="90.48"/>
    <n v="3"/>
    <n v="0.2"/>
    <n v="33.93"/>
  </r>
  <r>
    <s v="Second Class"/>
    <x v="1"/>
    <s v="United States"/>
    <s v="Wilmington"/>
    <x v="13"/>
    <n v="19805"/>
    <x v="3"/>
    <x v="1"/>
    <x v="4"/>
    <n v="77.55"/>
    <n v="5"/>
    <n v="0"/>
    <n v="21.713999999999999"/>
  </r>
  <r>
    <s v="Standard Class"/>
    <x v="0"/>
    <s v="United States"/>
    <s v="Columbia"/>
    <x v="18"/>
    <n v="38401"/>
    <x v="0"/>
    <x v="1"/>
    <x v="14"/>
    <n v="8.8320000000000007"/>
    <n v="3"/>
    <n v="0.2"/>
    <n v="-1.9872000000000001"/>
  </r>
  <r>
    <s v="Standard Class"/>
    <x v="0"/>
    <s v="United States"/>
    <s v="Columbia"/>
    <x v="18"/>
    <n v="38401"/>
    <x v="0"/>
    <x v="1"/>
    <x v="10"/>
    <n v="177.536"/>
    <n v="4"/>
    <n v="0.2"/>
    <n v="62.137599999999999"/>
  </r>
  <r>
    <s v="Standard Class"/>
    <x v="0"/>
    <s v="United States"/>
    <s v="Columbia"/>
    <x v="18"/>
    <n v="38401"/>
    <x v="0"/>
    <x v="1"/>
    <x v="4"/>
    <n v="258.48"/>
    <n v="2"/>
    <n v="0.2"/>
    <n v="-3.2309999999999999"/>
  </r>
  <r>
    <s v="Standard Class"/>
    <x v="0"/>
    <s v="United States"/>
    <s v="Columbia"/>
    <x v="18"/>
    <n v="38401"/>
    <x v="0"/>
    <x v="0"/>
    <x v="5"/>
    <n v="14.135999999999999"/>
    <n v="3"/>
    <n v="0.2"/>
    <n v="4.2408000000000001"/>
  </r>
  <r>
    <s v="Standard Class"/>
    <x v="1"/>
    <s v="United States"/>
    <s v="New York City"/>
    <x v="15"/>
    <n v="10011"/>
    <x v="3"/>
    <x v="1"/>
    <x v="4"/>
    <n v="77.55"/>
    <n v="5"/>
    <n v="0"/>
    <n v="20.163"/>
  </r>
  <r>
    <s v="Standard Class"/>
    <x v="1"/>
    <s v="United States"/>
    <s v="New York City"/>
    <x v="15"/>
    <n v="10011"/>
    <x v="3"/>
    <x v="1"/>
    <x v="4"/>
    <n v="24.88"/>
    <n v="2"/>
    <n v="0"/>
    <n v="6.9664000000000001"/>
  </r>
  <r>
    <s v="Standard Class"/>
    <x v="1"/>
    <s v="United States"/>
    <s v="New York City"/>
    <x v="15"/>
    <n v="10011"/>
    <x v="3"/>
    <x v="1"/>
    <x v="6"/>
    <n v="140.75"/>
    <n v="5"/>
    <n v="0"/>
    <n v="39.409999999999997"/>
  </r>
  <r>
    <s v="Standard Class"/>
    <x v="1"/>
    <s v="United States"/>
    <s v="New York City"/>
    <x v="15"/>
    <n v="10011"/>
    <x v="3"/>
    <x v="1"/>
    <x v="4"/>
    <n v="36.630000000000003"/>
    <n v="3"/>
    <n v="0"/>
    <n v="9.8901000000000003"/>
  </r>
  <r>
    <s v="Same Day"/>
    <x v="0"/>
    <s v="United States"/>
    <s v="Mount Pleasant"/>
    <x v="12"/>
    <n v="48858"/>
    <x v="2"/>
    <x v="0"/>
    <x v="5"/>
    <n v="17.14"/>
    <n v="2"/>
    <n v="0"/>
    <n v="6.1703999999999999"/>
  </r>
  <r>
    <s v="Second Class"/>
    <x v="0"/>
    <s v="United States"/>
    <s v="San Francisco"/>
    <x v="1"/>
    <n v="94122"/>
    <x v="1"/>
    <x v="1"/>
    <x v="2"/>
    <n v="51.75"/>
    <n v="5"/>
    <n v="0"/>
    <n v="24.84"/>
  </r>
  <r>
    <s v="Second Class"/>
    <x v="0"/>
    <s v="United States"/>
    <s v="San Francisco"/>
    <x v="1"/>
    <n v="94122"/>
    <x v="1"/>
    <x v="0"/>
    <x v="5"/>
    <n v="123.96"/>
    <n v="3"/>
    <n v="0"/>
    <n v="11.1564"/>
  </r>
  <r>
    <s v="Standard Class"/>
    <x v="1"/>
    <s v="United States"/>
    <s v="San Francisco"/>
    <x v="1"/>
    <n v="94122"/>
    <x v="1"/>
    <x v="0"/>
    <x v="0"/>
    <n v="586.39800000000002"/>
    <n v="6"/>
    <n v="0.15"/>
    <n v="34.494"/>
  </r>
  <r>
    <s v="Standard Class"/>
    <x v="1"/>
    <s v="United States"/>
    <s v="San Francisco"/>
    <x v="1"/>
    <n v="94122"/>
    <x v="1"/>
    <x v="1"/>
    <x v="4"/>
    <n v="80.98"/>
    <n v="1"/>
    <n v="0"/>
    <n v="3.2391999999999999"/>
  </r>
  <r>
    <s v="Standard Class"/>
    <x v="1"/>
    <s v="United States"/>
    <s v="San Francisco"/>
    <x v="1"/>
    <n v="94122"/>
    <x v="1"/>
    <x v="1"/>
    <x v="4"/>
    <n v="242.94"/>
    <n v="3"/>
    <n v="0"/>
    <n v="9.7175999999999991"/>
  </r>
  <r>
    <s v="First Class"/>
    <x v="0"/>
    <s v="United States"/>
    <s v="Los Angeles"/>
    <x v="1"/>
    <n v="90045"/>
    <x v="1"/>
    <x v="1"/>
    <x v="6"/>
    <n v="123.92"/>
    <n v="4"/>
    <n v="0"/>
    <n v="33.458399999999997"/>
  </r>
  <r>
    <s v="First Class"/>
    <x v="0"/>
    <s v="United States"/>
    <s v="Los Angeles"/>
    <x v="1"/>
    <n v="90045"/>
    <x v="1"/>
    <x v="1"/>
    <x v="6"/>
    <n v="12.39"/>
    <n v="3"/>
    <n v="0"/>
    <n v="5.6993999999999998"/>
  </r>
  <r>
    <s v="First Class"/>
    <x v="0"/>
    <s v="United States"/>
    <s v="Los Angeles"/>
    <x v="1"/>
    <n v="90045"/>
    <x v="1"/>
    <x v="1"/>
    <x v="6"/>
    <n v="47.3"/>
    <n v="2"/>
    <n v="0"/>
    <n v="12.298"/>
  </r>
  <r>
    <s v="Standard Class"/>
    <x v="0"/>
    <s v="United States"/>
    <s v="Newport News"/>
    <x v="17"/>
    <n v="23602"/>
    <x v="0"/>
    <x v="2"/>
    <x v="16"/>
    <n v="1599.92"/>
    <n v="8"/>
    <n v="0"/>
    <n v="751.9624"/>
  </r>
  <r>
    <s v="Standard Class"/>
    <x v="0"/>
    <s v="United States"/>
    <s v="Newport News"/>
    <x v="17"/>
    <n v="23602"/>
    <x v="0"/>
    <x v="1"/>
    <x v="12"/>
    <n v="11.09"/>
    <n v="1"/>
    <n v="0"/>
    <n v="5.4340999999999999"/>
  </r>
  <r>
    <s v="Second Class"/>
    <x v="0"/>
    <s v="United States"/>
    <s v="Fort Collins"/>
    <x v="22"/>
    <n v="80525"/>
    <x v="1"/>
    <x v="1"/>
    <x v="8"/>
    <n v="3.1680000000000001"/>
    <n v="4"/>
    <n v="0.7"/>
    <n v="-2.5344000000000002"/>
  </r>
  <r>
    <s v="Second Class"/>
    <x v="0"/>
    <s v="United States"/>
    <s v="Fort Collins"/>
    <x v="22"/>
    <n v="80525"/>
    <x v="1"/>
    <x v="0"/>
    <x v="1"/>
    <n v="579.13599999999997"/>
    <n v="4"/>
    <n v="0.2"/>
    <n v="-28.956800000000001"/>
  </r>
  <r>
    <s v="Standard Class"/>
    <x v="0"/>
    <s v="United States"/>
    <s v="Seattle"/>
    <x v="4"/>
    <n v="98105"/>
    <x v="1"/>
    <x v="1"/>
    <x v="8"/>
    <n v="6.3680000000000003"/>
    <n v="2"/>
    <n v="0.2"/>
    <n v="2.1492"/>
  </r>
  <r>
    <s v="Standard Class"/>
    <x v="0"/>
    <s v="United States"/>
    <s v="Seattle"/>
    <x v="4"/>
    <n v="98105"/>
    <x v="1"/>
    <x v="2"/>
    <x v="15"/>
    <n v="558.4"/>
    <n v="2"/>
    <n v="0.2"/>
    <n v="41.88"/>
  </r>
  <r>
    <s v="Standard Class"/>
    <x v="2"/>
    <s v="United States"/>
    <s v="New York City"/>
    <x v="15"/>
    <n v="10011"/>
    <x v="3"/>
    <x v="0"/>
    <x v="1"/>
    <n v="145.76400000000001"/>
    <n v="2"/>
    <n v="0.1"/>
    <n v="-8.0980000000000008"/>
  </r>
  <r>
    <s v="Standard Class"/>
    <x v="1"/>
    <s v="United States"/>
    <s v="Richmond"/>
    <x v="17"/>
    <n v="23223"/>
    <x v="0"/>
    <x v="1"/>
    <x v="10"/>
    <n v="13.62"/>
    <n v="3"/>
    <n v="0"/>
    <n v="6.1289999999999996"/>
  </r>
  <r>
    <s v="Standard Class"/>
    <x v="2"/>
    <s v="United States"/>
    <s v="New York City"/>
    <x v="15"/>
    <n v="10009"/>
    <x v="3"/>
    <x v="0"/>
    <x v="1"/>
    <n v="434.64600000000002"/>
    <n v="3"/>
    <n v="0.1"/>
    <n v="62.782200000000003"/>
  </r>
  <r>
    <s v="Standard Class"/>
    <x v="1"/>
    <s v="United States"/>
    <s v="Seattle"/>
    <x v="4"/>
    <n v="98103"/>
    <x v="1"/>
    <x v="1"/>
    <x v="10"/>
    <n v="440.19"/>
    <n v="9"/>
    <n v="0"/>
    <n v="206.88929999999999"/>
  </r>
  <r>
    <s v="Standard Class"/>
    <x v="1"/>
    <s v="United States"/>
    <s v="Seattle"/>
    <x v="4"/>
    <n v="98103"/>
    <x v="1"/>
    <x v="1"/>
    <x v="14"/>
    <n v="64.400000000000006"/>
    <n v="5"/>
    <n v="0"/>
    <n v="1.9319999999999999"/>
  </r>
  <r>
    <s v="Standard Class"/>
    <x v="2"/>
    <s v="United States"/>
    <s v="San Francisco"/>
    <x v="1"/>
    <n v="94110"/>
    <x v="1"/>
    <x v="1"/>
    <x v="10"/>
    <n v="244.55"/>
    <n v="5"/>
    <n v="0"/>
    <n v="114.9385"/>
  </r>
  <r>
    <s v="Standard Class"/>
    <x v="2"/>
    <s v="United States"/>
    <s v="San Francisco"/>
    <x v="1"/>
    <n v="94110"/>
    <x v="1"/>
    <x v="1"/>
    <x v="10"/>
    <n v="195.76"/>
    <n v="4"/>
    <n v="0"/>
    <n v="97.88"/>
  </r>
  <r>
    <s v="Standard Class"/>
    <x v="2"/>
    <s v="United States"/>
    <s v="Perth Amboy"/>
    <x v="30"/>
    <n v="8861"/>
    <x v="3"/>
    <x v="1"/>
    <x v="10"/>
    <n v="11.76"/>
    <n v="2"/>
    <n v="0"/>
    <n v="5.7624000000000004"/>
  </r>
  <r>
    <s v="Standard Class"/>
    <x v="2"/>
    <s v="United States"/>
    <s v="Perth Amboy"/>
    <x v="30"/>
    <n v="8861"/>
    <x v="3"/>
    <x v="1"/>
    <x v="4"/>
    <n v="166.45"/>
    <n v="5"/>
    <n v="0"/>
    <n v="39.948"/>
  </r>
  <r>
    <s v="Second Class"/>
    <x v="0"/>
    <s v="United States"/>
    <s v="San Francisco"/>
    <x v="1"/>
    <n v="94110"/>
    <x v="1"/>
    <x v="1"/>
    <x v="13"/>
    <n v="2.88"/>
    <n v="1"/>
    <n v="0"/>
    <n v="1.3535999999999999"/>
  </r>
  <r>
    <s v="Standard Class"/>
    <x v="1"/>
    <s v="United States"/>
    <s v="Freeport"/>
    <x v="10"/>
    <n v="61032"/>
    <x v="2"/>
    <x v="1"/>
    <x v="4"/>
    <n v="45.247999999999998"/>
    <n v="2"/>
    <n v="0.2"/>
    <n v="3.9592000000000001"/>
  </r>
  <r>
    <s v="Standard Class"/>
    <x v="0"/>
    <s v="United States"/>
    <s v="Philadelphia"/>
    <x v="9"/>
    <n v="19140"/>
    <x v="3"/>
    <x v="1"/>
    <x v="6"/>
    <n v="59.904000000000003"/>
    <n v="2"/>
    <n v="0.2"/>
    <n v="14.2272"/>
  </r>
  <r>
    <s v="Standard Class"/>
    <x v="0"/>
    <s v="United States"/>
    <s v="Philadelphia"/>
    <x v="9"/>
    <n v="19140"/>
    <x v="3"/>
    <x v="1"/>
    <x v="9"/>
    <n v="23.696000000000002"/>
    <n v="2"/>
    <n v="0.2"/>
    <n v="6.5164"/>
  </r>
  <r>
    <s v="Standard Class"/>
    <x v="0"/>
    <s v="United States"/>
    <s v="Philadelphia"/>
    <x v="9"/>
    <n v="19140"/>
    <x v="3"/>
    <x v="1"/>
    <x v="10"/>
    <n v="7.968"/>
    <n v="2"/>
    <n v="0.2"/>
    <n v="2.8883999999999999"/>
  </r>
  <r>
    <s v="Standard Class"/>
    <x v="0"/>
    <s v="United States"/>
    <s v="Philadelphia"/>
    <x v="9"/>
    <n v="19140"/>
    <x v="3"/>
    <x v="1"/>
    <x v="9"/>
    <n v="18.2"/>
    <n v="7"/>
    <n v="0.2"/>
    <n v="2.0474999999999999"/>
  </r>
  <r>
    <s v="Standard Class"/>
    <x v="0"/>
    <s v="United States"/>
    <s v="Philadelphia"/>
    <x v="9"/>
    <n v="19140"/>
    <x v="3"/>
    <x v="2"/>
    <x v="11"/>
    <n v="27.552"/>
    <n v="3"/>
    <n v="0.2"/>
    <n v="-0.34439999999999998"/>
  </r>
  <r>
    <s v="Standard Class"/>
    <x v="0"/>
    <s v="United States"/>
    <s v="Philadelphia"/>
    <x v="9"/>
    <n v="19140"/>
    <x v="3"/>
    <x v="0"/>
    <x v="1"/>
    <n v="844.11599999999999"/>
    <n v="6"/>
    <n v="0.3"/>
    <n v="-36.176400000000001"/>
  </r>
  <r>
    <s v="Standard Class"/>
    <x v="0"/>
    <s v="United States"/>
    <s v="Philadelphia"/>
    <x v="9"/>
    <n v="19140"/>
    <x v="3"/>
    <x v="1"/>
    <x v="4"/>
    <n v="76.751999999999995"/>
    <n v="3"/>
    <n v="0.2"/>
    <n v="-9.5939999999999994"/>
  </r>
  <r>
    <s v="Standard Class"/>
    <x v="0"/>
    <s v="United States"/>
    <s v="Jacksonville"/>
    <x v="2"/>
    <n v="32216"/>
    <x v="0"/>
    <x v="1"/>
    <x v="2"/>
    <n v="3"/>
    <n v="1"/>
    <n v="0.2"/>
    <n v="1.05"/>
  </r>
  <r>
    <s v="Standard Class"/>
    <x v="0"/>
    <s v="United States"/>
    <s v="Pembroke Pines"/>
    <x v="2"/>
    <n v="33024"/>
    <x v="0"/>
    <x v="1"/>
    <x v="8"/>
    <n v="7.5060000000000002"/>
    <n v="9"/>
    <n v="0.7"/>
    <n v="-6.0048000000000004"/>
  </r>
  <r>
    <s v="Standard Class"/>
    <x v="0"/>
    <s v="United States"/>
    <s v="Pembroke Pines"/>
    <x v="2"/>
    <n v="33024"/>
    <x v="0"/>
    <x v="1"/>
    <x v="2"/>
    <n v="16.559999999999999"/>
    <n v="2"/>
    <n v="0.2"/>
    <n v="5.7960000000000003"/>
  </r>
  <r>
    <s v="Standard Class"/>
    <x v="1"/>
    <s v="United States"/>
    <s v="Seattle"/>
    <x v="4"/>
    <n v="98115"/>
    <x v="1"/>
    <x v="0"/>
    <x v="5"/>
    <n v="79.92"/>
    <n v="4"/>
    <n v="0"/>
    <n v="34.365600000000001"/>
  </r>
  <r>
    <s v="Standard Class"/>
    <x v="1"/>
    <s v="United States"/>
    <s v="Seattle"/>
    <x v="4"/>
    <n v="98115"/>
    <x v="1"/>
    <x v="2"/>
    <x v="11"/>
    <n v="69.98"/>
    <n v="2"/>
    <n v="0"/>
    <n v="13.296200000000001"/>
  </r>
  <r>
    <s v="Standard Class"/>
    <x v="1"/>
    <s v="United States"/>
    <s v="Fort Worth"/>
    <x v="5"/>
    <n v="76106"/>
    <x v="2"/>
    <x v="1"/>
    <x v="8"/>
    <n v="11.06"/>
    <n v="10"/>
    <n v="0.8"/>
    <n v="-18.802"/>
  </r>
  <r>
    <s v="Standard Class"/>
    <x v="1"/>
    <s v="United States"/>
    <s v="Fort Worth"/>
    <x v="5"/>
    <n v="76106"/>
    <x v="2"/>
    <x v="0"/>
    <x v="0"/>
    <n v="623.46479999999997"/>
    <n v="7"/>
    <n v="0.32"/>
    <n v="-119.1918"/>
  </r>
  <r>
    <s v="Standard Class"/>
    <x v="1"/>
    <s v="United States"/>
    <s v="Fort Worth"/>
    <x v="5"/>
    <n v="76106"/>
    <x v="2"/>
    <x v="1"/>
    <x v="4"/>
    <n v="772.68"/>
    <n v="5"/>
    <n v="0.2"/>
    <n v="-57.951000000000001"/>
  </r>
  <r>
    <s v="Standard Class"/>
    <x v="0"/>
    <s v="United States"/>
    <s v="Detroit"/>
    <x v="12"/>
    <n v="48205"/>
    <x v="2"/>
    <x v="1"/>
    <x v="9"/>
    <n v="283.14"/>
    <n v="4"/>
    <n v="0.1"/>
    <n v="72.358000000000004"/>
  </r>
  <r>
    <s v="Standard Class"/>
    <x v="0"/>
    <s v="United States"/>
    <s v="Detroit"/>
    <x v="12"/>
    <n v="48205"/>
    <x v="2"/>
    <x v="2"/>
    <x v="7"/>
    <n v="635.96"/>
    <n v="4"/>
    <n v="0"/>
    <n v="165.34960000000001"/>
  </r>
  <r>
    <s v="Standard Class"/>
    <x v="0"/>
    <s v="United States"/>
    <s v="Detroit"/>
    <x v="12"/>
    <n v="48205"/>
    <x v="2"/>
    <x v="2"/>
    <x v="7"/>
    <n v="118.99"/>
    <n v="1"/>
    <n v="0"/>
    <n v="33.3172"/>
  </r>
  <r>
    <s v="Standard Class"/>
    <x v="0"/>
    <s v="United States"/>
    <s v="Detroit"/>
    <x v="12"/>
    <n v="48205"/>
    <x v="2"/>
    <x v="0"/>
    <x v="5"/>
    <n v="272.94"/>
    <n v="3"/>
    <n v="0"/>
    <n v="30.023399999999999"/>
  </r>
  <r>
    <s v="Second Class"/>
    <x v="0"/>
    <s v="United States"/>
    <s v="Philadelphia"/>
    <x v="9"/>
    <n v="19120"/>
    <x v="3"/>
    <x v="0"/>
    <x v="5"/>
    <n v="15.007999999999999"/>
    <n v="2"/>
    <n v="0.2"/>
    <n v="1.5007999999999999"/>
  </r>
  <r>
    <s v="Standard Class"/>
    <x v="0"/>
    <s v="United States"/>
    <s v="Logan"/>
    <x v="7"/>
    <n v="84321"/>
    <x v="1"/>
    <x v="1"/>
    <x v="8"/>
    <n v="33.088000000000001"/>
    <n v="4"/>
    <n v="0.2"/>
    <n v="11.167199999999999"/>
  </r>
  <r>
    <s v="Standard Class"/>
    <x v="0"/>
    <s v="United States"/>
    <s v="Logan"/>
    <x v="7"/>
    <n v="84321"/>
    <x v="1"/>
    <x v="1"/>
    <x v="4"/>
    <n v="80.98"/>
    <n v="1"/>
    <n v="0"/>
    <n v="3.2391999999999999"/>
  </r>
  <r>
    <s v="Standard Class"/>
    <x v="0"/>
    <s v="United States"/>
    <s v="Logan"/>
    <x v="7"/>
    <n v="84321"/>
    <x v="1"/>
    <x v="2"/>
    <x v="11"/>
    <n v="82.8"/>
    <n v="12"/>
    <n v="0"/>
    <n v="6.6239999999999997"/>
  </r>
  <r>
    <s v="Standard Class"/>
    <x v="0"/>
    <s v="United States"/>
    <s v="Logan"/>
    <x v="7"/>
    <n v="84321"/>
    <x v="1"/>
    <x v="1"/>
    <x v="4"/>
    <n v="21.36"/>
    <n v="2"/>
    <n v="0"/>
    <n v="5.7671999999999999"/>
  </r>
  <r>
    <s v="Standard Class"/>
    <x v="0"/>
    <s v="United States"/>
    <s v="Logan"/>
    <x v="7"/>
    <n v="84321"/>
    <x v="1"/>
    <x v="1"/>
    <x v="8"/>
    <n v="62.048000000000002"/>
    <n v="2"/>
    <n v="0.2"/>
    <n v="20.165600000000001"/>
  </r>
  <r>
    <s v="Second Class"/>
    <x v="0"/>
    <s v="United States"/>
    <s v="Auburn"/>
    <x v="15"/>
    <n v="13021"/>
    <x v="3"/>
    <x v="1"/>
    <x v="13"/>
    <n v="29.61"/>
    <n v="9"/>
    <n v="0"/>
    <n v="13.3245"/>
  </r>
  <r>
    <s v="Same Day"/>
    <x v="0"/>
    <s v="United States"/>
    <s v="Raleigh"/>
    <x v="3"/>
    <n v="27604"/>
    <x v="0"/>
    <x v="2"/>
    <x v="7"/>
    <n v="863.928"/>
    <n v="9"/>
    <n v="0.2"/>
    <n v="86.392799999999994"/>
  </r>
  <r>
    <s v="Standard Class"/>
    <x v="1"/>
    <s v="United States"/>
    <s v="Philadelphia"/>
    <x v="9"/>
    <n v="19120"/>
    <x v="3"/>
    <x v="0"/>
    <x v="3"/>
    <n v="241.92"/>
    <n v="4"/>
    <n v="0.4"/>
    <n v="-56.448"/>
  </r>
  <r>
    <s v="Standard Class"/>
    <x v="1"/>
    <s v="United States"/>
    <s v="Philadelphia"/>
    <x v="9"/>
    <n v="19120"/>
    <x v="3"/>
    <x v="0"/>
    <x v="0"/>
    <n v="163.88"/>
    <n v="4"/>
    <n v="0.5"/>
    <n v="-81.94"/>
  </r>
  <r>
    <s v="Standard Class"/>
    <x v="1"/>
    <s v="United States"/>
    <s v="Philadelphia"/>
    <x v="9"/>
    <n v="19120"/>
    <x v="3"/>
    <x v="1"/>
    <x v="8"/>
    <n v="3.4860000000000002"/>
    <n v="2"/>
    <n v="0.7"/>
    <n v="-2.7888000000000002"/>
  </r>
  <r>
    <s v="Standard Class"/>
    <x v="1"/>
    <s v="United States"/>
    <s v="Philadelphia"/>
    <x v="9"/>
    <n v="19120"/>
    <x v="3"/>
    <x v="1"/>
    <x v="13"/>
    <n v="10.584"/>
    <n v="7"/>
    <n v="0.2"/>
    <n v="-2.3814000000000002"/>
  </r>
  <r>
    <s v="Standard Class"/>
    <x v="0"/>
    <s v="United States"/>
    <s v="Richmond"/>
    <x v="14"/>
    <n v="47374"/>
    <x v="2"/>
    <x v="2"/>
    <x v="7"/>
    <n v="440.91"/>
    <n v="9"/>
    <n v="0"/>
    <n v="123.45480000000001"/>
  </r>
  <r>
    <s v="Standard Class"/>
    <x v="0"/>
    <s v="United States"/>
    <s v="Lancaster"/>
    <x v="9"/>
    <n v="17602"/>
    <x v="3"/>
    <x v="1"/>
    <x v="8"/>
    <n v="5.7149999999999999"/>
    <n v="5"/>
    <n v="0.7"/>
    <n v="-4.7625000000000002"/>
  </r>
  <r>
    <s v="First Class"/>
    <x v="0"/>
    <s v="United States"/>
    <s v="Tucson"/>
    <x v="16"/>
    <n v="85705"/>
    <x v="1"/>
    <x v="0"/>
    <x v="5"/>
    <n v="51.968000000000004"/>
    <n v="2"/>
    <n v="0.2"/>
    <n v="10.393599999999999"/>
  </r>
  <r>
    <s v="First Class"/>
    <x v="0"/>
    <s v="United States"/>
    <s v="Tucson"/>
    <x v="16"/>
    <n v="85705"/>
    <x v="1"/>
    <x v="2"/>
    <x v="11"/>
    <n v="71.975999999999999"/>
    <n v="3"/>
    <n v="0.2"/>
    <n v="21.5928"/>
  </r>
  <r>
    <s v="First Class"/>
    <x v="0"/>
    <s v="United States"/>
    <s v="Tucson"/>
    <x v="16"/>
    <n v="85705"/>
    <x v="1"/>
    <x v="0"/>
    <x v="1"/>
    <n v="242.352"/>
    <n v="3"/>
    <n v="0.2"/>
    <n v="-42.4116"/>
  </r>
  <r>
    <s v="First Class"/>
    <x v="0"/>
    <s v="United States"/>
    <s v="Tucson"/>
    <x v="16"/>
    <n v="85705"/>
    <x v="1"/>
    <x v="1"/>
    <x v="10"/>
    <n v="221.92"/>
    <n v="5"/>
    <n v="0.2"/>
    <n v="77.671999999999997"/>
  </r>
  <r>
    <s v="First Class"/>
    <x v="0"/>
    <s v="United States"/>
    <s v="Tucson"/>
    <x v="16"/>
    <n v="85705"/>
    <x v="1"/>
    <x v="1"/>
    <x v="10"/>
    <n v="8.4480000000000004"/>
    <n v="2"/>
    <n v="0.2"/>
    <n v="2.64"/>
  </r>
  <r>
    <s v="Same Day"/>
    <x v="0"/>
    <s v="United States"/>
    <s v="Detroit"/>
    <x v="12"/>
    <n v="48205"/>
    <x v="2"/>
    <x v="1"/>
    <x v="8"/>
    <n v="29.52"/>
    <n v="4"/>
    <n v="0"/>
    <n v="14.4648"/>
  </r>
  <r>
    <s v="Same Day"/>
    <x v="0"/>
    <s v="United States"/>
    <s v="Detroit"/>
    <x v="12"/>
    <n v="48205"/>
    <x v="2"/>
    <x v="0"/>
    <x v="1"/>
    <n v="302.94"/>
    <n v="3"/>
    <n v="0"/>
    <n v="48.470399999999998"/>
  </r>
  <r>
    <s v="Same Day"/>
    <x v="0"/>
    <s v="United States"/>
    <s v="Detroit"/>
    <x v="12"/>
    <n v="48205"/>
    <x v="2"/>
    <x v="0"/>
    <x v="1"/>
    <n v="142.36000000000001"/>
    <n v="2"/>
    <n v="0"/>
    <n v="38.437199999999997"/>
  </r>
  <r>
    <s v="Same Day"/>
    <x v="0"/>
    <s v="United States"/>
    <s v="Detroit"/>
    <x v="12"/>
    <n v="48205"/>
    <x v="2"/>
    <x v="0"/>
    <x v="1"/>
    <n v="546.66"/>
    <n v="9"/>
    <n v="0"/>
    <n v="136.66499999999999"/>
  </r>
  <r>
    <s v="Same Day"/>
    <x v="0"/>
    <s v="United States"/>
    <s v="Detroit"/>
    <x v="12"/>
    <n v="48205"/>
    <x v="2"/>
    <x v="0"/>
    <x v="5"/>
    <n v="212.13"/>
    <n v="3"/>
    <n v="0"/>
    <n v="14.8491"/>
  </r>
  <r>
    <s v="Standard Class"/>
    <x v="2"/>
    <s v="United States"/>
    <s v="Austin"/>
    <x v="5"/>
    <n v="78745"/>
    <x v="2"/>
    <x v="1"/>
    <x v="6"/>
    <n v="5.2480000000000002"/>
    <n v="2"/>
    <n v="0.2"/>
    <n v="0.59040000000000004"/>
  </r>
  <r>
    <s v="Standard Class"/>
    <x v="2"/>
    <s v="United States"/>
    <s v="Austin"/>
    <x v="5"/>
    <n v="78745"/>
    <x v="2"/>
    <x v="1"/>
    <x v="4"/>
    <n v="74.415999999999997"/>
    <n v="2"/>
    <n v="0.2"/>
    <n v="-14.8832"/>
  </r>
  <r>
    <s v="Standard Class"/>
    <x v="2"/>
    <s v="United States"/>
    <s v="Austin"/>
    <x v="5"/>
    <n v="78745"/>
    <x v="2"/>
    <x v="1"/>
    <x v="10"/>
    <n v="6.8479999999999999"/>
    <n v="2"/>
    <n v="0.2"/>
    <n v="2.14"/>
  </r>
  <r>
    <s v="Standard Class"/>
    <x v="2"/>
    <s v="United States"/>
    <s v="Austin"/>
    <x v="5"/>
    <n v="78745"/>
    <x v="2"/>
    <x v="0"/>
    <x v="5"/>
    <n v="7.9960000000000004"/>
    <n v="1"/>
    <n v="0.6"/>
    <n v="-6.9965000000000002"/>
  </r>
  <r>
    <s v="Standard Class"/>
    <x v="1"/>
    <s v="United States"/>
    <s v="Houston"/>
    <x v="5"/>
    <n v="77095"/>
    <x v="2"/>
    <x v="1"/>
    <x v="9"/>
    <n v="8.7119999999999997"/>
    <n v="2"/>
    <n v="0.8"/>
    <n v="-19.602"/>
  </r>
  <r>
    <s v="First Class"/>
    <x v="0"/>
    <s v="United States"/>
    <s v="Waterbury"/>
    <x v="29"/>
    <n v="6708"/>
    <x v="3"/>
    <x v="1"/>
    <x v="14"/>
    <n v="65.17"/>
    <n v="7"/>
    <n v="0"/>
    <n v="18.8993"/>
  </r>
  <r>
    <s v="First Class"/>
    <x v="0"/>
    <s v="United States"/>
    <s v="Waterbury"/>
    <x v="29"/>
    <n v="6708"/>
    <x v="3"/>
    <x v="1"/>
    <x v="2"/>
    <n v="14.62"/>
    <n v="2"/>
    <n v="0"/>
    <n v="6.8714000000000004"/>
  </r>
  <r>
    <s v="First Class"/>
    <x v="0"/>
    <s v="United States"/>
    <s v="Waterbury"/>
    <x v="29"/>
    <n v="6708"/>
    <x v="3"/>
    <x v="0"/>
    <x v="5"/>
    <n v="173.24"/>
    <n v="4"/>
    <n v="0"/>
    <n v="17.324000000000002"/>
  </r>
  <r>
    <s v="First Class"/>
    <x v="0"/>
    <s v="United States"/>
    <s v="Los Angeles"/>
    <x v="1"/>
    <n v="90049"/>
    <x v="1"/>
    <x v="1"/>
    <x v="8"/>
    <n v="895.92"/>
    <n v="5"/>
    <n v="0.2"/>
    <n v="302.37299999999999"/>
  </r>
  <r>
    <s v="First Class"/>
    <x v="0"/>
    <s v="United States"/>
    <s v="Los Angeles"/>
    <x v="1"/>
    <n v="90049"/>
    <x v="1"/>
    <x v="1"/>
    <x v="4"/>
    <n v="130.71"/>
    <n v="3"/>
    <n v="0"/>
    <n v="39.213000000000001"/>
  </r>
  <r>
    <s v="First Class"/>
    <x v="0"/>
    <s v="United States"/>
    <s v="Los Angeles"/>
    <x v="1"/>
    <n v="90049"/>
    <x v="1"/>
    <x v="1"/>
    <x v="6"/>
    <n v="11.68"/>
    <n v="2"/>
    <n v="0"/>
    <n v="3.0367999999999999"/>
  </r>
  <r>
    <s v="First Class"/>
    <x v="0"/>
    <s v="United States"/>
    <s v="Los Angeles"/>
    <x v="1"/>
    <n v="90049"/>
    <x v="1"/>
    <x v="2"/>
    <x v="11"/>
    <n v="62.31"/>
    <n v="3"/>
    <n v="0"/>
    <n v="22.4316"/>
  </r>
  <r>
    <s v="Same Day"/>
    <x v="0"/>
    <s v="United States"/>
    <s v="Philadelphia"/>
    <x v="9"/>
    <n v="19120"/>
    <x v="3"/>
    <x v="1"/>
    <x v="8"/>
    <n v="0.85199999999999998"/>
    <n v="1"/>
    <n v="0.7"/>
    <n v="-0.59640000000000004"/>
  </r>
  <r>
    <s v="Standard Class"/>
    <x v="0"/>
    <s v="United States"/>
    <s v="Huntsville"/>
    <x v="5"/>
    <n v="77340"/>
    <x v="2"/>
    <x v="1"/>
    <x v="10"/>
    <n v="36.287999999999997"/>
    <n v="7"/>
    <n v="0.2"/>
    <n v="12.700799999999999"/>
  </r>
  <r>
    <s v="Standard Class"/>
    <x v="0"/>
    <s v="United States"/>
    <s v="Huntsville"/>
    <x v="5"/>
    <n v="77340"/>
    <x v="2"/>
    <x v="0"/>
    <x v="5"/>
    <n v="56.567999999999998"/>
    <n v="2"/>
    <n v="0.6"/>
    <n v="-74.952600000000004"/>
  </r>
  <r>
    <s v="First Class"/>
    <x v="0"/>
    <s v="United States"/>
    <s v="Portland"/>
    <x v="21"/>
    <n v="97206"/>
    <x v="1"/>
    <x v="2"/>
    <x v="7"/>
    <n v="344.70400000000001"/>
    <n v="2"/>
    <n v="0.2"/>
    <n v="38.779200000000003"/>
  </r>
  <r>
    <s v="Standard Class"/>
    <x v="0"/>
    <s v="United States"/>
    <s v="Louisville"/>
    <x v="22"/>
    <n v="80027"/>
    <x v="1"/>
    <x v="2"/>
    <x v="7"/>
    <n v="201.584"/>
    <n v="2"/>
    <n v="0.2"/>
    <n v="20.1584"/>
  </r>
  <r>
    <s v="Second Class"/>
    <x v="2"/>
    <s v="United States"/>
    <s v="Seattle"/>
    <x v="4"/>
    <n v="98115"/>
    <x v="1"/>
    <x v="0"/>
    <x v="3"/>
    <n v="521.96"/>
    <n v="2"/>
    <n v="0"/>
    <n v="88.733199999999997"/>
  </r>
  <r>
    <s v="Standard Class"/>
    <x v="0"/>
    <s v="United States"/>
    <s v="Baltimore"/>
    <x v="39"/>
    <n v="21215"/>
    <x v="3"/>
    <x v="1"/>
    <x v="6"/>
    <n v="8.2200000000000006"/>
    <n v="3"/>
    <n v="0"/>
    <n v="2.2193999999999998"/>
  </r>
  <r>
    <s v="First Class"/>
    <x v="1"/>
    <s v="United States"/>
    <s v="San Francisco"/>
    <x v="1"/>
    <n v="94109"/>
    <x v="1"/>
    <x v="1"/>
    <x v="10"/>
    <n v="45.36"/>
    <n v="7"/>
    <n v="0"/>
    <n v="21.7728"/>
  </r>
  <r>
    <s v="Second Class"/>
    <x v="2"/>
    <s v="United States"/>
    <s v="Los Angeles"/>
    <x v="1"/>
    <n v="90004"/>
    <x v="1"/>
    <x v="1"/>
    <x v="4"/>
    <n v="947.17"/>
    <n v="7"/>
    <n v="0"/>
    <n v="9.4717000000000002"/>
  </r>
  <r>
    <s v="Second Class"/>
    <x v="2"/>
    <s v="United States"/>
    <s v="Los Angeles"/>
    <x v="1"/>
    <n v="90004"/>
    <x v="1"/>
    <x v="1"/>
    <x v="10"/>
    <n v="61.96"/>
    <n v="2"/>
    <n v="0"/>
    <n v="27.882000000000001"/>
  </r>
  <r>
    <s v="Second Class"/>
    <x v="0"/>
    <s v="United States"/>
    <s v="Aurora"/>
    <x v="10"/>
    <n v="60505"/>
    <x v="2"/>
    <x v="0"/>
    <x v="3"/>
    <n v="268.935"/>
    <n v="3"/>
    <n v="0.5"/>
    <n v="-209.76929999999999"/>
  </r>
  <r>
    <s v="Standard Class"/>
    <x v="2"/>
    <s v="United States"/>
    <s v="Seattle"/>
    <x v="4"/>
    <n v="98103"/>
    <x v="1"/>
    <x v="1"/>
    <x v="6"/>
    <n v="7.58"/>
    <n v="1"/>
    <n v="0"/>
    <n v="2.9561999999999999"/>
  </r>
  <r>
    <s v="Same Day"/>
    <x v="0"/>
    <s v="United States"/>
    <s v="Athens"/>
    <x v="32"/>
    <n v="30605"/>
    <x v="0"/>
    <x v="1"/>
    <x v="2"/>
    <n v="14.73"/>
    <n v="3"/>
    <n v="0"/>
    <n v="7.2176999999999998"/>
  </r>
  <r>
    <s v="Standard Class"/>
    <x v="2"/>
    <s v="United States"/>
    <s v="Apopka"/>
    <x v="2"/>
    <n v="32712"/>
    <x v="0"/>
    <x v="1"/>
    <x v="8"/>
    <n v="9.8879999999999999"/>
    <n v="2"/>
    <n v="0.7"/>
    <n v="-6.9215999999999998"/>
  </r>
  <r>
    <s v="Standard Class"/>
    <x v="2"/>
    <s v="United States"/>
    <s v="Apopka"/>
    <x v="2"/>
    <n v="32712"/>
    <x v="0"/>
    <x v="1"/>
    <x v="9"/>
    <n v="671.54399999999998"/>
    <n v="3"/>
    <n v="0.2"/>
    <n v="50.3658"/>
  </r>
  <r>
    <s v="Second Class"/>
    <x v="2"/>
    <s v="United States"/>
    <s v="New York City"/>
    <x v="15"/>
    <n v="10009"/>
    <x v="3"/>
    <x v="1"/>
    <x v="4"/>
    <n v="1117.92"/>
    <n v="4"/>
    <n v="0"/>
    <n v="55.896000000000001"/>
  </r>
  <r>
    <s v="Second Class"/>
    <x v="2"/>
    <s v="United States"/>
    <s v="New York City"/>
    <x v="15"/>
    <n v="10009"/>
    <x v="3"/>
    <x v="0"/>
    <x v="0"/>
    <n v="275.952"/>
    <n v="3"/>
    <n v="0.2"/>
    <n v="-37.943399999999997"/>
  </r>
  <r>
    <s v="Standard Class"/>
    <x v="0"/>
    <s v="United States"/>
    <s v="San Francisco"/>
    <x v="1"/>
    <n v="94110"/>
    <x v="1"/>
    <x v="1"/>
    <x v="8"/>
    <n v="123.14400000000001"/>
    <n v="7"/>
    <n v="0.2"/>
    <n v="46.179000000000002"/>
  </r>
  <r>
    <s v="Second Class"/>
    <x v="0"/>
    <s v="United States"/>
    <s v="Dallas"/>
    <x v="5"/>
    <n v="75217"/>
    <x v="2"/>
    <x v="2"/>
    <x v="11"/>
    <n v="15.576000000000001"/>
    <n v="3"/>
    <n v="0.2"/>
    <n v="3.3098999999999998"/>
  </r>
  <r>
    <s v="Second Class"/>
    <x v="0"/>
    <s v="United States"/>
    <s v="San Diego"/>
    <x v="1"/>
    <n v="92105"/>
    <x v="1"/>
    <x v="1"/>
    <x v="10"/>
    <n v="212.64"/>
    <n v="6"/>
    <n v="0"/>
    <n v="99.940799999999996"/>
  </r>
  <r>
    <s v="Second Class"/>
    <x v="0"/>
    <s v="United States"/>
    <s v="San Diego"/>
    <x v="1"/>
    <n v="92105"/>
    <x v="1"/>
    <x v="1"/>
    <x v="10"/>
    <n v="9.8699999999999992"/>
    <n v="3"/>
    <n v="0"/>
    <n v="4.5401999999999996"/>
  </r>
  <r>
    <s v="Second Class"/>
    <x v="0"/>
    <s v="United States"/>
    <s v="San Diego"/>
    <x v="1"/>
    <n v="92105"/>
    <x v="1"/>
    <x v="2"/>
    <x v="11"/>
    <n v="53.25"/>
    <n v="3"/>
    <n v="0"/>
    <n v="20.767499999999998"/>
  </r>
  <r>
    <s v="Second Class"/>
    <x v="0"/>
    <s v="United States"/>
    <s v="San Diego"/>
    <x v="1"/>
    <n v="92105"/>
    <x v="1"/>
    <x v="0"/>
    <x v="5"/>
    <n v="19.920000000000002"/>
    <n v="3"/>
    <n v="0"/>
    <n v="9.5616000000000003"/>
  </r>
  <r>
    <s v="Standard Class"/>
    <x v="1"/>
    <s v="United States"/>
    <s v="New York City"/>
    <x v="15"/>
    <n v="10035"/>
    <x v="3"/>
    <x v="0"/>
    <x v="1"/>
    <n v="658.74599999999998"/>
    <n v="3"/>
    <n v="0.1"/>
    <n v="146.38800000000001"/>
  </r>
  <r>
    <s v="Standard Class"/>
    <x v="2"/>
    <s v="United States"/>
    <s v="Lewiston"/>
    <x v="43"/>
    <n v="4240"/>
    <x v="3"/>
    <x v="1"/>
    <x v="8"/>
    <n v="8.26"/>
    <n v="2"/>
    <n v="0"/>
    <n v="3.8822000000000001"/>
  </r>
  <r>
    <s v="Standard Class"/>
    <x v="2"/>
    <s v="United States"/>
    <s v="Lewiston"/>
    <x v="43"/>
    <n v="4240"/>
    <x v="3"/>
    <x v="1"/>
    <x v="8"/>
    <n v="29.84"/>
    <n v="2"/>
    <n v="0"/>
    <n v="13.428000000000001"/>
  </r>
  <r>
    <s v="Standard Class"/>
    <x v="2"/>
    <s v="United States"/>
    <s v="Lewiston"/>
    <x v="43"/>
    <n v="4240"/>
    <x v="3"/>
    <x v="2"/>
    <x v="11"/>
    <n v="67.98"/>
    <n v="2"/>
    <n v="0"/>
    <n v="14.9556"/>
  </r>
  <r>
    <s v="Standard Class"/>
    <x v="0"/>
    <s v="United States"/>
    <s v="Long Beach"/>
    <x v="1"/>
    <n v="90805"/>
    <x v="1"/>
    <x v="1"/>
    <x v="2"/>
    <n v="61.06"/>
    <n v="2"/>
    <n v="0"/>
    <n v="28.087599999999998"/>
  </r>
  <r>
    <s v="Standard Class"/>
    <x v="0"/>
    <s v="United States"/>
    <s v="Long Beach"/>
    <x v="1"/>
    <n v="90805"/>
    <x v="1"/>
    <x v="0"/>
    <x v="3"/>
    <n v="35.543999999999997"/>
    <n v="1"/>
    <n v="0.2"/>
    <n v="-0.88859999999999995"/>
  </r>
  <r>
    <s v="Standard Class"/>
    <x v="0"/>
    <s v="United States"/>
    <s v="Seattle"/>
    <x v="4"/>
    <n v="98115"/>
    <x v="1"/>
    <x v="1"/>
    <x v="2"/>
    <n v="9.9600000000000009"/>
    <n v="2"/>
    <n v="0"/>
    <n v="4.5815999999999999"/>
  </r>
  <r>
    <s v="Standard Class"/>
    <x v="0"/>
    <s v="United States"/>
    <s v="Seattle"/>
    <x v="4"/>
    <n v="98115"/>
    <x v="1"/>
    <x v="1"/>
    <x v="6"/>
    <n v="9.2100000000000009"/>
    <n v="3"/>
    <n v="0"/>
    <n v="2.3025000000000002"/>
  </r>
  <r>
    <s v="Standard Class"/>
    <x v="0"/>
    <s v="United States"/>
    <s v="Seattle"/>
    <x v="4"/>
    <n v="98115"/>
    <x v="1"/>
    <x v="1"/>
    <x v="14"/>
    <n v="27.93"/>
    <n v="3"/>
    <n v="0"/>
    <n v="8.0997000000000003"/>
  </r>
  <r>
    <s v="Same Day"/>
    <x v="0"/>
    <s v="United States"/>
    <s v="Rochester"/>
    <x v="11"/>
    <n v="55901"/>
    <x v="2"/>
    <x v="1"/>
    <x v="13"/>
    <n v="7.9"/>
    <n v="2"/>
    <n v="0"/>
    <n v="2.528"/>
  </r>
  <r>
    <s v="Same Day"/>
    <x v="0"/>
    <s v="United States"/>
    <s v="Rochester"/>
    <x v="11"/>
    <n v="55901"/>
    <x v="2"/>
    <x v="1"/>
    <x v="4"/>
    <n v="221.16"/>
    <n v="4"/>
    <n v="0"/>
    <n v="57.501600000000003"/>
  </r>
  <r>
    <s v="Same Day"/>
    <x v="0"/>
    <s v="United States"/>
    <s v="Rochester"/>
    <x v="11"/>
    <n v="55901"/>
    <x v="2"/>
    <x v="1"/>
    <x v="8"/>
    <n v="127.96"/>
    <n v="2"/>
    <n v="0"/>
    <n v="62.700400000000002"/>
  </r>
  <r>
    <s v="Same Day"/>
    <x v="0"/>
    <s v="United States"/>
    <s v="Rochester"/>
    <x v="11"/>
    <n v="55901"/>
    <x v="2"/>
    <x v="1"/>
    <x v="8"/>
    <n v="18.690000000000001"/>
    <n v="3"/>
    <n v="0"/>
    <n v="9.1580999999999992"/>
  </r>
  <r>
    <s v="Same Day"/>
    <x v="1"/>
    <s v="United States"/>
    <s v="San Francisco"/>
    <x v="1"/>
    <n v="94110"/>
    <x v="1"/>
    <x v="1"/>
    <x v="14"/>
    <n v="25.35"/>
    <n v="3"/>
    <n v="0"/>
    <n v="7.6050000000000004"/>
  </r>
  <r>
    <s v="Same Day"/>
    <x v="1"/>
    <s v="United States"/>
    <s v="San Francisco"/>
    <x v="1"/>
    <n v="94110"/>
    <x v="1"/>
    <x v="0"/>
    <x v="5"/>
    <n v="35.28"/>
    <n v="3"/>
    <n v="0"/>
    <n v="11.995200000000001"/>
  </r>
  <r>
    <s v="First Class"/>
    <x v="1"/>
    <s v="United States"/>
    <s v="Seattle"/>
    <x v="4"/>
    <n v="98103"/>
    <x v="1"/>
    <x v="1"/>
    <x v="10"/>
    <n v="33.4"/>
    <n v="5"/>
    <n v="0"/>
    <n v="16.032"/>
  </r>
  <r>
    <s v="First Class"/>
    <x v="1"/>
    <s v="United States"/>
    <s v="Spokane"/>
    <x v="4"/>
    <n v="99207"/>
    <x v="1"/>
    <x v="2"/>
    <x v="15"/>
    <n v="837.6"/>
    <n v="3"/>
    <n v="0.2"/>
    <n v="62.82"/>
  </r>
  <r>
    <s v="Standard Class"/>
    <x v="0"/>
    <s v="United States"/>
    <s v="Franklin"/>
    <x v="18"/>
    <n v="37064"/>
    <x v="0"/>
    <x v="2"/>
    <x v="7"/>
    <n v="40.68"/>
    <n v="3"/>
    <n v="0.2"/>
    <n v="-9.1530000000000005"/>
  </r>
  <r>
    <s v="Standard Class"/>
    <x v="0"/>
    <s v="United States"/>
    <s v="Jackson"/>
    <x v="18"/>
    <n v="38301"/>
    <x v="0"/>
    <x v="0"/>
    <x v="1"/>
    <n v="209.56800000000001"/>
    <n v="2"/>
    <n v="0.2"/>
    <n v="-23.5764"/>
  </r>
  <r>
    <s v="Standard Class"/>
    <x v="0"/>
    <s v="United States"/>
    <s v="Austin"/>
    <x v="5"/>
    <n v="78745"/>
    <x v="2"/>
    <x v="2"/>
    <x v="11"/>
    <n v="22.367999999999999"/>
    <n v="4"/>
    <n v="0.2"/>
    <n v="6.4307999999999996"/>
  </r>
  <r>
    <s v="Standard Class"/>
    <x v="0"/>
    <s v="United States"/>
    <s v="Pembroke Pines"/>
    <x v="2"/>
    <n v="33024"/>
    <x v="0"/>
    <x v="1"/>
    <x v="8"/>
    <n v="3.8820000000000001"/>
    <n v="2"/>
    <n v="0.7"/>
    <n v="-2.5880000000000001"/>
  </r>
  <r>
    <s v="Standard Class"/>
    <x v="0"/>
    <s v="United States"/>
    <s v="Pembroke Pines"/>
    <x v="2"/>
    <n v="33024"/>
    <x v="0"/>
    <x v="1"/>
    <x v="10"/>
    <n v="115.29600000000001"/>
    <n v="3"/>
    <n v="0.2"/>
    <n v="40.3536"/>
  </r>
  <r>
    <s v="Standard Class"/>
    <x v="0"/>
    <s v="United States"/>
    <s v="Philadelphia"/>
    <x v="9"/>
    <n v="19143"/>
    <x v="3"/>
    <x v="1"/>
    <x v="8"/>
    <n v="1.9079999999999999"/>
    <n v="2"/>
    <n v="0.7"/>
    <n v="-1.5264"/>
  </r>
  <r>
    <s v="Standard Class"/>
    <x v="2"/>
    <s v="United States"/>
    <s v="Danville"/>
    <x v="10"/>
    <n v="61832"/>
    <x v="2"/>
    <x v="1"/>
    <x v="8"/>
    <n v="43.372"/>
    <n v="7"/>
    <n v="0.8"/>
    <n v="-69.395200000000003"/>
  </r>
  <r>
    <s v="Standard Class"/>
    <x v="0"/>
    <s v="United States"/>
    <s v="New York City"/>
    <x v="15"/>
    <n v="10009"/>
    <x v="3"/>
    <x v="2"/>
    <x v="7"/>
    <n v="783.96"/>
    <n v="4"/>
    <n v="0"/>
    <n v="219.50880000000001"/>
  </r>
  <r>
    <s v="Standard Class"/>
    <x v="0"/>
    <s v="United States"/>
    <s v="New York City"/>
    <x v="15"/>
    <n v="10009"/>
    <x v="3"/>
    <x v="1"/>
    <x v="8"/>
    <n v="48.896000000000001"/>
    <n v="2"/>
    <n v="0.2"/>
    <n v="18.335999999999999"/>
  </r>
  <r>
    <s v="Standard Class"/>
    <x v="0"/>
    <s v="United States"/>
    <s v="New York City"/>
    <x v="15"/>
    <n v="10009"/>
    <x v="3"/>
    <x v="1"/>
    <x v="8"/>
    <n v="7.8559999999999999"/>
    <n v="2"/>
    <n v="0.2"/>
    <n v="2.8477999999999999"/>
  </r>
  <r>
    <s v="Standard Class"/>
    <x v="0"/>
    <s v="United States"/>
    <s v="Columbus"/>
    <x v="24"/>
    <n v="43229"/>
    <x v="3"/>
    <x v="1"/>
    <x v="2"/>
    <n v="5.9039999999999999"/>
    <n v="2"/>
    <n v="0.2"/>
    <n v="1.9925999999999999"/>
  </r>
  <r>
    <s v="Standard Class"/>
    <x v="0"/>
    <s v="United States"/>
    <s v="Columbus"/>
    <x v="24"/>
    <n v="43229"/>
    <x v="3"/>
    <x v="1"/>
    <x v="14"/>
    <n v="13.712"/>
    <n v="2"/>
    <n v="0.2"/>
    <n v="1.0284"/>
  </r>
  <r>
    <s v="Standard Class"/>
    <x v="0"/>
    <s v="United States"/>
    <s v="Chula Vista"/>
    <x v="1"/>
    <n v="91911"/>
    <x v="1"/>
    <x v="1"/>
    <x v="12"/>
    <n v="182.94"/>
    <n v="3"/>
    <n v="0"/>
    <n v="85.981800000000007"/>
  </r>
  <r>
    <s v="First Class"/>
    <x v="0"/>
    <s v="United States"/>
    <s v="San Francisco"/>
    <x v="1"/>
    <n v="94110"/>
    <x v="1"/>
    <x v="1"/>
    <x v="6"/>
    <n v="27.76"/>
    <n v="4"/>
    <n v="0"/>
    <n v="9.9936000000000007"/>
  </r>
  <r>
    <s v="Standard Class"/>
    <x v="2"/>
    <s v="United States"/>
    <s v="New York City"/>
    <x v="15"/>
    <n v="10009"/>
    <x v="3"/>
    <x v="1"/>
    <x v="6"/>
    <n v="25.99"/>
    <n v="1"/>
    <n v="0"/>
    <n v="7.5370999999999997"/>
  </r>
  <r>
    <s v="First Class"/>
    <x v="1"/>
    <s v="United States"/>
    <s v="San Antonio"/>
    <x v="5"/>
    <n v="78207"/>
    <x v="2"/>
    <x v="2"/>
    <x v="11"/>
    <n v="113.52"/>
    <n v="5"/>
    <n v="0.2"/>
    <n v="29.798999999999999"/>
  </r>
  <r>
    <s v="First Class"/>
    <x v="1"/>
    <s v="United States"/>
    <s v="San Antonio"/>
    <x v="5"/>
    <n v="78207"/>
    <x v="2"/>
    <x v="2"/>
    <x v="7"/>
    <n v="359.88"/>
    <n v="3"/>
    <n v="0.2"/>
    <n v="22.4925"/>
  </r>
  <r>
    <s v="Same Day"/>
    <x v="0"/>
    <s v="United States"/>
    <s v="Jacksonville"/>
    <x v="3"/>
    <n v="28540"/>
    <x v="0"/>
    <x v="1"/>
    <x v="10"/>
    <n v="25.344000000000001"/>
    <n v="4"/>
    <n v="0.2"/>
    <n v="9.1872000000000007"/>
  </r>
  <r>
    <s v="Second Class"/>
    <x v="2"/>
    <s v="United States"/>
    <s v="San Francisco"/>
    <x v="1"/>
    <n v="94109"/>
    <x v="1"/>
    <x v="1"/>
    <x v="8"/>
    <n v="11.952"/>
    <n v="3"/>
    <n v="0.2"/>
    <n v="4.1832000000000003"/>
  </r>
  <r>
    <s v="Second Class"/>
    <x v="2"/>
    <s v="United States"/>
    <s v="San Francisco"/>
    <x v="1"/>
    <n v="94109"/>
    <x v="1"/>
    <x v="1"/>
    <x v="14"/>
    <n v="6.24"/>
    <n v="3"/>
    <n v="0"/>
    <n v="1.8720000000000001"/>
  </r>
  <r>
    <s v="Second Class"/>
    <x v="0"/>
    <s v="United States"/>
    <s v="Avondale"/>
    <x v="16"/>
    <n v="85323"/>
    <x v="1"/>
    <x v="2"/>
    <x v="7"/>
    <n v="742.33600000000001"/>
    <n v="8"/>
    <n v="0.2"/>
    <n v="83.512799999999999"/>
  </r>
  <r>
    <s v="Standard Class"/>
    <x v="0"/>
    <s v="United States"/>
    <s v="Chicago"/>
    <x v="10"/>
    <n v="60610"/>
    <x v="2"/>
    <x v="0"/>
    <x v="5"/>
    <n v="6.4640000000000004"/>
    <n v="1"/>
    <n v="0.6"/>
    <n v="-4.04"/>
  </r>
  <r>
    <s v="Standard Class"/>
    <x v="0"/>
    <s v="United States"/>
    <s v="Chicago"/>
    <x v="10"/>
    <n v="60610"/>
    <x v="2"/>
    <x v="1"/>
    <x v="2"/>
    <n v="11.52"/>
    <n v="5"/>
    <n v="0.2"/>
    <n v="4.1760000000000002"/>
  </r>
  <r>
    <s v="Standard Class"/>
    <x v="0"/>
    <s v="United States"/>
    <s v="Chicago"/>
    <x v="10"/>
    <n v="60610"/>
    <x v="2"/>
    <x v="2"/>
    <x v="7"/>
    <n v="222.38399999999999"/>
    <n v="2"/>
    <n v="0.2"/>
    <n v="16.678799999999999"/>
  </r>
  <r>
    <s v="Standard Class"/>
    <x v="2"/>
    <s v="United States"/>
    <s v="Escondido"/>
    <x v="1"/>
    <n v="92025"/>
    <x v="1"/>
    <x v="1"/>
    <x v="6"/>
    <n v="23.36"/>
    <n v="4"/>
    <n v="0"/>
    <n v="6.0735999999999999"/>
  </r>
  <r>
    <s v="Second Class"/>
    <x v="1"/>
    <s v="United States"/>
    <s v="Long Beach"/>
    <x v="15"/>
    <n v="11561"/>
    <x v="3"/>
    <x v="1"/>
    <x v="2"/>
    <n v="8.67"/>
    <n v="3"/>
    <n v="0"/>
    <n v="4.0749000000000004"/>
  </r>
  <r>
    <s v="Second Class"/>
    <x v="1"/>
    <s v="United States"/>
    <s v="Long Beach"/>
    <x v="15"/>
    <n v="11561"/>
    <x v="3"/>
    <x v="1"/>
    <x v="14"/>
    <n v="25.71"/>
    <n v="3"/>
    <n v="0"/>
    <n v="6.6845999999999997"/>
  </r>
  <r>
    <s v="Standard Class"/>
    <x v="0"/>
    <s v="United States"/>
    <s v="Newark"/>
    <x v="13"/>
    <n v="19711"/>
    <x v="3"/>
    <x v="1"/>
    <x v="9"/>
    <n v="100.94"/>
    <n v="7"/>
    <n v="0"/>
    <n v="33.310200000000002"/>
  </r>
  <r>
    <s v="First Class"/>
    <x v="0"/>
    <s v="United States"/>
    <s v="Buffalo"/>
    <x v="15"/>
    <n v="14215"/>
    <x v="3"/>
    <x v="0"/>
    <x v="1"/>
    <n v="63.881999999999998"/>
    <n v="1"/>
    <n v="0.1"/>
    <n v="10.647"/>
  </r>
  <r>
    <s v="Standard Class"/>
    <x v="0"/>
    <s v="United States"/>
    <s v="Houston"/>
    <x v="5"/>
    <n v="77070"/>
    <x v="2"/>
    <x v="0"/>
    <x v="1"/>
    <n v="683.14400000000001"/>
    <n v="4"/>
    <n v="0.3"/>
    <n v="0"/>
  </r>
  <r>
    <s v="Standard Class"/>
    <x v="0"/>
    <s v="United States"/>
    <s v="Houston"/>
    <x v="5"/>
    <n v="77070"/>
    <x v="2"/>
    <x v="1"/>
    <x v="8"/>
    <n v="1.476"/>
    <n v="3"/>
    <n v="0.8"/>
    <n v="-2.214"/>
  </r>
  <r>
    <s v="Standard Class"/>
    <x v="0"/>
    <s v="United States"/>
    <s v="Houston"/>
    <x v="5"/>
    <n v="77070"/>
    <x v="2"/>
    <x v="1"/>
    <x v="14"/>
    <n v="40.712000000000003"/>
    <n v="7"/>
    <n v="0.2"/>
    <n v="3.5623"/>
  </r>
  <r>
    <s v="Standard Class"/>
    <x v="0"/>
    <s v="United States"/>
    <s v="Wichita"/>
    <x v="41"/>
    <n v="67212"/>
    <x v="2"/>
    <x v="1"/>
    <x v="10"/>
    <n v="279.89999999999998"/>
    <n v="5"/>
    <n v="0"/>
    <n v="137.15100000000001"/>
  </r>
  <r>
    <s v="Standard Class"/>
    <x v="0"/>
    <s v="United States"/>
    <s v="Colorado Springs"/>
    <x v="22"/>
    <n v="80906"/>
    <x v="1"/>
    <x v="1"/>
    <x v="6"/>
    <n v="13.12"/>
    <n v="5"/>
    <n v="0.2"/>
    <n v="1.1479999999999999"/>
  </r>
  <r>
    <s v="Standard Class"/>
    <x v="0"/>
    <s v="United States"/>
    <s v="Colorado Springs"/>
    <x v="22"/>
    <n v="80906"/>
    <x v="1"/>
    <x v="0"/>
    <x v="0"/>
    <n v="69.575999999999993"/>
    <n v="4"/>
    <n v="0.7"/>
    <n v="-143.79040000000001"/>
  </r>
  <r>
    <s v="Standard Class"/>
    <x v="0"/>
    <s v="United States"/>
    <s v="Colorado Springs"/>
    <x v="22"/>
    <n v="80906"/>
    <x v="1"/>
    <x v="1"/>
    <x v="6"/>
    <n v="4.2240000000000002"/>
    <n v="3"/>
    <n v="0.2"/>
    <n v="0.47520000000000001"/>
  </r>
  <r>
    <s v="Standard Class"/>
    <x v="0"/>
    <s v="United States"/>
    <s v="Colorado Springs"/>
    <x v="22"/>
    <n v="80906"/>
    <x v="1"/>
    <x v="2"/>
    <x v="11"/>
    <n v="58.08"/>
    <n v="4"/>
    <n v="0.2"/>
    <n v="-6.5339999999999998"/>
  </r>
  <r>
    <s v="Standard Class"/>
    <x v="0"/>
    <s v="United States"/>
    <s v="Colorado Springs"/>
    <x v="22"/>
    <n v="80906"/>
    <x v="1"/>
    <x v="0"/>
    <x v="5"/>
    <n v="52.415999999999997"/>
    <n v="9"/>
    <n v="0.2"/>
    <n v="15.069599999999999"/>
  </r>
  <r>
    <s v="Standard Class"/>
    <x v="0"/>
    <s v="United States"/>
    <s v="Colorado Springs"/>
    <x v="22"/>
    <n v="80906"/>
    <x v="1"/>
    <x v="0"/>
    <x v="5"/>
    <n v="54.92"/>
    <n v="5"/>
    <n v="0.2"/>
    <n v="10.984"/>
  </r>
  <r>
    <s v="Standard Class"/>
    <x v="0"/>
    <s v="United States"/>
    <s v="Colorado Springs"/>
    <x v="22"/>
    <n v="80906"/>
    <x v="1"/>
    <x v="0"/>
    <x v="3"/>
    <n v="364.95"/>
    <n v="5"/>
    <n v="0.5"/>
    <n v="-248.166"/>
  </r>
  <r>
    <s v="Standard Class"/>
    <x v="0"/>
    <s v="United States"/>
    <s v="Colorado Springs"/>
    <x v="22"/>
    <n v="80906"/>
    <x v="1"/>
    <x v="1"/>
    <x v="10"/>
    <n v="85.055999999999997"/>
    <n v="3"/>
    <n v="0.2"/>
    <n v="28.706399999999999"/>
  </r>
  <r>
    <s v="Standard Class"/>
    <x v="0"/>
    <s v="United States"/>
    <s v="Colorado Springs"/>
    <x v="22"/>
    <n v="80906"/>
    <x v="1"/>
    <x v="1"/>
    <x v="10"/>
    <n v="27.696000000000002"/>
    <n v="3"/>
    <n v="0.2"/>
    <n v="9.6936"/>
  </r>
  <r>
    <s v="Standard Class"/>
    <x v="0"/>
    <s v="United States"/>
    <s v="New York City"/>
    <x v="15"/>
    <n v="10011"/>
    <x v="3"/>
    <x v="1"/>
    <x v="10"/>
    <n v="24.96"/>
    <n v="4"/>
    <n v="0"/>
    <n v="11.231999999999999"/>
  </r>
  <r>
    <s v="Standard Class"/>
    <x v="1"/>
    <s v="United States"/>
    <s v="Los Angeles"/>
    <x v="1"/>
    <n v="90036"/>
    <x v="1"/>
    <x v="0"/>
    <x v="5"/>
    <n v="43.13"/>
    <n v="1"/>
    <n v="0"/>
    <n v="18.114599999999999"/>
  </r>
  <r>
    <s v="Standard Class"/>
    <x v="0"/>
    <s v="United States"/>
    <s v="Marietta"/>
    <x v="32"/>
    <n v="30062"/>
    <x v="0"/>
    <x v="1"/>
    <x v="8"/>
    <n v="5.64"/>
    <n v="3"/>
    <n v="0"/>
    <n v="2.7071999999999998"/>
  </r>
  <r>
    <s v="Standard Class"/>
    <x v="1"/>
    <s v="United States"/>
    <s v="Jacksonville"/>
    <x v="2"/>
    <n v="32216"/>
    <x v="0"/>
    <x v="1"/>
    <x v="8"/>
    <n v="57.582000000000001"/>
    <n v="3"/>
    <n v="0.7"/>
    <n v="-44.1462"/>
  </r>
  <r>
    <s v="Standard Class"/>
    <x v="1"/>
    <s v="United States"/>
    <s v="Jacksonville"/>
    <x v="2"/>
    <n v="32216"/>
    <x v="0"/>
    <x v="1"/>
    <x v="10"/>
    <n v="31.103999999999999"/>
    <n v="6"/>
    <n v="0.2"/>
    <n v="10.8864"/>
  </r>
  <r>
    <s v="Standard Class"/>
    <x v="1"/>
    <s v="United States"/>
    <s v="Jacksonville"/>
    <x v="2"/>
    <n v="32216"/>
    <x v="0"/>
    <x v="0"/>
    <x v="5"/>
    <n v="30.192"/>
    <n v="3"/>
    <n v="0.2"/>
    <n v="8.3027999999999995"/>
  </r>
  <r>
    <s v="Standard Class"/>
    <x v="1"/>
    <s v="United States"/>
    <s v="Jacksonville"/>
    <x v="2"/>
    <n v="32216"/>
    <x v="0"/>
    <x v="2"/>
    <x v="7"/>
    <n v="43.6"/>
    <n v="5"/>
    <n v="0.2"/>
    <n v="4.3600000000000003"/>
  </r>
  <r>
    <s v="Standard Class"/>
    <x v="1"/>
    <s v="United States"/>
    <s v="Jacksonville"/>
    <x v="2"/>
    <n v="32216"/>
    <x v="0"/>
    <x v="1"/>
    <x v="6"/>
    <n v="4.7679999999999998"/>
    <n v="2"/>
    <n v="0.2"/>
    <n v="0.41720000000000002"/>
  </r>
  <r>
    <s v="Standard Class"/>
    <x v="1"/>
    <s v="United States"/>
    <s v="Jacksonville"/>
    <x v="2"/>
    <n v="32216"/>
    <x v="0"/>
    <x v="1"/>
    <x v="8"/>
    <n v="10.38"/>
    <n v="2"/>
    <n v="0.7"/>
    <n v="-7.6120000000000001"/>
  </r>
  <r>
    <s v="Standard Class"/>
    <x v="1"/>
    <s v="United States"/>
    <s v="Jacksonville"/>
    <x v="2"/>
    <n v="32216"/>
    <x v="0"/>
    <x v="1"/>
    <x v="8"/>
    <n v="13.391999999999999"/>
    <n v="8"/>
    <n v="0.7"/>
    <n v="-9.8208000000000002"/>
  </r>
  <r>
    <s v="Second Class"/>
    <x v="0"/>
    <s v="United States"/>
    <s v="Philadelphia"/>
    <x v="9"/>
    <n v="19140"/>
    <x v="3"/>
    <x v="2"/>
    <x v="7"/>
    <n v="39.594000000000001"/>
    <n v="1"/>
    <n v="0.4"/>
    <n v="-7.2588999999999997"/>
  </r>
  <r>
    <s v="Second Class"/>
    <x v="0"/>
    <s v="United States"/>
    <s v="Philadelphia"/>
    <x v="9"/>
    <n v="19140"/>
    <x v="3"/>
    <x v="0"/>
    <x v="5"/>
    <n v="91.007999999999996"/>
    <n v="9"/>
    <n v="0.2"/>
    <n v="19.339200000000002"/>
  </r>
  <r>
    <s v="Second Class"/>
    <x v="0"/>
    <s v="United States"/>
    <s v="Los Angeles"/>
    <x v="1"/>
    <n v="90008"/>
    <x v="1"/>
    <x v="1"/>
    <x v="10"/>
    <n v="37.94"/>
    <n v="2"/>
    <n v="0"/>
    <n v="18.211200000000002"/>
  </r>
  <r>
    <s v="Second Class"/>
    <x v="0"/>
    <s v="United States"/>
    <s v="Los Angeles"/>
    <x v="1"/>
    <n v="90008"/>
    <x v="1"/>
    <x v="1"/>
    <x v="10"/>
    <n v="42.8"/>
    <n v="10"/>
    <n v="0"/>
    <n v="19.260000000000002"/>
  </r>
  <r>
    <s v="Second Class"/>
    <x v="0"/>
    <s v="United States"/>
    <s v="Los Angeles"/>
    <x v="1"/>
    <n v="90008"/>
    <x v="1"/>
    <x v="1"/>
    <x v="4"/>
    <n v="33.630000000000003"/>
    <n v="3"/>
    <n v="0"/>
    <n v="10.089"/>
  </r>
  <r>
    <s v="Standard Class"/>
    <x v="1"/>
    <s v="United States"/>
    <s v="Philadelphia"/>
    <x v="9"/>
    <n v="19134"/>
    <x v="3"/>
    <x v="1"/>
    <x v="12"/>
    <n v="62.808"/>
    <n v="3"/>
    <n v="0.2"/>
    <n v="21.197700000000001"/>
  </r>
  <r>
    <s v="First Class"/>
    <x v="0"/>
    <s v="United States"/>
    <s v="Eau Claire"/>
    <x v="6"/>
    <n v="54703"/>
    <x v="2"/>
    <x v="1"/>
    <x v="10"/>
    <n v="195.64"/>
    <n v="4"/>
    <n v="0"/>
    <n v="91.950800000000001"/>
  </r>
  <r>
    <s v="First Class"/>
    <x v="0"/>
    <s v="United States"/>
    <s v="Eau Claire"/>
    <x v="6"/>
    <n v="54703"/>
    <x v="2"/>
    <x v="2"/>
    <x v="7"/>
    <n v="239.9"/>
    <n v="2"/>
    <n v="0"/>
    <n v="71.97"/>
  </r>
  <r>
    <s v="Second Class"/>
    <x v="0"/>
    <s v="United States"/>
    <s v="Philadelphia"/>
    <x v="9"/>
    <n v="19134"/>
    <x v="3"/>
    <x v="0"/>
    <x v="1"/>
    <n v="380.05799999999999"/>
    <n v="3"/>
    <n v="0.3"/>
    <n v="-21.717600000000001"/>
  </r>
  <r>
    <s v="Second Class"/>
    <x v="0"/>
    <s v="United States"/>
    <s v="Philadelphia"/>
    <x v="9"/>
    <n v="19134"/>
    <x v="3"/>
    <x v="2"/>
    <x v="16"/>
    <n v="1199.9760000000001"/>
    <n v="4"/>
    <n v="0.4"/>
    <n v="179.99639999999999"/>
  </r>
  <r>
    <s v="Second Class"/>
    <x v="0"/>
    <s v="United States"/>
    <s v="Philadelphia"/>
    <x v="9"/>
    <n v="19134"/>
    <x v="3"/>
    <x v="0"/>
    <x v="5"/>
    <n v="48.576000000000001"/>
    <n v="3"/>
    <n v="0.2"/>
    <n v="9.7151999999999994"/>
  </r>
  <r>
    <s v="First Class"/>
    <x v="0"/>
    <s v="United States"/>
    <s v="Los Angeles"/>
    <x v="1"/>
    <n v="90004"/>
    <x v="1"/>
    <x v="1"/>
    <x v="10"/>
    <n v="17.940000000000001"/>
    <n v="3"/>
    <n v="0"/>
    <n v="8.0730000000000004"/>
  </r>
  <r>
    <s v="Standard Class"/>
    <x v="0"/>
    <s v="United States"/>
    <s v="Philadelphia"/>
    <x v="9"/>
    <n v="19134"/>
    <x v="3"/>
    <x v="1"/>
    <x v="10"/>
    <n v="18.263999999999999"/>
    <n v="3"/>
    <n v="0.2"/>
    <n v="6.1641000000000004"/>
  </r>
  <r>
    <s v="Standard Class"/>
    <x v="0"/>
    <s v="United States"/>
    <s v="Philadelphia"/>
    <x v="9"/>
    <n v="19134"/>
    <x v="3"/>
    <x v="1"/>
    <x v="9"/>
    <n v="34.655999999999999"/>
    <n v="2"/>
    <n v="0.2"/>
    <n v="5.6315999999999997"/>
  </r>
  <r>
    <s v="Standard Class"/>
    <x v="0"/>
    <s v="United States"/>
    <s v="Philadelphia"/>
    <x v="9"/>
    <n v="19134"/>
    <x v="3"/>
    <x v="1"/>
    <x v="9"/>
    <n v="81.552000000000007"/>
    <n v="2"/>
    <n v="0.2"/>
    <n v="8.1552000000000007"/>
  </r>
  <r>
    <s v="Standard Class"/>
    <x v="0"/>
    <s v="United States"/>
    <s v="Philadelphia"/>
    <x v="9"/>
    <n v="19134"/>
    <x v="3"/>
    <x v="1"/>
    <x v="4"/>
    <n v="227.136"/>
    <n v="4"/>
    <n v="0.2"/>
    <n v="-42.588000000000001"/>
  </r>
  <r>
    <s v="Standard Class"/>
    <x v="0"/>
    <s v="United States"/>
    <s v="Norwich"/>
    <x v="29"/>
    <n v="6360"/>
    <x v="3"/>
    <x v="1"/>
    <x v="8"/>
    <n v="10.36"/>
    <n v="2"/>
    <n v="0"/>
    <n v="5.0763999999999996"/>
  </r>
  <r>
    <s v="Standard Class"/>
    <x v="0"/>
    <s v="United States"/>
    <s v="San Antonio"/>
    <x v="5"/>
    <n v="78207"/>
    <x v="2"/>
    <x v="1"/>
    <x v="9"/>
    <n v="463.24799999999999"/>
    <n v="8"/>
    <n v="0.8"/>
    <n v="-1181.2824000000001"/>
  </r>
  <r>
    <s v="Standard Class"/>
    <x v="0"/>
    <s v="United States"/>
    <s v="San Antonio"/>
    <x v="5"/>
    <n v="78207"/>
    <x v="2"/>
    <x v="2"/>
    <x v="11"/>
    <n v="383.952"/>
    <n v="6"/>
    <n v="0.2"/>
    <n v="47.994"/>
  </r>
  <r>
    <s v="Same Day"/>
    <x v="2"/>
    <s v="United States"/>
    <s v="Yuma"/>
    <x v="16"/>
    <n v="85364"/>
    <x v="1"/>
    <x v="1"/>
    <x v="8"/>
    <n v="44.856000000000002"/>
    <n v="6"/>
    <n v="0.7"/>
    <n v="-35.884799999999998"/>
  </r>
  <r>
    <s v="Standard Class"/>
    <x v="0"/>
    <s v="United States"/>
    <s v="Columbus"/>
    <x v="24"/>
    <n v="43229"/>
    <x v="3"/>
    <x v="2"/>
    <x v="15"/>
    <n v="30.344999999999999"/>
    <n v="7"/>
    <n v="0.7"/>
    <n v="-24.276"/>
  </r>
  <r>
    <s v="Standard Class"/>
    <x v="0"/>
    <s v="United States"/>
    <s v="Columbus"/>
    <x v="24"/>
    <n v="43229"/>
    <x v="3"/>
    <x v="0"/>
    <x v="1"/>
    <n v="127.554"/>
    <n v="3"/>
    <n v="0.3"/>
    <n v="-9.1110000000000007"/>
  </r>
  <r>
    <s v="Standard Class"/>
    <x v="0"/>
    <s v="United States"/>
    <s v="Columbus"/>
    <x v="24"/>
    <n v="43229"/>
    <x v="3"/>
    <x v="0"/>
    <x v="5"/>
    <n v="77.951999999999998"/>
    <n v="3"/>
    <n v="0.2"/>
    <n v="15.590400000000001"/>
  </r>
  <r>
    <s v="First Class"/>
    <x v="1"/>
    <s v="United States"/>
    <s v="Los Angeles"/>
    <x v="1"/>
    <n v="90036"/>
    <x v="1"/>
    <x v="1"/>
    <x v="8"/>
    <n v="14.016"/>
    <n v="4"/>
    <n v="0.2"/>
    <n v="4.9055999999999997"/>
  </r>
  <r>
    <s v="Standard Class"/>
    <x v="1"/>
    <s v="United States"/>
    <s v="Richmond"/>
    <x v="0"/>
    <n v="40475"/>
    <x v="0"/>
    <x v="1"/>
    <x v="4"/>
    <n v="69.52"/>
    <n v="2"/>
    <n v="0"/>
    <n v="19.465599999999998"/>
  </r>
  <r>
    <s v="Standard Class"/>
    <x v="1"/>
    <s v="United States"/>
    <s v="Richmond"/>
    <x v="0"/>
    <n v="40475"/>
    <x v="0"/>
    <x v="1"/>
    <x v="6"/>
    <n v="5.64"/>
    <n v="3"/>
    <n v="0"/>
    <n v="1.6355999999999999"/>
  </r>
  <r>
    <s v="Standard Class"/>
    <x v="0"/>
    <s v="United States"/>
    <s v="New York City"/>
    <x v="15"/>
    <n v="10035"/>
    <x v="3"/>
    <x v="1"/>
    <x v="8"/>
    <n v="13.776"/>
    <n v="3"/>
    <n v="0.2"/>
    <n v="4.4771999999999998"/>
  </r>
  <r>
    <s v="Standard Class"/>
    <x v="0"/>
    <s v="United States"/>
    <s v="Wausau"/>
    <x v="6"/>
    <n v="54401"/>
    <x v="2"/>
    <x v="1"/>
    <x v="9"/>
    <n v="245.88"/>
    <n v="6"/>
    <n v="0"/>
    <n v="68.846400000000003"/>
  </r>
  <r>
    <s v="Standard Class"/>
    <x v="0"/>
    <s v="United States"/>
    <s v="Wausau"/>
    <x v="6"/>
    <n v="54401"/>
    <x v="2"/>
    <x v="1"/>
    <x v="4"/>
    <n v="36.630000000000003"/>
    <n v="3"/>
    <n v="0"/>
    <n v="9.8901000000000003"/>
  </r>
  <r>
    <s v="Standard Class"/>
    <x v="0"/>
    <s v="United States"/>
    <s v="Wausau"/>
    <x v="6"/>
    <n v="54401"/>
    <x v="2"/>
    <x v="1"/>
    <x v="4"/>
    <n v="22.58"/>
    <n v="2"/>
    <n v="0"/>
    <n v="5.8708"/>
  </r>
  <r>
    <s v="Standard Class"/>
    <x v="0"/>
    <s v="United States"/>
    <s v="Wausau"/>
    <x v="6"/>
    <n v="54401"/>
    <x v="2"/>
    <x v="1"/>
    <x v="8"/>
    <n v="12.39"/>
    <n v="3"/>
    <n v="0"/>
    <n v="5.8232999999999997"/>
  </r>
  <r>
    <s v="Standard Class"/>
    <x v="2"/>
    <s v="United States"/>
    <s v="San Francisco"/>
    <x v="1"/>
    <n v="94110"/>
    <x v="1"/>
    <x v="1"/>
    <x v="8"/>
    <n v="39.92"/>
    <n v="5"/>
    <n v="0.2"/>
    <n v="13.473000000000001"/>
  </r>
  <r>
    <s v="Standard Class"/>
    <x v="2"/>
    <s v="United States"/>
    <s v="San Francisco"/>
    <x v="1"/>
    <n v="94110"/>
    <x v="1"/>
    <x v="1"/>
    <x v="10"/>
    <n v="61.96"/>
    <n v="2"/>
    <n v="0"/>
    <n v="27.882000000000001"/>
  </r>
  <r>
    <s v="Standard Class"/>
    <x v="2"/>
    <s v="United States"/>
    <s v="San Francisco"/>
    <x v="1"/>
    <n v="94110"/>
    <x v="1"/>
    <x v="1"/>
    <x v="8"/>
    <n v="19.936"/>
    <n v="4"/>
    <n v="0.2"/>
    <n v="7.2267999999999999"/>
  </r>
  <r>
    <s v="First Class"/>
    <x v="0"/>
    <s v="United States"/>
    <s v="Dublin"/>
    <x v="24"/>
    <n v="43017"/>
    <x v="3"/>
    <x v="1"/>
    <x v="8"/>
    <n v="3.798"/>
    <n v="2"/>
    <n v="0.7"/>
    <n v="-2.6585999999999999"/>
  </r>
  <r>
    <s v="First Class"/>
    <x v="0"/>
    <s v="United States"/>
    <s v="Dublin"/>
    <x v="24"/>
    <n v="43017"/>
    <x v="3"/>
    <x v="1"/>
    <x v="10"/>
    <n v="27.744"/>
    <n v="6"/>
    <n v="0.2"/>
    <n v="10.0572"/>
  </r>
  <r>
    <s v="First Class"/>
    <x v="0"/>
    <s v="United States"/>
    <s v="Dublin"/>
    <x v="24"/>
    <n v="43017"/>
    <x v="3"/>
    <x v="2"/>
    <x v="7"/>
    <n v="158.376"/>
    <n v="4"/>
    <n v="0.4"/>
    <n v="-34.314799999999998"/>
  </r>
  <r>
    <s v="Standard Class"/>
    <x v="2"/>
    <s v="United States"/>
    <s v="Henderson"/>
    <x v="0"/>
    <n v="42420"/>
    <x v="0"/>
    <x v="0"/>
    <x v="5"/>
    <n v="27.58"/>
    <n v="2"/>
    <n v="0"/>
    <n v="11.583600000000001"/>
  </r>
  <r>
    <s v="Standard Class"/>
    <x v="0"/>
    <s v="United States"/>
    <s v="Bowling Green"/>
    <x v="24"/>
    <n v="43402"/>
    <x v="3"/>
    <x v="1"/>
    <x v="8"/>
    <n v="5.5529999999999999"/>
    <n v="3"/>
    <n v="0.7"/>
    <n v="-4.0721999999999996"/>
  </r>
  <r>
    <s v="Standard Class"/>
    <x v="0"/>
    <s v="United States"/>
    <s v="Memphis"/>
    <x v="18"/>
    <n v="38109"/>
    <x v="0"/>
    <x v="1"/>
    <x v="4"/>
    <n v="243.92"/>
    <n v="5"/>
    <n v="0.2"/>
    <n v="-54.881999999999998"/>
  </r>
  <r>
    <s v="First Class"/>
    <x v="0"/>
    <s v="United States"/>
    <s v="Lakewood"/>
    <x v="30"/>
    <n v="8701"/>
    <x v="3"/>
    <x v="1"/>
    <x v="13"/>
    <n v="14.96"/>
    <n v="4"/>
    <n v="0"/>
    <n v="0.29920000000000002"/>
  </r>
  <r>
    <s v="First Class"/>
    <x v="1"/>
    <s v="United States"/>
    <s v="Los Angeles"/>
    <x v="1"/>
    <n v="90008"/>
    <x v="1"/>
    <x v="1"/>
    <x v="8"/>
    <n v="7.1840000000000002"/>
    <n v="2"/>
    <n v="0.2"/>
    <n v="2.2450000000000001"/>
  </r>
  <r>
    <s v="Second Class"/>
    <x v="0"/>
    <s v="United States"/>
    <s v="Rochester"/>
    <x v="15"/>
    <n v="14609"/>
    <x v="3"/>
    <x v="1"/>
    <x v="8"/>
    <n v="10.512"/>
    <n v="3"/>
    <n v="0.2"/>
    <n v="3.6791999999999998"/>
  </r>
  <r>
    <s v="Second Class"/>
    <x v="1"/>
    <s v="United States"/>
    <s v="Salem"/>
    <x v="21"/>
    <n v="97301"/>
    <x v="1"/>
    <x v="2"/>
    <x v="7"/>
    <n v="263.95999999999998"/>
    <n v="5"/>
    <n v="0.2"/>
    <n v="19.797000000000001"/>
  </r>
  <r>
    <s v="Second Class"/>
    <x v="1"/>
    <s v="United States"/>
    <s v="Salem"/>
    <x v="21"/>
    <n v="97301"/>
    <x v="1"/>
    <x v="1"/>
    <x v="6"/>
    <n v="71.632000000000005"/>
    <n v="11"/>
    <n v="0.2"/>
    <n v="17.908000000000001"/>
  </r>
  <r>
    <s v="Second Class"/>
    <x v="1"/>
    <s v="United States"/>
    <s v="Salem"/>
    <x v="21"/>
    <n v="97301"/>
    <x v="1"/>
    <x v="1"/>
    <x v="6"/>
    <n v="9.3279999999999994"/>
    <n v="1"/>
    <n v="0.2"/>
    <n v="0.81620000000000004"/>
  </r>
  <r>
    <s v="Standard Class"/>
    <x v="0"/>
    <s v="United States"/>
    <s v="Pasco"/>
    <x v="4"/>
    <n v="99301"/>
    <x v="1"/>
    <x v="1"/>
    <x v="6"/>
    <n v="5.88"/>
    <n v="2"/>
    <n v="0"/>
    <n v="2.6459999999999999"/>
  </r>
  <r>
    <s v="Standard Class"/>
    <x v="0"/>
    <s v="United States"/>
    <s v="Pasco"/>
    <x v="4"/>
    <n v="99301"/>
    <x v="1"/>
    <x v="0"/>
    <x v="1"/>
    <n v="975.92"/>
    <n v="5"/>
    <n v="0.2"/>
    <n v="121.99"/>
  </r>
  <r>
    <s v="Standard Class"/>
    <x v="0"/>
    <s v="United States"/>
    <s v="Pasco"/>
    <x v="4"/>
    <n v="99301"/>
    <x v="1"/>
    <x v="1"/>
    <x v="6"/>
    <n v="303.83999999999997"/>
    <n v="8"/>
    <n v="0"/>
    <n v="91.152000000000001"/>
  </r>
  <r>
    <s v="Standard Class"/>
    <x v="0"/>
    <s v="United States"/>
    <s v="Pasco"/>
    <x v="4"/>
    <n v="99301"/>
    <x v="1"/>
    <x v="1"/>
    <x v="4"/>
    <n v="485.88"/>
    <n v="6"/>
    <n v="0"/>
    <n v="19.435199999999998"/>
  </r>
  <r>
    <s v="Second Class"/>
    <x v="0"/>
    <s v="United States"/>
    <s v="Oakland"/>
    <x v="1"/>
    <n v="94601"/>
    <x v="1"/>
    <x v="0"/>
    <x v="5"/>
    <n v="12.54"/>
    <n v="3"/>
    <n v="0"/>
    <n v="4.5144000000000002"/>
  </r>
  <r>
    <s v="Second Class"/>
    <x v="0"/>
    <s v="United States"/>
    <s v="Oakland"/>
    <x v="1"/>
    <n v="94601"/>
    <x v="1"/>
    <x v="1"/>
    <x v="4"/>
    <n v="8.94"/>
    <n v="3"/>
    <n v="0"/>
    <n v="0.62580000000000002"/>
  </r>
  <r>
    <s v="Second Class"/>
    <x v="0"/>
    <s v="United States"/>
    <s v="Oakland"/>
    <x v="1"/>
    <n v="94601"/>
    <x v="1"/>
    <x v="0"/>
    <x v="5"/>
    <n v="9.24"/>
    <n v="3"/>
    <n v="0"/>
    <n v="4.4352"/>
  </r>
  <r>
    <s v="Standard Class"/>
    <x v="0"/>
    <s v="United States"/>
    <s v="Los Angeles"/>
    <x v="1"/>
    <n v="90004"/>
    <x v="1"/>
    <x v="1"/>
    <x v="8"/>
    <n v="70.007999999999996"/>
    <n v="3"/>
    <n v="0.2"/>
    <n v="24.502800000000001"/>
  </r>
  <r>
    <s v="Standard Class"/>
    <x v="0"/>
    <s v="United States"/>
    <s v="Los Angeles"/>
    <x v="1"/>
    <n v="90004"/>
    <x v="1"/>
    <x v="0"/>
    <x v="5"/>
    <n v="77.599999999999994"/>
    <n v="4"/>
    <n v="0"/>
    <n v="38.024000000000001"/>
  </r>
  <r>
    <s v="Standard Class"/>
    <x v="0"/>
    <s v="United States"/>
    <s v="Los Angeles"/>
    <x v="1"/>
    <n v="90004"/>
    <x v="1"/>
    <x v="0"/>
    <x v="5"/>
    <n v="464.85"/>
    <n v="9"/>
    <n v="0"/>
    <n v="92.97"/>
  </r>
  <r>
    <s v="Standard Class"/>
    <x v="1"/>
    <s v="United States"/>
    <s v="Oak Park"/>
    <x v="10"/>
    <n v="60302"/>
    <x v="2"/>
    <x v="1"/>
    <x v="6"/>
    <n v="10.192"/>
    <n v="7"/>
    <n v="0.2"/>
    <n v="1.0192000000000001"/>
  </r>
  <r>
    <s v="Standard Class"/>
    <x v="1"/>
    <s v="United States"/>
    <s v="Morristown"/>
    <x v="30"/>
    <n v="7960"/>
    <x v="3"/>
    <x v="1"/>
    <x v="8"/>
    <n v="1793.98"/>
    <n v="2"/>
    <n v="0"/>
    <n v="843.17060000000004"/>
  </r>
  <r>
    <s v="Second Class"/>
    <x v="2"/>
    <s v="United States"/>
    <s v="Austin"/>
    <x v="5"/>
    <n v="78745"/>
    <x v="2"/>
    <x v="2"/>
    <x v="7"/>
    <n v="758.35199999999998"/>
    <n v="6"/>
    <n v="0.2"/>
    <n v="265.42320000000001"/>
  </r>
  <r>
    <s v="Standard Class"/>
    <x v="1"/>
    <s v="United States"/>
    <s v="New York City"/>
    <x v="15"/>
    <n v="10011"/>
    <x v="3"/>
    <x v="1"/>
    <x v="8"/>
    <n v="20.367999999999999"/>
    <n v="1"/>
    <n v="0.2"/>
    <n v="7.3834"/>
  </r>
  <r>
    <s v="Standard Class"/>
    <x v="1"/>
    <s v="United States"/>
    <s v="New York City"/>
    <x v="15"/>
    <n v="10011"/>
    <x v="3"/>
    <x v="1"/>
    <x v="8"/>
    <n v="49.847999999999999"/>
    <n v="3"/>
    <n v="0.2"/>
    <n v="16.823699999999999"/>
  </r>
  <r>
    <s v="Standard Class"/>
    <x v="0"/>
    <s v="United States"/>
    <s v="New York City"/>
    <x v="15"/>
    <n v="10024"/>
    <x v="3"/>
    <x v="2"/>
    <x v="7"/>
    <n v="239.97"/>
    <n v="3"/>
    <n v="0"/>
    <n v="67.191599999999994"/>
  </r>
  <r>
    <s v="Standard Class"/>
    <x v="0"/>
    <s v="United States"/>
    <s v="Seattle"/>
    <x v="4"/>
    <n v="98103"/>
    <x v="1"/>
    <x v="0"/>
    <x v="1"/>
    <n v="2404.7040000000002"/>
    <n v="6"/>
    <n v="0.2"/>
    <n v="150.29400000000001"/>
  </r>
  <r>
    <s v="Standard Class"/>
    <x v="0"/>
    <s v="United States"/>
    <s v="Seattle"/>
    <x v="4"/>
    <n v="98103"/>
    <x v="1"/>
    <x v="1"/>
    <x v="8"/>
    <n v="563.024"/>
    <n v="11"/>
    <n v="0.2"/>
    <n v="190.0206"/>
  </r>
  <r>
    <s v="Standard Class"/>
    <x v="0"/>
    <s v="United States"/>
    <s v="Seattle"/>
    <x v="4"/>
    <n v="98103"/>
    <x v="1"/>
    <x v="1"/>
    <x v="4"/>
    <n v="344.91"/>
    <n v="3"/>
    <n v="0"/>
    <n v="10.347300000000001"/>
  </r>
  <r>
    <s v="Standard Class"/>
    <x v="0"/>
    <s v="United States"/>
    <s v="Seattle"/>
    <x v="4"/>
    <n v="98103"/>
    <x v="1"/>
    <x v="1"/>
    <x v="2"/>
    <n v="8.64"/>
    <n v="3"/>
    <n v="0"/>
    <n v="4.2336"/>
  </r>
  <r>
    <s v="Standard Class"/>
    <x v="1"/>
    <s v="United States"/>
    <s v="Lancaster"/>
    <x v="9"/>
    <n v="17602"/>
    <x v="3"/>
    <x v="2"/>
    <x v="7"/>
    <n v="89.988"/>
    <n v="2"/>
    <n v="0.4"/>
    <n v="-14.997999999999999"/>
  </r>
  <r>
    <s v="Standard Class"/>
    <x v="1"/>
    <s v="United States"/>
    <s v="Lancaster"/>
    <x v="9"/>
    <n v="17602"/>
    <x v="3"/>
    <x v="1"/>
    <x v="10"/>
    <n v="229.54400000000001"/>
    <n v="7"/>
    <n v="0.2"/>
    <n v="83.209699999999998"/>
  </r>
  <r>
    <s v="Standard Class"/>
    <x v="0"/>
    <s v="United States"/>
    <s v="Houston"/>
    <x v="5"/>
    <n v="77095"/>
    <x v="2"/>
    <x v="1"/>
    <x v="13"/>
    <n v="1.8240000000000001"/>
    <n v="2"/>
    <n v="0.2"/>
    <n v="0.61560000000000004"/>
  </r>
  <r>
    <s v="Standard Class"/>
    <x v="0"/>
    <s v="United States"/>
    <s v="Houston"/>
    <x v="5"/>
    <n v="77095"/>
    <x v="2"/>
    <x v="1"/>
    <x v="9"/>
    <n v="18.32"/>
    <n v="5"/>
    <n v="0.8"/>
    <n v="-46.716000000000001"/>
  </r>
  <r>
    <s v="Standard Class"/>
    <x v="0"/>
    <s v="United States"/>
    <s v="Houston"/>
    <x v="5"/>
    <n v="77095"/>
    <x v="2"/>
    <x v="1"/>
    <x v="4"/>
    <n v="48.816000000000003"/>
    <n v="3"/>
    <n v="0.2"/>
    <n v="-11.5938"/>
  </r>
  <r>
    <s v="Standard Class"/>
    <x v="0"/>
    <s v="United States"/>
    <s v="Houston"/>
    <x v="5"/>
    <n v="77095"/>
    <x v="2"/>
    <x v="1"/>
    <x v="8"/>
    <n v="1.1879999999999999"/>
    <n v="1"/>
    <n v="0.8"/>
    <n v="-1.9601999999999999"/>
  </r>
  <r>
    <s v="Standard Class"/>
    <x v="1"/>
    <s v="United States"/>
    <s v="Columbus"/>
    <x v="24"/>
    <n v="43229"/>
    <x v="3"/>
    <x v="2"/>
    <x v="11"/>
    <n v="119.8"/>
    <n v="5"/>
    <n v="0.2"/>
    <n v="29.95"/>
  </r>
  <r>
    <s v="Standard Class"/>
    <x v="2"/>
    <s v="United States"/>
    <s v="Durham"/>
    <x v="3"/>
    <n v="27707"/>
    <x v="0"/>
    <x v="1"/>
    <x v="4"/>
    <n v="61.567999999999998"/>
    <n v="2"/>
    <n v="0.2"/>
    <n v="4.6176000000000004"/>
  </r>
  <r>
    <s v="Standard Class"/>
    <x v="2"/>
    <s v="United States"/>
    <s v="Durham"/>
    <x v="3"/>
    <n v="27707"/>
    <x v="0"/>
    <x v="1"/>
    <x v="6"/>
    <n v="6.1920000000000002"/>
    <n v="3"/>
    <n v="0.2"/>
    <n v="0.46439999999999998"/>
  </r>
  <r>
    <s v="First Class"/>
    <x v="0"/>
    <s v="United States"/>
    <s v="Pensacola"/>
    <x v="2"/>
    <n v="32503"/>
    <x v="0"/>
    <x v="1"/>
    <x v="8"/>
    <n v="2.214"/>
    <n v="3"/>
    <n v="0.7"/>
    <n v="-1.476"/>
  </r>
  <r>
    <s v="Second Class"/>
    <x v="1"/>
    <s v="United States"/>
    <s v="Henderson"/>
    <x v="0"/>
    <n v="42420"/>
    <x v="0"/>
    <x v="1"/>
    <x v="12"/>
    <n v="5.32"/>
    <n v="2"/>
    <n v="0"/>
    <n v="2.6067999999999998"/>
  </r>
  <r>
    <s v="Second Class"/>
    <x v="1"/>
    <s v="United States"/>
    <s v="Henderson"/>
    <x v="0"/>
    <n v="42420"/>
    <x v="0"/>
    <x v="0"/>
    <x v="1"/>
    <n v="975.92"/>
    <n v="4"/>
    <n v="0"/>
    <n v="292.77600000000001"/>
  </r>
  <r>
    <s v="Second Class"/>
    <x v="1"/>
    <s v="United States"/>
    <s v="Henderson"/>
    <x v="0"/>
    <n v="42420"/>
    <x v="0"/>
    <x v="2"/>
    <x v="11"/>
    <n v="2249.91"/>
    <n v="9"/>
    <n v="0"/>
    <n v="517.47929999999997"/>
  </r>
  <r>
    <s v="Second Class"/>
    <x v="1"/>
    <s v="United States"/>
    <s v="Henderson"/>
    <x v="0"/>
    <n v="42420"/>
    <x v="0"/>
    <x v="1"/>
    <x v="4"/>
    <n v="59.92"/>
    <n v="4"/>
    <n v="0"/>
    <n v="16.7776"/>
  </r>
  <r>
    <s v="Standard Class"/>
    <x v="0"/>
    <s v="United States"/>
    <s v="Anaheim"/>
    <x v="1"/>
    <n v="92804"/>
    <x v="1"/>
    <x v="1"/>
    <x v="8"/>
    <n v="171.2"/>
    <n v="5"/>
    <n v="0.2"/>
    <n v="64.2"/>
  </r>
  <r>
    <s v="Standard Class"/>
    <x v="0"/>
    <s v="United States"/>
    <s v="Anaheim"/>
    <x v="1"/>
    <n v="92804"/>
    <x v="1"/>
    <x v="1"/>
    <x v="6"/>
    <n v="3.36"/>
    <n v="2"/>
    <n v="0"/>
    <n v="0.87360000000000004"/>
  </r>
  <r>
    <s v="Standard Class"/>
    <x v="1"/>
    <s v="United States"/>
    <s v="Detroit"/>
    <x v="12"/>
    <n v="48227"/>
    <x v="2"/>
    <x v="1"/>
    <x v="10"/>
    <n v="114.2"/>
    <n v="5"/>
    <n v="0"/>
    <n v="52.531999999999996"/>
  </r>
  <r>
    <s v="Second Class"/>
    <x v="1"/>
    <s v="United States"/>
    <s v="Marietta"/>
    <x v="32"/>
    <n v="30062"/>
    <x v="0"/>
    <x v="0"/>
    <x v="1"/>
    <n v="182.67"/>
    <n v="3"/>
    <n v="0"/>
    <n v="52.974299999999999"/>
  </r>
  <r>
    <s v="Second Class"/>
    <x v="1"/>
    <s v="United States"/>
    <s v="Marietta"/>
    <x v="32"/>
    <n v="30062"/>
    <x v="0"/>
    <x v="2"/>
    <x v="11"/>
    <n v="101.7"/>
    <n v="6"/>
    <n v="0"/>
    <n v="6.1020000000000003"/>
  </r>
  <r>
    <s v="Second Class"/>
    <x v="1"/>
    <s v="United States"/>
    <s v="Marietta"/>
    <x v="32"/>
    <n v="30062"/>
    <x v="0"/>
    <x v="1"/>
    <x v="4"/>
    <n v="1126.02"/>
    <n v="3"/>
    <n v="0"/>
    <n v="56.301000000000002"/>
  </r>
  <r>
    <s v="Second Class"/>
    <x v="1"/>
    <s v="United States"/>
    <s v="Marietta"/>
    <x v="32"/>
    <n v="30062"/>
    <x v="0"/>
    <x v="1"/>
    <x v="4"/>
    <n v="1263.3"/>
    <n v="6"/>
    <n v="0"/>
    <n v="315.82499999999999"/>
  </r>
  <r>
    <s v="Standard Class"/>
    <x v="1"/>
    <s v="United States"/>
    <s v="Seattle"/>
    <x v="4"/>
    <n v="98103"/>
    <x v="1"/>
    <x v="1"/>
    <x v="6"/>
    <n v="8.82"/>
    <n v="3"/>
    <n v="0"/>
    <n v="2.5577999999999999"/>
  </r>
  <r>
    <s v="Standard Class"/>
    <x v="1"/>
    <s v="United States"/>
    <s v="Seattle"/>
    <x v="4"/>
    <n v="98103"/>
    <x v="1"/>
    <x v="1"/>
    <x v="10"/>
    <n v="37.94"/>
    <n v="2"/>
    <n v="0"/>
    <n v="18.211200000000002"/>
  </r>
  <r>
    <s v="Standard Class"/>
    <x v="1"/>
    <s v="United States"/>
    <s v="Seattle"/>
    <x v="4"/>
    <n v="98103"/>
    <x v="1"/>
    <x v="1"/>
    <x v="6"/>
    <n v="4.2"/>
    <n v="2"/>
    <n v="0"/>
    <n v="1.1759999999999999"/>
  </r>
  <r>
    <s v="Standard Class"/>
    <x v="1"/>
    <s v="United States"/>
    <s v="Seattle"/>
    <x v="4"/>
    <n v="98103"/>
    <x v="1"/>
    <x v="1"/>
    <x v="4"/>
    <n v="227.28"/>
    <n v="2"/>
    <n v="0"/>
    <n v="2.2728000000000002"/>
  </r>
  <r>
    <s v="Standard Class"/>
    <x v="1"/>
    <s v="United States"/>
    <s v="Seattle"/>
    <x v="4"/>
    <n v="98103"/>
    <x v="1"/>
    <x v="1"/>
    <x v="10"/>
    <n v="47.9"/>
    <n v="1"/>
    <n v="0"/>
    <n v="22.992000000000001"/>
  </r>
  <r>
    <s v="Standard Class"/>
    <x v="1"/>
    <s v="United States"/>
    <s v="Seattle"/>
    <x v="4"/>
    <n v="98103"/>
    <x v="1"/>
    <x v="1"/>
    <x v="12"/>
    <n v="61.96"/>
    <n v="2"/>
    <n v="0"/>
    <n v="30.360399999999998"/>
  </r>
  <r>
    <s v="Standard Class"/>
    <x v="1"/>
    <s v="United States"/>
    <s v="Seattle"/>
    <x v="4"/>
    <n v="98103"/>
    <x v="1"/>
    <x v="1"/>
    <x v="4"/>
    <n v="1117.92"/>
    <n v="4"/>
    <n v="0"/>
    <n v="55.896000000000001"/>
  </r>
  <r>
    <s v="First Class"/>
    <x v="0"/>
    <s v="United States"/>
    <s v="Parma"/>
    <x v="24"/>
    <n v="44134"/>
    <x v="3"/>
    <x v="0"/>
    <x v="1"/>
    <n v="183.37200000000001"/>
    <n v="2"/>
    <n v="0.3"/>
    <n v="-7.8587999999999996"/>
  </r>
  <r>
    <s v="First Class"/>
    <x v="0"/>
    <s v="United States"/>
    <s v="Parma"/>
    <x v="24"/>
    <n v="44134"/>
    <x v="3"/>
    <x v="1"/>
    <x v="10"/>
    <n v="7.968"/>
    <n v="2"/>
    <n v="0.2"/>
    <n v="2.8883999999999999"/>
  </r>
  <r>
    <s v="Standard Class"/>
    <x v="0"/>
    <s v="United States"/>
    <s v="Gresham"/>
    <x v="21"/>
    <n v="97030"/>
    <x v="1"/>
    <x v="1"/>
    <x v="8"/>
    <n v="26.352"/>
    <n v="8"/>
    <n v="0.7"/>
    <n v="-18.446400000000001"/>
  </r>
  <r>
    <s v="Standard Class"/>
    <x v="1"/>
    <s v="United States"/>
    <s v="Anaheim"/>
    <x v="1"/>
    <n v="92804"/>
    <x v="1"/>
    <x v="1"/>
    <x v="4"/>
    <n v="481.32"/>
    <n v="4"/>
    <n v="0"/>
    <n v="125.14319999999999"/>
  </r>
  <r>
    <s v="Standard Class"/>
    <x v="1"/>
    <s v="United States"/>
    <s v="Anaheim"/>
    <x v="1"/>
    <n v="92804"/>
    <x v="1"/>
    <x v="1"/>
    <x v="14"/>
    <n v="13.98"/>
    <n v="1"/>
    <n v="0"/>
    <n v="3.6347999999999998"/>
  </r>
  <r>
    <s v="Standard Class"/>
    <x v="0"/>
    <s v="United States"/>
    <s v="New York City"/>
    <x v="15"/>
    <n v="10035"/>
    <x v="3"/>
    <x v="1"/>
    <x v="8"/>
    <n v="25.92"/>
    <n v="6"/>
    <n v="0.2"/>
    <n v="9.0719999999999992"/>
  </r>
  <r>
    <s v="Standard Class"/>
    <x v="0"/>
    <s v="United States"/>
    <s v="New York City"/>
    <x v="15"/>
    <n v="10035"/>
    <x v="3"/>
    <x v="1"/>
    <x v="2"/>
    <n v="91.59"/>
    <n v="3"/>
    <n v="0"/>
    <n v="42.131399999999999"/>
  </r>
  <r>
    <s v="Second Class"/>
    <x v="1"/>
    <s v="United States"/>
    <s v="Houston"/>
    <x v="5"/>
    <n v="77070"/>
    <x v="2"/>
    <x v="0"/>
    <x v="1"/>
    <n v="674.05799999999999"/>
    <n v="3"/>
    <n v="0.3"/>
    <n v="-19.258800000000001"/>
  </r>
  <r>
    <s v="Second Class"/>
    <x v="1"/>
    <s v="United States"/>
    <s v="Concord"/>
    <x v="38"/>
    <n v="3301"/>
    <x v="3"/>
    <x v="1"/>
    <x v="8"/>
    <n v="22.92"/>
    <n v="4"/>
    <n v="0"/>
    <n v="11.0016"/>
  </r>
  <r>
    <s v="Second Class"/>
    <x v="1"/>
    <s v="United States"/>
    <s v="Concord"/>
    <x v="38"/>
    <n v="3301"/>
    <x v="3"/>
    <x v="1"/>
    <x v="4"/>
    <n v="269.89999999999998"/>
    <n v="5"/>
    <n v="0"/>
    <n v="16.193999999999999"/>
  </r>
  <r>
    <s v="Second Class"/>
    <x v="0"/>
    <s v="United States"/>
    <s v="Fairfield"/>
    <x v="24"/>
    <n v="45014"/>
    <x v="3"/>
    <x v="1"/>
    <x v="8"/>
    <n v="11.808"/>
    <n v="8"/>
    <n v="0.7"/>
    <n v="-8.6592000000000002"/>
  </r>
  <r>
    <s v="Second Class"/>
    <x v="0"/>
    <s v="United States"/>
    <s v="Fairfield"/>
    <x v="24"/>
    <n v="45014"/>
    <x v="3"/>
    <x v="2"/>
    <x v="7"/>
    <n v="9.5879999999999992"/>
    <n v="2"/>
    <n v="0.4"/>
    <n v="-2.0773999999999999"/>
  </r>
  <r>
    <s v="Standard Class"/>
    <x v="0"/>
    <s v="United States"/>
    <s v="Johnson City"/>
    <x v="18"/>
    <n v="37604"/>
    <x v="0"/>
    <x v="1"/>
    <x v="12"/>
    <n v="18.335999999999999"/>
    <n v="3"/>
    <n v="0.2"/>
    <n v="6.6467999999999998"/>
  </r>
  <r>
    <s v="Standard Class"/>
    <x v="0"/>
    <s v="United States"/>
    <s v="Johnson City"/>
    <x v="18"/>
    <n v="37604"/>
    <x v="0"/>
    <x v="1"/>
    <x v="10"/>
    <n v="36.287999999999997"/>
    <n v="7"/>
    <n v="0.2"/>
    <n v="12.700799999999999"/>
  </r>
  <r>
    <s v="Standard Class"/>
    <x v="0"/>
    <s v="United States"/>
    <s v="Johnson City"/>
    <x v="18"/>
    <n v="37604"/>
    <x v="0"/>
    <x v="2"/>
    <x v="7"/>
    <n v="111.98399999999999"/>
    <n v="2"/>
    <n v="0.2"/>
    <n v="6.9989999999999997"/>
  </r>
  <r>
    <s v="Standard Class"/>
    <x v="0"/>
    <s v="United States"/>
    <s v="Johnson City"/>
    <x v="18"/>
    <n v="37604"/>
    <x v="0"/>
    <x v="1"/>
    <x v="8"/>
    <n v="5.97"/>
    <n v="5"/>
    <n v="0.7"/>
    <n v="-4.577"/>
  </r>
  <r>
    <s v="Standard Class"/>
    <x v="0"/>
    <s v="United States"/>
    <s v="Johnson City"/>
    <x v="18"/>
    <n v="37604"/>
    <x v="0"/>
    <x v="1"/>
    <x v="8"/>
    <n v="2.508"/>
    <n v="2"/>
    <n v="0.7"/>
    <n v="-1.8391999999999999"/>
  </r>
  <r>
    <s v="Second Class"/>
    <x v="0"/>
    <s v="United States"/>
    <s v="Seattle"/>
    <x v="4"/>
    <n v="98105"/>
    <x v="1"/>
    <x v="1"/>
    <x v="6"/>
    <n v="35.96"/>
    <n v="2"/>
    <n v="0"/>
    <n v="10.4284"/>
  </r>
  <r>
    <s v="Second Class"/>
    <x v="0"/>
    <s v="United States"/>
    <s v="Seattle"/>
    <x v="4"/>
    <n v="98105"/>
    <x v="1"/>
    <x v="1"/>
    <x v="8"/>
    <n v="14.952"/>
    <n v="3"/>
    <n v="0.2"/>
    <n v="5.4200999999999997"/>
  </r>
  <r>
    <s v="Second Class"/>
    <x v="0"/>
    <s v="United States"/>
    <s v="League City"/>
    <x v="5"/>
    <n v="77573"/>
    <x v="2"/>
    <x v="1"/>
    <x v="6"/>
    <n v="67.144000000000005"/>
    <n v="7"/>
    <n v="0.2"/>
    <n v="5.8750999999999998"/>
  </r>
  <r>
    <s v="Second Class"/>
    <x v="0"/>
    <s v="United States"/>
    <s v="League City"/>
    <x v="5"/>
    <n v="77573"/>
    <x v="2"/>
    <x v="0"/>
    <x v="1"/>
    <n v="254.05799999999999"/>
    <n v="3"/>
    <n v="0.3"/>
    <n v="-32.6646"/>
  </r>
  <r>
    <s v="Standard Class"/>
    <x v="1"/>
    <s v="United States"/>
    <s v="Gaithersburg"/>
    <x v="39"/>
    <n v="20877"/>
    <x v="3"/>
    <x v="0"/>
    <x v="0"/>
    <n v="173.94"/>
    <n v="3"/>
    <n v="0"/>
    <n v="38.266800000000003"/>
  </r>
  <r>
    <s v="Standard Class"/>
    <x v="1"/>
    <s v="United States"/>
    <s v="Gaithersburg"/>
    <x v="39"/>
    <n v="20877"/>
    <x v="3"/>
    <x v="2"/>
    <x v="7"/>
    <n v="231.98"/>
    <n v="2"/>
    <n v="0"/>
    <n v="67.274199999999993"/>
  </r>
  <r>
    <s v="Standard Class"/>
    <x v="0"/>
    <s v="United States"/>
    <s v="Chicago"/>
    <x v="10"/>
    <n v="60653"/>
    <x v="2"/>
    <x v="1"/>
    <x v="8"/>
    <n v="2.2959999999999998"/>
    <n v="2"/>
    <n v="0.8"/>
    <n v="-3.9032"/>
  </r>
  <r>
    <s v="Second Class"/>
    <x v="2"/>
    <s v="United States"/>
    <s v="Huntsville"/>
    <x v="19"/>
    <n v="35810"/>
    <x v="0"/>
    <x v="1"/>
    <x v="10"/>
    <n v="96.08"/>
    <n v="2"/>
    <n v="0"/>
    <n v="46.118400000000001"/>
  </r>
  <r>
    <s v="Second Class"/>
    <x v="2"/>
    <s v="United States"/>
    <s v="Huntsville"/>
    <x v="19"/>
    <n v="35810"/>
    <x v="0"/>
    <x v="1"/>
    <x v="13"/>
    <n v="3.62"/>
    <n v="2"/>
    <n v="0"/>
    <n v="1.1946000000000001"/>
  </r>
  <r>
    <s v="Second Class"/>
    <x v="2"/>
    <s v="United States"/>
    <s v="Huntsville"/>
    <x v="19"/>
    <n v="35810"/>
    <x v="0"/>
    <x v="1"/>
    <x v="10"/>
    <n v="629.1"/>
    <n v="6"/>
    <n v="0"/>
    <n v="301.96800000000002"/>
  </r>
  <r>
    <s v="Second Class"/>
    <x v="2"/>
    <s v="United States"/>
    <s v="Huntsville"/>
    <x v="19"/>
    <n v="35810"/>
    <x v="0"/>
    <x v="2"/>
    <x v="7"/>
    <n v="90.48"/>
    <n v="2"/>
    <n v="0"/>
    <n v="23.524799999999999"/>
  </r>
  <r>
    <s v="First Class"/>
    <x v="1"/>
    <s v="United States"/>
    <s v="Lawrence"/>
    <x v="31"/>
    <n v="1841"/>
    <x v="3"/>
    <x v="1"/>
    <x v="6"/>
    <n v="14.88"/>
    <n v="2"/>
    <n v="0"/>
    <n v="3.72"/>
  </r>
  <r>
    <s v="Standard Class"/>
    <x v="0"/>
    <s v="United States"/>
    <s v="Chicago"/>
    <x v="10"/>
    <n v="60623"/>
    <x v="2"/>
    <x v="0"/>
    <x v="3"/>
    <n v="91.275000000000006"/>
    <n v="1"/>
    <n v="0.5"/>
    <n v="-67.543499999999995"/>
  </r>
  <r>
    <s v="Standard Class"/>
    <x v="2"/>
    <s v="United States"/>
    <s v="Fairfield"/>
    <x v="29"/>
    <n v="6824"/>
    <x v="3"/>
    <x v="1"/>
    <x v="10"/>
    <n v="19.440000000000001"/>
    <n v="3"/>
    <n v="0"/>
    <n v="9.3312000000000008"/>
  </r>
  <r>
    <s v="Standard Class"/>
    <x v="2"/>
    <s v="United States"/>
    <s v="Fairfield"/>
    <x v="29"/>
    <n v="6824"/>
    <x v="3"/>
    <x v="0"/>
    <x v="1"/>
    <n v="897.15"/>
    <n v="3"/>
    <n v="0"/>
    <n v="251.202"/>
  </r>
  <r>
    <s v="First Class"/>
    <x v="0"/>
    <s v="United States"/>
    <s v="New York City"/>
    <x v="15"/>
    <n v="10009"/>
    <x v="3"/>
    <x v="1"/>
    <x v="6"/>
    <n v="57.75"/>
    <n v="5"/>
    <n v="0"/>
    <n v="16.170000000000002"/>
  </r>
  <r>
    <s v="First Class"/>
    <x v="0"/>
    <s v="United States"/>
    <s v="New York City"/>
    <x v="15"/>
    <n v="10009"/>
    <x v="3"/>
    <x v="1"/>
    <x v="10"/>
    <n v="14.94"/>
    <n v="3"/>
    <n v="0"/>
    <n v="7.0217999999999998"/>
  </r>
  <r>
    <s v="Standard Class"/>
    <x v="1"/>
    <s v="United States"/>
    <s v="Seattle"/>
    <x v="4"/>
    <n v="98103"/>
    <x v="1"/>
    <x v="1"/>
    <x v="6"/>
    <n v="23.1"/>
    <n v="2"/>
    <n v="0"/>
    <n v="6.93"/>
  </r>
  <r>
    <s v="Standard Class"/>
    <x v="0"/>
    <s v="United States"/>
    <s v="Aurora"/>
    <x v="22"/>
    <n v="80013"/>
    <x v="1"/>
    <x v="1"/>
    <x v="12"/>
    <n v="12.536"/>
    <n v="1"/>
    <n v="0.2"/>
    <n v="4.2309000000000001"/>
  </r>
  <r>
    <s v="Standard Class"/>
    <x v="0"/>
    <s v="United States"/>
    <s v="Aurora"/>
    <x v="22"/>
    <n v="80013"/>
    <x v="1"/>
    <x v="1"/>
    <x v="8"/>
    <n v="1.08"/>
    <n v="2"/>
    <n v="0.7"/>
    <n v="-0.79200000000000004"/>
  </r>
  <r>
    <s v="Standard Class"/>
    <x v="0"/>
    <s v="United States"/>
    <s v="Aurora"/>
    <x v="22"/>
    <n v="80013"/>
    <x v="1"/>
    <x v="1"/>
    <x v="13"/>
    <n v="4.5119999999999996"/>
    <n v="3"/>
    <n v="0.2"/>
    <n v="0.84599999999999997"/>
  </r>
  <r>
    <s v="Standard Class"/>
    <x v="1"/>
    <s v="United States"/>
    <s v="Lehi"/>
    <x v="7"/>
    <n v="84043"/>
    <x v="1"/>
    <x v="2"/>
    <x v="7"/>
    <n v="16.776"/>
    <n v="3"/>
    <n v="0.2"/>
    <n v="1.6776"/>
  </r>
  <r>
    <s v="Standard Class"/>
    <x v="2"/>
    <s v="United States"/>
    <s v="Tuscaloosa"/>
    <x v="19"/>
    <n v="35401"/>
    <x v="0"/>
    <x v="1"/>
    <x v="8"/>
    <n v="33.74"/>
    <n v="7"/>
    <n v="0"/>
    <n v="15.5204"/>
  </r>
  <r>
    <s v="Standard Class"/>
    <x v="0"/>
    <s v="United States"/>
    <s v="San Francisco"/>
    <x v="1"/>
    <n v="94109"/>
    <x v="1"/>
    <x v="1"/>
    <x v="4"/>
    <n v="1325.85"/>
    <n v="5"/>
    <n v="0"/>
    <n v="238.65299999999999"/>
  </r>
  <r>
    <s v="Standard Class"/>
    <x v="0"/>
    <s v="United States"/>
    <s v="San Francisco"/>
    <x v="1"/>
    <n v="94109"/>
    <x v="1"/>
    <x v="0"/>
    <x v="0"/>
    <n v="333.99900000000002"/>
    <n v="3"/>
    <n v="0.15"/>
    <n v="3.9293999999999998"/>
  </r>
  <r>
    <s v="Standard Class"/>
    <x v="0"/>
    <s v="United States"/>
    <s v="San Francisco"/>
    <x v="1"/>
    <n v="94109"/>
    <x v="1"/>
    <x v="1"/>
    <x v="6"/>
    <n v="19.899999999999999"/>
    <n v="5"/>
    <n v="0"/>
    <n v="6.5670000000000002"/>
  </r>
  <r>
    <s v="Standard Class"/>
    <x v="0"/>
    <s v="United States"/>
    <s v="Wilmington"/>
    <x v="13"/>
    <n v="19805"/>
    <x v="3"/>
    <x v="0"/>
    <x v="1"/>
    <n v="1268.82"/>
    <n v="9"/>
    <n v="0"/>
    <n v="266.4522"/>
  </r>
  <r>
    <s v="Standard Class"/>
    <x v="0"/>
    <s v="United States"/>
    <s v="Wilmington"/>
    <x v="13"/>
    <n v="19805"/>
    <x v="3"/>
    <x v="0"/>
    <x v="0"/>
    <n v="283.92"/>
    <n v="4"/>
    <n v="0"/>
    <n v="82.336799999999997"/>
  </r>
  <r>
    <s v="Standard Class"/>
    <x v="0"/>
    <s v="United States"/>
    <s v="Wilmington"/>
    <x v="13"/>
    <n v="19805"/>
    <x v="3"/>
    <x v="1"/>
    <x v="6"/>
    <n v="5.68"/>
    <n v="2"/>
    <n v="0"/>
    <n v="1.7607999999999999"/>
  </r>
  <r>
    <s v="Standard Class"/>
    <x v="0"/>
    <s v="United States"/>
    <s v="Lafayette"/>
    <x v="14"/>
    <n v="47905"/>
    <x v="2"/>
    <x v="1"/>
    <x v="4"/>
    <n v="375.34"/>
    <n v="1"/>
    <n v="0"/>
    <n v="18.766999999999999"/>
  </r>
  <r>
    <s v="First Class"/>
    <x v="0"/>
    <s v="United States"/>
    <s v="Redondo Beach"/>
    <x v="1"/>
    <n v="90278"/>
    <x v="1"/>
    <x v="1"/>
    <x v="10"/>
    <n v="96.08"/>
    <n v="2"/>
    <n v="0"/>
    <n v="46.118400000000001"/>
  </r>
  <r>
    <s v="First Class"/>
    <x v="0"/>
    <s v="United States"/>
    <s v="Redondo Beach"/>
    <x v="1"/>
    <n v="90278"/>
    <x v="1"/>
    <x v="1"/>
    <x v="8"/>
    <n v="11.68"/>
    <n v="2"/>
    <n v="0.2"/>
    <n v="3.9420000000000002"/>
  </r>
  <r>
    <s v="First Class"/>
    <x v="0"/>
    <s v="United States"/>
    <s v="Redondo Beach"/>
    <x v="1"/>
    <n v="90278"/>
    <x v="1"/>
    <x v="1"/>
    <x v="13"/>
    <n v="4.3600000000000003"/>
    <n v="2"/>
    <n v="0"/>
    <n v="1.7876000000000001"/>
  </r>
  <r>
    <s v="Standard Class"/>
    <x v="0"/>
    <s v="United States"/>
    <s v="Seattle"/>
    <x v="4"/>
    <n v="98115"/>
    <x v="1"/>
    <x v="1"/>
    <x v="2"/>
    <n v="29.24"/>
    <n v="4"/>
    <n v="0"/>
    <n v="13.742800000000001"/>
  </r>
  <r>
    <s v="Standard Class"/>
    <x v="0"/>
    <s v="United States"/>
    <s v="Los Angeles"/>
    <x v="1"/>
    <n v="90045"/>
    <x v="1"/>
    <x v="1"/>
    <x v="8"/>
    <n v="117.488"/>
    <n v="7"/>
    <n v="0.2"/>
    <n v="41.120800000000003"/>
  </r>
  <r>
    <s v="Standard Class"/>
    <x v="0"/>
    <s v="United States"/>
    <s v="Los Angeles"/>
    <x v="1"/>
    <n v="90045"/>
    <x v="1"/>
    <x v="0"/>
    <x v="5"/>
    <n v="18.84"/>
    <n v="3"/>
    <n v="0"/>
    <n v="6.0288000000000004"/>
  </r>
  <r>
    <s v="Second Class"/>
    <x v="0"/>
    <s v="United States"/>
    <s v="New York City"/>
    <x v="15"/>
    <n v="10009"/>
    <x v="3"/>
    <x v="1"/>
    <x v="6"/>
    <n v="12.42"/>
    <n v="3"/>
    <n v="0"/>
    <n v="5.2164000000000001"/>
  </r>
  <r>
    <s v="Standard Class"/>
    <x v="0"/>
    <s v="United States"/>
    <s v="Royal Oak"/>
    <x v="12"/>
    <n v="48073"/>
    <x v="2"/>
    <x v="1"/>
    <x v="10"/>
    <n v="12.96"/>
    <n v="2"/>
    <n v="0"/>
    <n v="6.2207999999999997"/>
  </r>
  <r>
    <s v="Second Class"/>
    <x v="1"/>
    <s v="United States"/>
    <s v="San Francisco"/>
    <x v="1"/>
    <n v="94109"/>
    <x v="1"/>
    <x v="1"/>
    <x v="9"/>
    <n v="69.48"/>
    <n v="1"/>
    <n v="0"/>
    <n v="20.844000000000001"/>
  </r>
  <r>
    <s v="Standard Class"/>
    <x v="1"/>
    <s v="United States"/>
    <s v="New York City"/>
    <x v="15"/>
    <n v="10009"/>
    <x v="3"/>
    <x v="2"/>
    <x v="7"/>
    <n v="85.9"/>
    <n v="2"/>
    <n v="0"/>
    <n v="2.577"/>
  </r>
  <r>
    <s v="Second Class"/>
    <x v="1"/>
    <s v="United States"/>
    <s v="North Las Vegas"/>
    <x v="33"/>
    <n v="89031"/>
    <x v="1"/>
    <x v="1"/>
    <x v="6"/>
    <n v="18.059999999999999"/>
    <n v="7"/>
    <n v="0"/>
    <n v="4.6955999999999998"/>
  </r>
  <r>
    <s v="Second Class"/>
    <x v="1"/>
    <s v="United States"/>
    <s v="North Las Vegas"/>
    <x v="33"/>
    <n v="89031"/>
    <x v="1"/>
    <x v="1"/>
    <x v="10"/>
    <n v="79.14"/>
    <n v="3"/>
    <n v="0"/>
    <n v="36.404400000000003"/>
  </r>
  <r>
    <s v="Second Class"/>
    <x v="1"/>
    <s v="United States"/>
    <s v="North Las Vegas"/>
    <x v="33"/>
    <n v="89031"/>
    <x v="1"/>
    <x v="0"/>
    <x v="5"/>
    <n v="37.4"/>
    <n v="2"/>
    <n v="0"/>
    <n v="14.212"/>
  </r>
  <r>
    <s v="Standard Class"/>
    <x v="0"/>
    <s v="United States"/>
    <s v="Carrollton"/>
    <x v="5"/>
    <n v="75007"/>
    <x v="2"/>
    <x v="1"/>
    <x v="8"/>
    <n v="2.512"/>
    <n v="2"/>
    <n v="0.8"/>
    <n v="-4.3959999999999999"/>
  </r>
  <r>
    <s v="Standard Class"/>
    <x v="0"/>
    <s v="United States"/>
    <s v="Carrollton"/>
    <x v="5"/>
    <n v="75007"/>
    <x v="2"/>
    <x v="1"/>
    <x v="13"/>
    <n v="18.864000000000001"/>
    <n v="9"/>
    <n v="0.2"/>
    <n v="6.1307999999999998"/>
  </r>
  <r>
    <s v="Standard Class"/>
    <x v="2"/>
    <s v="United States"/>
    <s v="Los Angeles"/>
    <x v="1"/>
    <n v="90008"/>
    <x v="1"/>
    <x v="2"/>
    <x v="7"/>
    <n v="61.192"/>
    <n v="1"/>
    <n v="0.2"/>
    <n v="6.1192000000000002"/>
  </r>
  <r>
    <s v="Standard Class"/>
    <x v="2"/>
    <s v="United States"/>
    <s v="Los Angeles"/>
    <x v="1"/>
    <n v="90008"/>
    <x v="1"/>
    <x v="1"/>
    <x v="9"/>
    <n v="67.84"/>
    <n v="1"/>
    <n v="0"/>
    <n v="18.316800000000001"/>
  </r>
  <r>
    <s v="First Class"/>
    <x v="0"/>
    <s v="United States"/>
    <s v="Seattle"/>
    <x v="4"/>
    <n v="98103"/>
    <x v="1"/>
    <x v="0"/>
    <x v="1"/>
    <n v="48.712000000000003"/>
    <n v="1"/>
    <n v="0.2"/>
    <n v="5.4801000000000002"/>
  </r>
  <r>
    <s v="First Class"/>
    <x v="0"/>
    <s v="United States"/>
    <s v="Seattle"/>
    <x v="4"/>
    <n v="98103"/>
    <x v="1"/>
    <x v="1"/>
    <x v="6"/>
    <n v="17.940000000000001"/>
    <n v="3"/>
    <n v="0"/>
    <n v="4.6643999999999997"/>
  </r>
  <r>
    <s v="First Class"/>
    <x v="0"/>
    <s v="United States"/>
    <s v="Seattle"/>
    <x v="4"/>
    <n v="98103"/>
    <x v="1"/>
    <x v="1"/>
    <x v="4"/>
    <n v="242.94"/>
    <n v="3"/>
    <n v="0"/>
    <n v="4.8587999999999996"/>
  </r>
  <r>
    <s v="Second Class"/>
    <x v="0"/>
    <s v="United States"/>
    <s v="Fort Lauderdale"/>
    <x v="2"/>
    <n v="33311"/>
    <x v="0"/>
    <x v="1"/>
    <x v="8"/>
    <n v="7.7640000000000002"/>
    <n v="4"/>
    <n v="0.7"/>
    <n v="-5.1760000000000002"/>
  </r>
  <r>
    <s v="Second Class"/>
    <x v="1"/>
    <s v="United States"/>
    <s v="Columbia"/>
    <x v="18"/>
    <n v="38401"/>
    <x v="0"/>
    <x v="2"/>
    <x v="7"/>
    <n v="467.04"/>
    <n v="4"/>
    <n v="0.2"/>
    <n v="58.38"/>
  </r>
  <r>
    <s v="Second Class"/>
    <x v="2"/>
    <s v="United States"/>
    <s v="Providence"/>
    <x v="34"/>
    <n v="2908"/>
    <x v="3"/>
    <x v="2"/>
    <x v="7"/>
    <n v="128.85"/>
    <n v="3"/>
    <n v="0"/>
    <n v="3.8654999999999999"/>
  </r>
  <r>
    <s v="Second Class"/>
    <x v="2"/>
    <s v="United States"/>
    <s v="Providence"/>
    <x v="34"/>
    <n v="2908"/>
    <x v="3"/>
    <x v="1"/>
    <x v="10"/>
    <n v="8.4"/>
    <n v="2"/>
    <n v="0"/>
    <n v="4.1159999999999997"/>
  </r>
  <r>
    <s v="Second Class"/>
    <x v="2"/>
    <s v="United States"/>
    <s v="Providence"/>
    <x v="34"/>
    <n v="2908"/>
    <x v="3"/>
    <x v="2"/>
    <x v="11"/>
    <n v="199.98"/>
    <n v="2"/>
    <n v="0"/>
    <n v="83.991600000000005"/>
  </r>
  <r>
    <s v="Second Class"/>
    <x v="2"/>
    <s v="United States"/>
    <s v="Providence"/>
    <x v="34"/>
    <n v="2908"/>
    <x v="3"/>
    <x v="0"/>
    <x v="1"/>
    <n v="110.98"/>
    <n v="1"/>
    <n v="0"/>
    <n v="15.5372"/>
  </r>
  <r>
    <s v="First Class"/>
    <x v="1"/>
    <s v="United States"/>
    <s v="Jacksonville"/>
    <x v="2"/>
    <n v="32216"/>
    <x v="0"/>
    <x v="0"/>
    <x v="1"/>
    <n v="207.98400000000001"/>
    <n v="2"/>
    <n v="0.2"/>
    <n v="-28.597799999999999"/>
  </r>
  <r>
    <s v="First Class"/>
    <x v="1"/>
    <s v="United States"/>
    <s v="Jacksonville"/>
    <x v="2"/>
    <n v="32216"/>
    <x v="0"/>
    <x v="1"/>
    <x v="10"/>
    <n v="36.112000000000002"/>
    <n v="2"/>
    <n v="0.2"/>
    <n v="12.639200000000001"/>
  </r>
  <r>
    <s v="First Class"/>
    <x v="1"/>
    <s v="United States"/>
    <s v="Jacksonville"/>
    <x v="2"/>
    <n v="32216"/>
    <x v="0"/>
    <x v="0"/>
    <x v="5"/>
    <n v="35.567999999999998"/>
    <n v="2"/>
    <n v="0.2"/>
    <n v="5.7797999999999998"/>
  </r>
  <r>
    <s v="First Class"/>
    <x v="1"/>
    <s v="United States"/>
    <s v="Jacksonville"/>
    <x v="2"/>
    <n v="32216"/>
    <x v="0"/>
    <x v="1"/>
    <x v="10"/>
    <n v="88.768000000000001"/>
    <n v="2"/>
    <n v="0.2"/>
    <n v="31.0688"/>
  </r>
  <r>
    <s v="Standard Class"/>
    <x v="2"/>
    <s v="United States"/>
    <s v="Oceanside"/>
    <x v="1"/>
    <n v="92054"/>
    <x v="1"/>
    <x v="1"/>
    <x v="10"/>
    <n v="12.9"/>
    <n v="2"/>
    <n v="0"/>
    <n v="6.3209999999999997"/>
  </r>
  <r>
    <s v="Second Class"/>
    <x v="1"/>
    <s v="United States"/>
    <s v="Jacksonville"/>
    <x v="2"/>
    <n v="32216"/>
    <x v="0"/>
    <x v="2"/>
    <x v="11"/>
    <n v="717.12"/>
    <n v="9"/>
    <n v="0.2"/>
    <n v="152.38800000000001"/>
  </r>
  <r>
    <s v="First Class"/>
    <x v="0"/>
    <s v="United States"/>
    <s v="New York City"/>
    <x v="15"/>
    <n v="10024"/>
    <x v="3"/>
    <x v="1"/>
    <x v="8"/>
    <n v="21.36"/>
    <n v="5"/>
    <n v="0.2"/>
    <n v="7.2089999999999996"/>
  </r>
  <r>
    <s v="First Class"/>
    <x v="0"/>
    <s v="United States"/>
    <s v="New York City"/>
    <x v="15"/>
    <n v="10024"/>
    <x v="3"/>
    <x v="1"/>
    <x v="8"/>
    <n v="6.6879999999999997"/>
    <n v="2"/>
    <n v="0.2"/>
    <n v="2.3408000000000002"/>
  </r>
  <r>
    <s v="First Class"/>
    <x v="0"/>
    <s v="United States"/>
    <s v="New York City"/>
    <x v="15"/>
    <n v="10024"/>
    <x v="3"/>
    <x v="2"/>
    <x v="7"/>
    <n v="773.94"/>
    <n v="6"/>
    <n v="0"/>
    <n v="224.4426"/>
  </r>
  <r>
    <s v="Second Class"/>
    <x v="1"/>
    <s v="United States"/>
    <s v="Chicago"/>
    <x v="10"/>
    <n v="60610"/>
    <x v="2"/>
    <x v="1"/>
    <x v="14"/>
    <n v="20.568000000000001"/>
    <n v="3"/>
    <n v="0.2"/>
    <n v="1.5426"/>
  </r>
  <r>
    <s v="Second Class"/>
    <x v="1"/>
    <s v="United States"/>
    <s v="Chicago"/>
    <x v="10"/>
    <n v="60610"/>
    <x v="2"/>
    <x v="1"/>
    <x v="9"/>
    <n v="4.3559999999999999"/>
    <n v="2"/>
    <n v="0.8"/>
    <n v="-11.761200000000001"/>
  </r>
  <r>
    <s v="Second Class"/>
    <x v="1"/>
    <s v="United States"/>
    <s v="Chicago"/>
    <x v="10"/>
    <n v="60610"/>
    <x v="2"/>
    <x v="2"/>
    <x v="11"/>
    <n v="19.04"/>
    <n v="4"/>
    <n v="0.2"/>
    <n v="-1.4279999999999999"/>
  </r>
  <r>
    <s v="Standard Class"/>
    <x v="1"/>
    <s v="United States"/>
    <s v="Huntington Beach"/>
    <x v="1"/>
    <n v="92646"/>
    <x v="1"/>
    <x v="1"/>
    <x v="2"/>
    <n v="5.22"/>
    <n v="2"/>
    <n v="0"/>
    <n v="2.4011999999999998"/>
  </r>
  <r>
    <s v="Second Class"/>
    <x v="0"/>
    <s v="United States"/>
    <s v="San Diego"/>
    <x v="1"/>
    <n v="92105"/>
    <x v="1"/>
    <x v="1"/>
    <x v="4"/>
    <n v="84.84"/>
    <n v="3"/>
    <n v="0"/>
    <n v="22.9068"/>
  </r>
  <r>
    <s v="Standard Class"/>
    <x v="1"/>
    <s v="United States"/>
    <s v="Nashville"/>
    <x v="18"/>
    <n v="37211"/>
    <x v="0"/>
    <x v="1"/>
    <x v="13"/>
    <n v="7.24"/>
    <n v="5"/>
    <n v="0.2"/>
    <n v="1.1765000000000001"/>
  </r>
  <r>
    <s v="Same Day"/>
    <x v="0"/>
    <s v="United States"/>
    <s v="New York City"/>
    <x v="15"/>
    <n v="10009"/>
    <x v="3"/>
    <x v="1"/>
    <x v="2"/>
    <n v="14.4"/>
    <n v="5"/>
    <n v="0"/>
    <n v="7.056"/>
  </r>
  <r>
    <s v="Standard Class"/>
    <x v="2"/>
    <s v="United States"/>
    <s v="Colorado Springs"/>
    <x v="22"/>
    <n v="80906"/>
    <x v="1"/>
    <x v="1"/>
    <x v="10"/>
    <n v="15.552"/>
    <n v="3"/>
    <n v="0.2"/>
    <n v="5.4432"/>
  </r>
  <r>
    <s v="Standard Class"/>
    <x v="2"/>
    <s v="United States"/>
    <s v="Colorado Springs"/>
    <x v="22"/>
    <n v="80906"/>
    <x v="1"/>
    <x v="0"/>
    <x v="1"/>
    <n v="1325.76"/>
    <n v="6"/>
    <n v="0.2"/>
    <n v="149.148"/>
  </r>
  <r>
    <s v="Standard Class"/>
    <x v="2"/>
    <s v="United States"/>
    <s v="Colorado Springs"/>
    <x v="22"/>
    <n v="80906"/>
    <x v="1"/>
    <x v="1"/>
    <x v="8"/>
    <n v="3.1080000000000001"/>
    <n v="2"/>
    <n v="0.7"/>
    <n v="-2.1756000000000002"/>
  </r>
  <r>
    <s v="Standard Class"/>
    <x v="2"/>
    <s v="United States"/>
    <s v="San Francisco"/>
    <x v="1"/>
    <n v="94110"/>
    <x v="1"/>
    <x v="1"/>
    <x v="8"/>
    <n v="6.6719999999999997"/>
    <n v="3"/>
    <n v="0.2"/>
    <n v="2.1684000000000001"/>
  </r>
  <r>
    <s v="Standard Class"/>
    <x v="2"/>
    <s v="United States"/>
    <s v="San Francisco"/>
    <x v="1"/>
    <n v="94110"/>
    <x v="1"/>
    <x v="2"/>
    <x v="7"/>
    <n v="689.40800000000002"/>
    <n v="4"/>
    <n v="0.2"/>
    <n v="77.558400000000006"/>
  </r>
  <r>
    <s v="Standard Class"/>
    <x v="1"/>
    <s v="United States"/>
    <s v="Chicago"/>
    <x v="10"/>
    <n v="60653"/>
    <x v="2"/>
    <x v="1"/>
    <x v="8"/>
    <n v="1889.99"/>
    <n v="5"/>
    <n v="0.8"/>
    <n v="-2929.4845"/>
  </r>
  <r>
    <s v="Standard Class"/>
    <x v="1"/>
    <s v="United States"/>
    <s v="Memphis"/>
    <x v="18"/>
    <n v="38109"/>
    <x v="0"/>
    <x v="1"/>
    <x v="12"/>
    <n v="55.936"/>
    <n v="8"/>
    <n v="0.2"/>
    <n v="18.878399999999999"/>
  </r>
  <r>
    <s v="Standard Class"/>
    <x v="1"/>
    <s v="United States"/>
    <s v="Memphis"/>
    <x v="18"/>
    <n v="38109"/>
    <x v="0"/>
    <x v="1"/>
    <x v="2"/>
    <n v="18.431999999999999"/>
    <n v="8"/>
    <n v="0.2"/>
    <n v="5.9904000000000002"/>
  </r>
  <r>
    <s v="Standard Class"/>
    <x v="1"/>
    <s v="United States"/>
    <s v="Memphis"/>
    <x v="18"/>
    <n v="38109"/>
    <x v="0"/>
    <x v="0"/>
    <x v="5"/>
    <n v="20.32"/>
    <n v="5"/>
    <n v="0.2"/>
    <n v="3.556"/>
  </r>
  <r>
    <s v="Standard Class"/>
    <x v="2"/>
    <s v="United States"/>
    <s v="New York City"/>
    <x v="15"/>
    <n v="10011"/>
    <x v="3"/>
    <x v="1"/>
    <x v="8"/>
    <n v="52.064"/>
    <n v="4"/>
    <n v="0.2"/>
    <n v="18.873200000000001"/>
  </r>
  <r>
    <s v="Standard Class"/>
    <x v="1"/>
    <s v="United States"/>
    <s v="Raleigh"/>
    <x v="3"/>
    <n v="27604"/>
    <x v="0"/>
    <x v="1"/>
    <x v="9"/>
    <n v="48.783999999999999"/>
    <n v="1"/>
    <n v="0.2"/>
    <n v="3.6587999999999998"/>
  </r>
  <r>
    <s v="Standard Class"/>
    <x v="1"/>
    <s v="United States"/>
    <s v="Raleigh"/>
    <x v="3"/>
    <n v="27604"/>
    <x v="0"/>
    <x v="1"/>
    <x v="8"/>
    <n v="13.092000000000001"/>
    <n v="4"/>
    <n v="0.7"/>
    <n v="-10.0372"/>
  </r>
  <r>
    <s v="Standard Class"/>
    <x v="2"/>
    <s v="United States"/>
    <s v="Los Angeles"/>
    <x v="1"/>
    <n v="90045"/>
    <x v="1"/>
    <x v="2"/>
    <x v="7"/>
    <n v="109.592"/>
    <n v="1"/>
    <n v="0.2"/>
    <n v="8.2194000000000003"/>
  </r>
  <r>
    <s v="Standard Class"/>
    <x v="2"/>
    <s v="United States"/>
    <s v="Los Angeles"/>
    <x v="1"/>
    <n v="90045"/>
    <x v="1"/>
    <x v="1"/>
    <x v="10"/>
    <n v="56.7"/>
    <n v="5"/>
    <n v="0"/>
    <n v="27.783000000000001"/>
  </r>
  <r>
    <s v="Standard Class"/>
    <x v="2"/>
    <s v="United States"/>
    <s v="Los Angeles"/>
    <x v="1"/>
    <n v="90004"/>
    <x v="1"/>
    <x v="2"/>
    <x v="11"/>
    <n v="79.989999999999995"/>
    <n v="1"/>
    <n v="0"/>
    <n v="28.796399999999998"/>
  </r>
  <r>
    <s v="Same Day"/>
    <x v="2"/>
    <s v="United States"/>
    <s v="Newport News"/>
    <x v="17"/>
    <n v="23602"/>
    <x v="0"/>
    <x v="1"/>
    <x v="14"/>
    <n v="69.5"/>
    <n v="5"/>
    <n v="0"/>
    <n v="20.155000000000001"/>
  </r>
  <r>
    <s v="Same Day"/>
    <x v="2"/>
    <s v="United States"/>
    <s v="Newport News"/>
    <x v="17"/>
    <n v="23602"/>
    <x v="0"/>
    <x v="1"/>
    <x v="10"/>
    <n v="191.6"/>
    <n v="4"/>
    <n v="0"/>
    <n v="91.968000000000004"/>
  </r>
  <r>
    <s v="Standard Class"/>
    <x v="0"/>
    <s v="United States"/>
    <s v="Los Angeles"/>
    <x v="1"/>
    <n v="90032"/>
    <x v="1"/>
    <x v="1"/>
    <x v="10"/>
    <n v="10.56"/>
    <n v="2"/>
    <n v="0"/>
    <n v="5.0688000000000004"/>
  </r>
  <r>
    <s v="Second Class"/>
    <x v="0"/>
    <s v="United States"/>
    <s v="Jackson"/>
    <x v="35"/>
    <n v="39212"/>
    <x v="0"/>
    <x v="2"/>
    <x v="11"/>
    <n v="47.79"/>
    <n v="3"/>
    <n v="0"/>
    <n v="16.2486"/>
  </r>
  <r>
    <s v="Second Class"/>
    <x v="1"/>
    <s v="United States"/>
    <s v="Richmond"/>
    <x v="14"/>
    <n v="47374"/>
    <x v="2"/>
    <x v="1"/>
    <x v="4"/>
    <n v="714.3"/>
    <n v="5"/>
    <n v="0"/>
    <n v="207.14699999999999"/>
  </r>
  <r>
    <s v="Standard Class"/>
    <x v="2"/>
    <s v="United States"/>
    <s v="New York City"/>
    <x v="15"/>
    <n v="10035"/>
    <x v="3"/>
    <x v="2"/>
    <x v="15"/>
    <n v="2321.9"/>
    <n v="2"/>
    <n v="0"/>
    <n v="1114.5119999999999"/>
  </r>
  <r>
    <s v="Standard Class"/>
    <x v="2"/>
    <s v="United States"/>
    <s v="New York City"/>
    <x v="15"/>
    <n v="10035"/>
    <x v="3"/>
    <x v="1"/>
    <x v="4"/>
    <n v="17.940000000000001"/>
    <n v="3"/>
    <n v="0"/>
    <n v="3.0497999999999998"/>
  </r>
  <r>
    <s v="Standard Class"/>
    <x v="1"/>
    <s v="United States"/>
    <s v="Philadelphia"/>
    <x v="9"/>
    <n v="19134"/>
    <x v="3"/>
    <x v="1"/>
    <x v="8"/>
    <n v="9.5220000000000002"/>
    <n v="1"/>
    <n v="0.7"/>
    <n v="-6.9828000000000001"/>
  </r>
  <r>
    <s v="Standard Class"/>
    <x v="1"/>
    <s v="United States"/>
    <s v="Philadelphia"/>
    <x v="9"/>
    <n v="19134"/>
    <x v="3"/>
    <x v="2"/>
    <x v="7"/>
    <n v="791.96400000000006"/>
    <n v="6"/>
    <n v="0.4"/>
    <n v="-131.994"/>
  </r>
  <r>
    <s v="Standard Class"/>
    <x v="1"/>
    <s v="United States"/>
    <s v="Philadelphia"/>
    <x v="9"/>
    <n v="19134"/>
    <x v="3"/>
    <x v="1"/>
    <x v="8"/>
    <n v="4.923"/>
    <n v="3"/>
    <n v="0.7"/>
    <n v="-3.9384000000000001"/>
  </r>
  <r>
    <s v="First Class"/>
    <x v="1"/>
    <s v="United States"/>
    <s v="Phoenix"/>
    <x v="16"/>
    <n v="85023"/>
    <x v="1"/>
    <x v="0"/>
    <x v="0"/>
    <n v="209.97900000000001"/>
    <n v="7"/>
    <n v="0.7"/>
    <n v="-356.96429999999998"/>
  </r>
  <r>
    <s v="Standard Class"/>
    <x v="2"/>
    <s v="United States"/>
    <s v="Cleveland"/>
    <x v="24"/>
    <n v="44105"/>
    <x v="3"/>
    <x v="1"/>
    <x v="8"/>
    <n v="33.93"/>
    <n v="3"/>
    <n v="0.7"/>
    <n v="-22.62"/>
  </r>
  <r>
    <s v="Standard Class"/>
    <x v="2"/>
    <s v="United States"/>
    <s v="Cleveland"/>
    <x v="24"/>
    <n v="44105"/>
    <x v="3"/>
    <x v="1"/>
    <x v="4"/>
    <n v="222.32"/>
    <n v="7"/>
    <n v="0.2"/>
    <n v="25.010999999999999"/>
  </r>
  <r>
    <s v="Standard Class"/>
    <x v="2"/>
    <s v="United States"/>
    <s v="Cleveland"/>
    <x v="24"/>
    <n v="44105"/>
    <x v="3"/>
    <x v="2"/>
    <x v="7"/>
    <n v="210.56399999999999"/>
    <n v="6"/>
    <n v="0.4"/>
    <n v="-52.640999999999998"/>
  </r>
  <r>
    <s v="Standard Class"/>
    <x v="0"/>
    <s v="United States"/>
    <s v="Toledo"/>
    <x v="24"/>
    <n v="43615"/>
    <x v="3"/>
    <x v="0"/>
    <x v="5"/>
    <n v="35.167999999999999"/>
    <n v="7"/>
    <n v="0.2"/>
    <n v="9.6712000000000007"/>
  </r>
  <r>
    <s v="Standard Class"/>
    <x v="0"/>
    <s v="United States"/>
    <s v="Toledo"/>
    <x v="24"/>
    <n v="43615"/>
    <x v="3"/>
    <x v="2"/>
    <x v="7"/>
    <n v="1502.376"/>
    <n v="4"/>
    <n v="0.4"/>
    <n v="-250.39599999999999"/>
  </r>
  <r>
    <s v="First Class"/>
    <x v="0"/>
    <s v="United States"/>
    <s v="Los Angeles"/>
    <x v="1"/>
    <n v="90008"/>
    <x v="1"/>
    <x v="0"/>
    <x v="5"/>
    <n v="10.11"/>
    <n v="3"/>
    <n v="0"/>
    <n v="3.2351999999999999"/>
  </r>
  <r>
    <s v="First Class"/>
    <x v="0"/>
    <s v="United States"/>
    <s v="Los Angeles"/>
    <x v="1"/>
    <n v="90008"/>
    <x v="1"/>
    <x v="2"/>
    <x v="11"/>
    <n v="772.47"/>
    <n v="3"/>
    <n v="0"/>
    <n v="146.76929999999999"/>
  </r>
  <r>
    <s v="First Class"/>
    <x v="0"/>
    <s v="United States"/>
    <s v="Los Angeles"/>
    <x v="1"/>
    <n v="90008"/>
    <x v="1"/>
    <x v="1"/>
    <x v="14"/>
    <n v="20.46"/>
    <n v="2"/>
    <n v="0"/>
    <n v="5.3196000000000003"/>
  </r>
  <r>
    <s v="Second Class"/>
    <x v="1"/>
    <s v="United States"/>
    <s v="New York City"/>
    <x v="15"/>
    <n v="10011"/>
    <x v="3"/>
    <x v="1"/>
    <x v="14"/>
    <n v="347.58"/>
    <n v="3"/>
    <n v="0"/>
    <n v="17.379000000000001"/>
  </r>
  <r>
    <s v="Standard Class"/>
    <x v="0"/>
    <s v="United States"/>
    <s v="San Diego"/>
    <x v="1"/>
    <n v="92037"/>
    <x v="1"/>
    <x v="2"/>
    <x v="11"/>
    <n v="72.64"/>
    <n v="2"/>
    <n v="0"/>
    <n v="21.792000000000002"/>
  </r>
  <r>
    <s v="Standard Class"/>
    <x v="0"/>
    <s v="United States"/>
    <s v="San Diego"/>
    <x v="1"/>
    <n v="92037"/>
    <x v="1"/>
    <x v="2"/>
    <x v="11"/>
    <n v="772.47"/>
    <n v="3"/>
    <n v="0"/>
    <n v="146.76929999999999"/>
  </r>
  <r>
    <s v="Standard Class"/>
    <x v="0"/>
    <s v="United States"/>
    <s v="San Diego"/>
    <x v="1"/>
    <n v="92037"/>
    <x v="1"/>
    <x v="0"/>
    <x v="5"/>
    <n v="39.92"/>
    <n v="4"/>
    <n v="0"/>
    <n v="11.1776"/>
  </r>
  <r>
    <s v="Standard Class"/>
    <x v="0"/>
    <s v="United States"/>
    <s v="Oklahoma City"/>
    <x v="26"/>
    <n v="73120"/>
    <x v="2"/>
    <x v="1"/>
    <x v="8"/>
    <n v="33.479999999999997"/>
    <n v="2"/>
    <n v="0"/>
    <n v="16.405200000000001"/>
  </r>
  <r>
    <s v="Standard Class"/>
    <x v="0"/>
    <s v="United States"/>
    <s v="Oklahoma City"/>
    <x v="26"/>
    <n v="73120"/>
    <x v="2"/>
    <x v="2"/>
    <x v="7"/>
    <n v="461.97"/>
    <n v="3"/>
    <n v="0"/>
    <n v="133.97130000000001"/>
  </r>
  <r>
    <s v="Standard Class"/>
    <x v="0"/>
    <s v="United States"/>
    <s v="Oklahoma City"/>
    <x v="26"/>
    <n v="73120"/>
    <x v="2"/>
    <x v="1"/>
    <x v="9"/>
    <n v="137.62"/>
    <n v="2"/>
    <n v="0"/>
    <n v="60.552799999999998"/>
  </r>
  <r>
    <s v="Standard Class"/>
    <x v="0"/>
    <s v="United States"/>
    <s v="Oklahoma City"/>
    <x v="26"/>
    <n v="73120"/>
    <x v="2"/>
    <x v="0"/>
    <x v="1"/>
    <n v="302.67"/>
    <n v="3"/>
    <n v="0"/>
    <n v="72.640799999999999"/>
  </r>
  <r>
    <s v="Second Class"/>
    <x v="0"/>
    <s v="United States"/>
    <s v="Chicago"/>
    <x v="10"/>
    <n v="60653"/>
    <x v="2"/>
    <x v="2"/>
    <x v="11"/>
    <n v="239.976"/>
    <n v="3"/>
    <n v="0.2"/>
    <n v="53.994599999999998"/>
  </r>
  <r>
    <s v="Standard Class"/>
    <x v="0"/>
    <s v="United States"/>
    <s v="San Francisco"/>
    <x v="1"/>
    <n v="94109"/>
    <x v="1"/>
    <x v="1"/>
    <x v="6"/>
    <n v="8.34"/>
    <n v="3"/>
    <n v="0"/>
    <n v="2.1684000000000001"/>
  </r>
  <r>
    <s v="Standard Class"/>
    <x v="0"/>
    <s v="United States"/>
    <s v="San Francisco"/>
    <x v="1"/>
    <n v="94109"/>
    <x v="1"/>
    <x v="1"/>
    <x v="14"/>
    <n v="8.57"/>
    <n v="1"/>
    <n v="0"/>
    <n v="2.2282000000000002"/>
  </r>
  <r>
    <s v="Standard Class"/>
    <x v="0"/>
    <s v="United States"/>
    <s v="San Francisco"/>
    <x v="1"/>
    <n v="94109"/>
    <x v="1"/>
    <x v="1"/>
    <x v="8"/>
    <n v="119.616"/>
    <n v="8"/>
    <n v="0.2"/>
    <n v="40.370399999999997"/>
  </r>
  <r>
    <s v="Standard Class"/>
    <x v="1"/>
    <s v="United States"/>
    <s v="Vineland"/>
    <x v="30"/>
    <n v="8360"/>
    <x v="3"/>
    <x v="0"/>
    <x v="1"/>
    <n v="212.94"/>
    <n v="3"/>
    <n v="0"/>
    <n v="25.552800000000001"/>
  </r>
  <r>
    <s v="Standard Class"/>
    <x v="1"/>
    <s v="United States"/>
    <s v="Vineland"/>
    <x v="30"/>
    <n v="8360"/>
    <x v="3"/>
    <x v="1"/>
    <x v="9"/>
    <n v="26.49"/>
    <n v="1"/>
    <n v="0"/>
    <n v="7.4172000000000002"/>
  </r>
  <r>
    <s v="Second Class"/>
    <x v="2"/>
    <s v="United States"/>
    <s v="Milwaukee"/>
    <x v="6"/>
    <n v="53209"/>
    <x v="2"/>
    <x v="0"/>
    <x v="0"/>
    <n v="687.4"/>
    <n v="5"/>
    <n v="0"/>
    <n v="48.118000000000002"/>
  </r>
  <r>
    <s v="Standard Class"/>
    <x v="1"/>
    <s v="United States"/>
    <s v="Seattle"/>
    <x v="4"/>
    <n v="98115"/>
    <x v="1"/>
    <x v="0"/>
    <x v="3"/>
    <n v="653.54999999999995"/>
    <n v="3"/>
    <n v="0"/>
    <n v="111.1035"/>
  </r>
  <r>
    <s v="Standard Class"/>
    <x v="1"/>
    <s v="United States"/>
    <s v="Seattle"/>
    <x v="4"/>
    <n v="98115"/>
    <x v="1"/>
    <x v="2"/>
    <x v="11"/>
    <n v="33.9"/>
    <n v="2"/>
    <n v="0"/>
    <n v="2.0339999999999998"/>
  </r>
  <r>
    <s v="Second Class"/>
    <x v="0"/>
    <s v="United States"/>
    <s v="Naperville"/>
    <x v="10"/>
    <n v="60540"/>
    <x v="2"/>
    <x v="2"/>
    <x v="11"/>
    <n v="239.96"/>
    <n v="5"/>
    <n v="0.2"/>
    <n v="83.986000000000004"/>
  </r>
  <r>
    <s v="First Class"/>
    <x v="1"/>
    <s v="United States"/>
    <s v="Wilmington"/>
    <x v="13"/>
    <n v="19805"/>
    <x v="3"/>
    <x v="0"/>
    <x v="3"/>
    <n v="199.83600000000001"/>
    <n v="4"/>
    <n v="0.3"/>
    <n v="-37.112400000000001"/>
  </r>
  <r>
    <s v="First Class"/>
    <x v="1"/>
    <s v="United States"/>
    <s v="Wilmington"/>
    <x v="13"/>
    <n v="19805"/>
    <x v="3"/>
    <x v="2"/>
    <x v="7"/>
    <n v="716"/>
    <n v="2"/>
    <n v="0"/>
    <n v="193.32"/>
  </r>
  <r>
    <s v="First Class"/>
    <x v="1"/>
    <s v="United States"/>
    <s v="Wilmington"/>
    <x v="13"/>
    <n v="19805"/>
    <x v="3"/>
    <x v="1"/>
    <x v="8"/>
    <n v="221.06"/>
    <n v="7"/>
    <n v="0"/>
    <n v="103.8982"/>
  </r>
  <r>
    <s v="Second Class"/>
    <x v="0"/>
    <s v="United States"/>
    <s v="Los Angeles"/>
    <x v="1"/>
    <n v="90036"/>
    <x v="1"/>
    <x v="1"/>
    <x v="10"/>
    <n v="67.709999999999994"/>
    <n v="3"/>
    <n v="0"/>
    <n v="32.500799999999998"/>
  </r>
  <r>
    <s v="Second Class"/>
    <x v="0"/>
    <s v="United States"/>
    <s v="Los Angeles"/>
    <x v="1"/>
    <n v="90036"/>
    <x v="1"/>
    <x v="1"/>
    <x v="9"/>
    <n v="129.91999999999999"/>
    <n v="4"/>
    <n v="0"/>
    <n v="38.975999999999999"/>
  </r>
  <r>
    <s v="Second Class"/>
    <x v="0"/>
    <s v="United States"/>
    <s v="Los Angeles"/>
    <x v="1"/>
    <n v="90036"/>
    <x v="1"/>
    <x v="0"/>
    <x v="5"/>
    <n v="467.46"/>
    <n v="9"/>
    <n v="0"/>
    <n v="191.65860000000001"/>
  </r>
  <r>
    <s v="Second Class"/>
    <x v="0"/>
    <s v="United States"/>
    <s v="Los Angeles"/>
    <x v="1"/>
    <n v="90036"/>
    <x v="1"/>
    <x v="1"/>
    <x v="10"/>
    <n v="61.4"/>
    <n v="5"/>
    <n v="0"/>
    <n v="28.858000000000001"/>
  </r>
  <r>
    <s v="Second Class"/>
    <x v="0"/>
    <s v="United States"/>
    <s v="Los Angeles"/>
    <x v="1"/>
    <n v="90036"/>
    <x v="1"/>
    <x v="1"/>
    <x v="4"/>
    <n v="720.76"/>
    <n v="4"/>
    <n v="0"/>
    <n v="187.39760000000001"/>
  </r>
  <r>
    <s v="Second Class"/>
    <x v="0"/>
    <s v="United States"/>
    <s v="Los Angeles"/>
    <x v="1"/>
    <n v="90036"/>
    <x v="1"/>
    <x v="1"/>
    <x v="8"/>
    <n v="5.1840000000000002"/>
    <n v="3"/>
    <n v="0.2"/>
    <n v="1.8144"/>
  </r>
  <r>
    <s v="Second Class"/>
    <x v="0"/>
    <s v="United States"/>
    <s v="Los Angeles"/>
    <x v="1"/>
    <n v="90036"/>
    <x v="1"/>
    <x v="1"/>
    <x v="6"/>
    <n v="14.7"/>
    <n v="5"/>
    <n v="0"/>
    <n v="3.9689999999999999"/>
  </r>
  <r>
    <s v="Standard Class"/>
    <x v="0"/>
    <s v="United States"/>
    <s v="Chicago"/>
    <x v="10"/>
    <n v="60610"/>
    <x v="2"/>
    <x v="1"/>
    <x v="8"/>
    <n v="8.1340000000000003"/>
    <n v="7"/>
    <n v="0.8"/>
    <n v="-13.8278"/>
  </r>
  <r>
    <s v="Standard Class"/>
    <x v="0"/>
    <s v="United States"/>
    <s v="Chicago"/>
    <x v="10"/>
    <n v="60610"/>
    <x v="2"/>
    <x v="2"/>
    <x v="11"/>
    <n v="79.983999999999995"/>
    <n v="2"/>
    <n v="0.2"/>
    <n v="13.997199999999999"/>
  </r>
  <r>
    <s v="Standard Class"/>
    <x v="2"/>
    <s v="United States"/>
    <s v="Des Moines"/>
    <x v="4"/>
    <n v="98198"/>
    <x v="1"/>
    <x v="1"/>
    <x v="10"/>
    <n v="18.54"/>
    <n v="2"/>
    <n v="0"/>
    <n v="8.7138000000000009"/>
  </r>
  <r>
    <s v="Standard Class"/>
    <x v="1"/>
    <s v="United States"/>
    <s v="Philadelphia"/>
    <x v="9"/>
    <n v="19140"/>
    <x v="3"/>
    <x v="1"/>
    <x v="12"/>
    <n v="24.4"/>
    <n v="2"/>
    <n v="0.2"/>
    <n v="7.93"/>
  </r>
  <r>
    <s v="Same Day"/>
    <x v="0"/>
    <s v="United States"/>
    <s v="Atlanta"/>
    <x v="32"/>
    <n v="30318"/>
    <x v="0"/>
    <x v="1"/>
    <x v="10"/>
    <n v="195.64"/>
    <n v="4"/>
    <n v="0"/>
    <n v="91.950800000000001"/>
  </r>
  <r>
    <s v="Second Class"/>
    <x v="0"/>
    <s v="United States"/>
    <s v="Dallas"/>
    <x v="5"/>
    <n v="75217"/>
    <x v="2"/>
    <x v="2"/>
    <x v="11"/>
    <n v="398.4"/>
    <n v="5"/>
    <n v="0.2"/>
    <n v="84.66"/>
  </r>
  <r>
    <s v="Second Class"/>
    <x v="0"/>
    <s v="United States"/>
    <s v="Dallas"/>
    <x v="5"/>
    <n v="75217"/>
    <x v="2"/>
    <x v="1"/>
    <x v="6"/>
    <n v="7.056"/>
    <n v="3"/>
    <n v="0.2"/>
    <n v="0.79379999999999995"/>
  </r>
  <r>
    <s v="Second Class"/>
    <x v="0"/>
    <s v="United States"/>
    <s v="Dallas"/>
    <x v="5"/>
    <n v="75217"/>
    <x v="2"/>
    <x v="0"/>
    <x v="0"/>
    <n v="1352.3976"/>
    <n v="9"/>
    <n v="0.32"/>
    <n v="-437.54039999999998"/>
  </r>
  <r>
    <s v="First Class"/>
    <x v="0"/>
    <s v="United States"/>
    <s v="Moreno Valley"/>
    <x v="1"/>
    <n v="92553"/>
    <x v="1"/>
    <x v="1"/>
    <x v="10"/>
    <n v="26.4"/>
    <n v="5"/>
    <n v="0"/>
    <n v="11.88"/>
  </r>
  <r>
    <s v="First Class"/>
    <x v="0"/>
    <s v="United States"/>
    <s v="Moreno Valley"/>
    <x v="1"/>
    <n v="92553"/>
    <x v="1"/>
    <x v="1"/>
    <x v="4"/>
    <n v="41.88"/>
    <n v="6"/>
    <n v="0"/>
    <n v="0.83760000000000001"/>
  </r>
  <r>
    <s v="Standard Class"/>
    <x v="0"/>
    <s v="United States"/>
    <s v="Philadelphia"/>
    <x v="9"/>
    <n v="19140"/>
    <x v="3"/>
    <x v="1"/>
    <x v="8"/>
    <n v="99.846000000000004"/>
    <n v="9"/>
    <n v="0.7"/>
    <n v="-83.204999999999998"/>
  </r>
  <r>
    <s v="Second Class"/>
    <x v="0"/>
    <s v="United States"/>
    <s v="Georgetown"/>
    <x v="0"/>
    <n v="40324"/>
    <x v="0"/>
    <x v="2"/>
    <x v="7"/>
    <n v="699.98"/>
    <n v="2"/>
    <n v="0"/>
    <n v="195.99440000000001"/>
  </r>
  <r>
    <s v="Second Class"/>
    <x v="0"/>
    <s v="United States"/>
    <s v="Georgetown"/>
    <x v="0"/>
    <n v="40324"/>
    <x v="0"/>
    <x v="1"/>
    <x v="4"/>
    <n v="584.82000000000005"/>
    <n v="9"/>
    <n v="0"/>
    <n v="70.178399999999996"/>
  </r>
  <r>
    <s v="Standard Class"/>
    <x v="0"/>
    <s v="United States"/>
    <s v="Minneapolis"/>
    <x v="11"/>
    <n v="55407"/>
    <x v="2"/>
    <x v="1"/>
    <x v="8"/>
    <n v="43.98"/>
    <n v="2"/>
    <n v="0"/>
    <n v="21.99"/>
  </r>
  <r>
    <s v="Standard Class"/>
    <x v="0"/>
    <s v="United States"/>
    <s v="Minneapolis"/>
    <x v="11"/>
    <n v="55407"/>
    <x v="2"/>
    <x v="2"/>
    <x v="7"/>
    <n v="377.97"/>
    <n v="3"/>
    <n v="0"/>
    <n v="105.83159999999999"/>
  </r>
  <r>
    <s v="Standard Class"/>
    <x v="0"/>
    <s v="United States"/>
    <s v="Minneapolis"/>
    <x v="11"/>
    <n v="55407"/>
    <x v="2"/>
    <x v="0"/>
    <x v="5"/>
    <n v="123.96"/>
    <n v="3"/>
    <n v="0"/>
    <n v="11.1564"/>
  </r>
  <r>
    <s v="First Class"/>
    <x v="0"/>
    <s v="United States"/>
    <s v="Wilmington"/>
    <x v="13"/>
    <n v="19805"/>
    <x v="3"/>
    <x v="2"/>
    <x v="7"/>
    <n v="391.98"/>
    <n v="2"/>
    <n v="0"/>
    <n v="113.6742"/>
  </r>
  <r>
    <s v="Standard Class"/>
    <x v="0"/>
    <s v="United States"/>
    <s v="Burlington"/>
    <x v="3"/>
    <n v="27217"/>
    <x v="0"/>
    <x v="2"/>
    <x v="11"/>
    <n v="383.976"/>
    <n v="3"/>
    <n v="0.2"/>
    <n v="81.594899999999996"/>
  </r>
  <r>
    <s v="Standard Class"/>
    <x v="0"/>
    <s v="United States"/>
    <s v="Burlington"/>
    <x v="3"/>
    <n v="27217"/>
    <x v="0"/>
    <x v="0"/>
    <x v="3"/>
    <n v="1781.682"/>
    <n v="7"/>
    <n v="0.4"/>
    <n v="-653.28340000000003"/>
  </r>
  <r>
    <s v="Standard Class"/>
    <x v="2"/>
    <s v="United States"/>
    <s v="Los Angeles"/>
    <x v="1"/>
    <n v="90008"/>
    <x v="1"/>
    <x v="1"/>
    <x v="6"/>
    <n v="21.4"/>
    <n v="5"/>
    <n v="0"/>
    <n v="6.2060000000000004"/>
  </r>
  <r>
    <s v="Standard Class"/>
    <x v="2"/>
    <s v="United States"/>
    <s v="Trenton"/>
    <x v="12"/>
    <n v="48183"/>
    <x v="2"/>
    <x v="2"/>
    <x v="16"/>
    <n v="549.99"/>
    <n v="1"/>
    <n v="0"/>
    <n v="274.995"/>
  </r>
  <r>
    <s v="Standard Class"/>
    <x v="2"/>
    <s v="United States"/>
    <s v="Trenton"/>
    <x v="12"/>
    <n v="48183"/>
    <x v="2"/>
    <x v="1"/>
    <x v="9"/>
    <n v="167.535"/>
    <n v="3"/>
    <n v="0.1"/>
    <n v="37.229999999999997"/>
  </r>
  <r>
    <s v="Standard Class"/>
    <x v="2"/>
    <s v="United States"/>
    <s v="Trenton"/>
    <x v="12"/>
    <n v="48183"/>
    <x v="2"/>
    <x v="1"/>
    <x v="12"/>
    <n v="38.340000000000003"/>
    <n v="3"/>
    <n v="0"/>
    <n v="17.253"/>
  </r>
  <r>
    <s v="Standard Class"/>
    <x v="2"/>
    <s v="United States"/>
    <s v="Trenton"/>
    <x v="12"/>
    <n v="48183"/>
    <x v="2"/>
    <x v="0"/>
    <x v="5"/>
    <n v="53.88"/>
    <n v="6"/>
    <n v="0"/>
    <n v="22.6296"/>
  </r>
  <r>
    <s v="Standard Class"/>
    <x v="2"/>
    <s v="United States"/>
    <s v="Trenton"/>
    <x v="12"/>
    <n v="48183"/>
    <x v="2"/>
    <x v="2"/>
    <x v="7"/>
    <n v="299.98"/>
    <n v="2"/>
    <n v="0"/>
    <n v="83.994399999999999"/>
  </r>
  <r>
    <s v="Same Day"/>
    <x v="0"/>
    <s v="United States"/>
    <s v="San Francisco"/>
    <x v="1"/>
    <n v="94109"/>
    <x v="1"/>
    <x v="1"/>
    <x v="4"/>
    <n v="62.8"/>
    <n v="4"/>
    <n v="0"/>
    <n v="15.7"/>
  </r>
  <r>
    <s v="Second Class"/>
    <x v="0"/>
    <s v="United States"/>
    <s v="Los Angeles"/>
    <x v="1"/>
    <n v="90049"/>
    <x v="1"/>
    <x v="1"/>
    <x v="8"/>
    <n v="13.904"/>
    <n v="2"/>
    <n v="0.2"/>
    <n v="4.5187999999999997"/>
  </r>
  <r>
    <s v="Second Class"/>
    <x v="0"/>
    <s v="United States"/>
    <s v="Houston"/>
    <x v="5"/>
    <n v="77070"/>
    <x v="2"/>
    <x v="0"/>
    <x v="3"/>
    <n v="744.1"/>
    <n v="5"/>
    <n v="0.3"/>
    <n v="-95.67"/>
  </r>
  <r>
    <s v="Second Class"/>
    <x v="0"/>
    <s v="United States"/>
    <s v="Houston"/>
    <x v="5"/>
    <n v="77070"/>
    <x v="2"/>
    <x v="1"/>
    <x v="4"/>
    <n v="44.84"/>
    <n v="5"/>
    <n v="0.2"/>
    <n v="5.6050000000000004"/>
  </r>
  <r>
    <s v="Second Class"/>
    <x v="0"/>
    <s v="United States"/>
    <s v="Houston"/>
    <x v="5"/>
    <n v="77070"/>
    <x v="2"/>
    <x v="0"/>
    <x v="3"/>
    <n v="401.59"/>
    <n v="2"/>
    <n v="0.3"/>
    <n v="-131.95099999999999"/>
  </r>
  <r>
    <s v="Standard Class"/>
    <x v="2"/>
    <s v="United States"/>
    <s v="Milwaukee"/>
    <x v="6"/>
    <n v="53209"/>
    <x v="2"/>
    <x v="1"/>
    <x v="8"/>
    <n v="18.239999999999998"/>
    <n v="3"/>
    <n v="0"/>
    <n v="8.5728000000000009"/>
  </r>
  <r>
    <s v="Standard Class"/>
    <x v="0"/>
    <s v="United States"/>
    <s v="San Francisco"/>
    <x v="1"/>
    <n v="94122"/>
    <x v="1"/>
    <x v="0"/>
    <x v="0"/>
    <n v="359.49900000000002"/>
    <n v="3"/>
    <n v="0.15"/>
    <n v="-29.605799999999999"/>
  </r>
  <r>
    <s v="Standard Class"/>
    <x v="0"/>
    <s v="United States"/>
    <s v="San Francisco"/>
    <x v="1"/>
    <n v="94122"/>
    <x v="1"/>
    <x v="1"/>
    <x v="4"/>
    <n v="10.48"/>
    <n v="1"/>
    <n v="0"/>
    <n v="2.8296000000000001"/>
  </r>
  <r>
    <s v="Same Day"/>
    <x v="2"/>
    <s v="United States"/>
    <s v="Cleveland"/>
    <x v="24"/>
    <n v="44105"/>
    <x v="3"/>
    <x v="1"/>
    <x v="10"/>
    <n v="20.736000000000001"/>
    <n v="4"/>
    <n v="0.2"/>
    <n v="7.2576000000000001"/>
  </r>
  <r>
    <s v="Standard Class"/>
    <x v="0"/>
    <s v="United States"/>
    <s v="Monroe"/>
    <x v="3"/>
    <n v="28110"/>
    <x v="0"/>
    <x v="2"/>
    <x v="11"/>
    <n v="35.167999999999999"/>
    <n v="4"/>
    <n v="0.2"/>
    <n v="8.3523999999999994"/>
  </r>
  <r>
    <s v="Standard Class"/>
    <x v="0"/>
    <s v="United States"/>
    <s v="Monroe"/>
    <x v="3"/>
    <n v="28110"/>
    <x v="0"/>
    <x v="1"/>
    <x v="10"/>
    <n v="64.703999999999994"/>
    <n v="3"/>
    <n v="0.2"/>
    <n v="23.455200000000001"/>
  </r>
  <r>
    <s v="Second Class"/>
    <x v="1"/>
    <s v="United States"/>
    <s v="Lowell"/>
    <x v="31"/>
    <n v="1852"/>
    <x v="3"/>
    <x v="1"/>
    <x v="10"/>
    <n v="105.52"/>
    <n v="4"/>
    <n v="0"/>
    <n v="48.539200000000001"/>
  </r>
  <r>
    <s v="Standard Class"/>
    <x v="2"/>
    <s v="United States"/>
    <s v="Dallas"/>
    <x v="5"/>
    <n v="75081"/>
    <x v="2"/>
    <x v="1"/>
    <x v="8"/>
    <n v="5.7919999999999998"/>
    <n v="2"/>
    <n v="0.8"/>
    <n v="-9.5568000000000008"/>
  </r>
  <r>
    <s v="Standard Class"/>
    <x v="1"/>
    <s v="United States"/>
    <s v="Philadelphia"/>
    <x v="9"/>
    <n v="19120"/>
    <x v="3"/>
    <x v="2"/>
    <x v="7"/>
    <n v="466.15800000000002"/>
    <n v="7"/>
    <n v="0.4"/>
    <n v="-93.2316"/>
  </r>
  <r>
    <s v="Standard Class"/>
    <x v="1"/>
    <s v="United States"/>
    <s v="Philadelphia"/>
    <x v="9"/>
    <n v="19120"/>
    <x v="3"/>
    <x v="2"/>
    <x v="11"/>
    <n v="10.311999999999999"/>
    <n v="1"/>
    <n v="0.2"/>
    <n v="-1.2889999999999999"/>
  </r>
  <r>
    <s v="Standard Class"/>
    <x v="1"/>
    <s v="United States"/>
    <s v="Philadelphia"/>
    <x v="9"/>
    <n v="19120"/>
    <x v="3"/>
    <x v="1"/>
    <x v="8"/>
    <n v="2.556"/>
    <n v="3"/>
    <n v="0.7"/>
    <n v="-1.7891999999999999"/>
  </r>
  <r>
    <s v="First Class"/>
    <x v="1"/>
    <s v="United States"/>
    <s v="Loveland"/>
    <x v="22"/>
    <n v="80538"/>
    <x v="1"/>
    <x v="1"/>
    <x v="10"/>
    <n v="7.968"/>
    <n v="2"/>
    <n v="0.2"/>
    <n v="2.8883999999999999"/>
  </r>
  <r>
    <s v="First Class"/>
    <x v="1"/>
    <s v="United States"/>
    <s v="Loveland"/>
    <x v="22"/>
    <n v="80538"/>
    <x v="1"/>
    <x v="1"/>
    <x v="12"/>
    <n v="8.7840000000000007"/>
    <n v="1"/>
    <n v="0.2"/>
    <n v="3.1842000000000001"/>
  </r>
  <r>
    <s v="Standard Class"/>
    <x v="0"/>
    <s v="United States"/>
    <s v="Loveland"/>
    <x v="22"/>
    <n v="80538"/>
    <x v="1"/>
    <x v="1"/>
    <x v="13"/>
    <n v="3.024"/>
    <n v="3"/>
    <n v="0.2"/>
    <n v="-0.6048"/>
  </r>
  <r>
    <s v="Standard Class"/>
    <x v="1"/>
    <s v="United States"/>
    <s v="Woonsocket"/>
    <x v="34"/>
    <n v="2895"/>
    <x v="3"/>
    <x v="1"/>
    <x v="4"/>
    <n v="51.45"/>
    <n v="3"/>
    <n v="0"/>
    <n v="13.891500000000001"/>
  </r>
  <r>
    <s v="Standard Class"/>
    <x v="0"/>
    <s v="United States"/>
    <s v="Chicago"/>
    <x v="10"/>
    <n v="60610"/>
    <x v="2"/>
    <x v="1"/>
    <x v="9"/>
    <n v="14.016"/>
    <n v="4"/>
    <n v="0.8"/>
    <n v="-31.536000000000001"/>
  </r>
  <r>
    <s v="Standard Class"/>
    <x v="0"/>
    <s v="United States"/>
    <s v="Chicago"/>
    <x v="10"/>
    <n v="60610"/>
    <x v="2"/>
    <x v="0"/>
    <x v="3"/>
    <n v="214.95"/>
    <n v="5"/>
    <n v="0.5"/>
    <n v="-120.372"/>
  </r>
  <r>
    <s v="Standard Class"/>
    <x v="0"/>
    <s v="United States"/>
    <s v="Chicago"/>
    <x v="10"/>
    <n v="60610"/>
    <x v="2"/>
    <x v="2"/>
    <x v="7"/>
    <n v="35.04"/>
    <n v="4"/>
    <n v="0.2"/>
    <n v="-7.008"/>
  </r>
  <r>
    <s v="Standard Class"/>
    <x v="0"/>
    <s v="United States"/>
    <s v="Chicago"/>
    <x v="10"/>
    <n v="60610"/>
    <x v="2"/>
    <x v="0"/>
    <x v="5"/>
    <n v="10.776"/>
    <n v="3"/>
    <n v="0.6"/>
    <n v="-4.8491999999999997"/>
  </r>
  <r>
    <s v="Standard Class"/>
    <x v="0"/>
    <s v="United States"/>
    <s v="Chicago"/>
    <x v="10"/>
    <n v="60610"/>
    <x v="2"/>
    <x v="1"/>
    <x v="8"/>
    <n v="4.5999999999999996"/>
    <n v="2"/>
    <n v="0.8"/>
    <n v="-8.0500000000000007"/>
  </r>
  <r>
    <s v="Standard Class"/>
    <x v="0"/>
    <s v="United States"/>
    <s v="Chicago"/>
    <x v="10"/>
    <n v="60610"/>
    <x v="2"/>
    <x v="1"/>
    <x v="4"/>
    <n v="35.167999999999999"/>
    <n v="2"/>
    <n v="0.2"/>
    <n v="-8.3523999999999994"/>
  </r>
  <r>
    <s v="Standard Class"/>
    <x v="2"/>
    <s v="United States"/>
    <s v="Bakersfield"/>
    <x v="1"/>
    <n v="93309"/>
    <x v="1"/>
    <x v="1"/>
    <x v="8"/>
    <n v="19.152000000000001"/>
    <n v="3"/>
    <n v="0.2"/>
    <n v="6.4638"/>
  </r>
  <r>
    <s v="Same Day"/>
    <x v="0"/>
    <s v="United States"/>
    <s v="Dallas"/>
    <x v="5"/>
    <n v="75217"/>
    <x v="2"/>
    <x v="1"/>
    <x v="6"/>
    <n v="4.4480000000000004"/>
    <n v="2"/>
    <n v="0.2"/>
    <n v="0.33360000000000001"/>
  </r>
  <r>
    <s v="Same Day"/>
    <x v="0"/>
    <s v="United States"/>
    <s v="Dallas"/>
    <x v="5"/>
    <n v="75217"/>
    <x v="2"/>
    <x v="1"/>
    <x v="10"/>
    <n v="5.1840000000000002"/>
    <n v="1"/>
    <n v="0.2"/>
    <n v="1.8792"/>
  </r>
  <r>
    <s v="Same Day"/>
    <x v="0"/>
    <s v="United States"/>
    <s v="Dallas"/>
    <x v="5"/>
    <n v="75217"/>
    <x v="2"/>
    <x v="1"/>
    <x v="10"/>
    <n v="15.552"/>
    <n v="3"/>
    <n v="0.2"/>
    <n v="5.4432"/>
  </r>
  <r>
    <s v="Second Class"/>
    <x v="0"/>
    <s v="United States"/>
    <s v="Philadelphia"/>
    <x v="9"/>
    <n v="19140"/>
    <x v="3"/>
    <x v="1"/>
    <x v="10"/>
    <n v="40.031999999999996"/>
    <n v="6"/>
    <n v="0.2"/>
    <n v="12.51"/>
  </r>
  <r>
    <s v="Second Class"/>
    <x v="0"/>
    <s v="United States"/>
    <s v="Philadelphia"/>
    <x v="9"/>
    <n v="19140"/>
    <x v="3"/>
    <x v="2"/>
    <x v="11"/>
    <n v="16.776"/>
    <n v="3"/>
    <n v="0.2"/>
    <n v="5.0327999999999999"/>
  </r>
  <r>
    <s v="Standard Class"/>
    <x v="0"/>
    <s v="United States"/>
    <s v="Deltona"/>
    <x v="2"/>
    <n v="32725"/>
    <x v="0"/>
    <x v="0"/>
    <x v="1"/>
    <n v="186.304"/>
    <n v="4"/>
    <n v="0.2"/>
    <n v="13.972799999999999"/>
  </r>
  <r>
    <s v="Standard Class"/>
    <x v="1"/>
    <s v="United States"/>
    <s v="Columbus"/>
    <x v="32"/>
    <n v="31907"/>
    <x v="0"/>
    <x v="2"/>
    <x v="11"/>
    <n v="66.36"/>
    <n v="4"/>
    <n v="0"/>
    <n v="23.225999999999999"/>
  </r>
  <r>
    <s v="First Class"/>
    <x v="2"/>
    <s v="United States"/>
    <s v="Nashville"/>
    <x v="18"/>
    <n v="37211"/>
    <x v="0"/>
    <x v="1"/>
    <x v="6"/>
    <n v="42.048000000000002"/>
    <n v="9"/>
    <n v="0.2"/>
    <n v="5.2560000000000002"/>
  </r>
  <r>
    <s v="First Class"/>
    <x v="2"/>
    <s v="United States"/>
    <s v="Nashville"/>
    <x v="18"/>
    <n v="37211"/>
    <x v="0"/>
    <x v="1"/>
    <x v="6"/>
    <n v="67.92"/>
    <n v="5"/>
    <n v="0.2"/>
    <n v="6.7919999999999998"/>
  </r>
  <r>
    <s v="Standard Class"/>
    <x v="1"/>
    <s v="United States"/>
    <s v="Philadelphia"/>
    <x v="9"/>
    <n v="19134"/>
    <x v="3"/>
    <x v="1"/>
    <x v="12"/>
    <n v="52.512"/>
    <n v="6"/>
    <n v="0.2"/>
    <n v="19.692"/>
  </r>
  <r>
    <s v="Standard Class"/>
    <x v="1"/>
    <s v="United States"/>
    <s v="Philadelphia"/>
    <x v="9"/>
    <n v="19134"/>
    <x v="3"/>
    <x v="1"/>
    <x v="4"/>
    <n v="186.91200000000001"/>
    <n v="6"/>
    <n v="0.2"/>
    <n v="-35.045999999999999"/>
  </r>
  <r>
    <s v="Standard Class"/>
    <x v="1"/>
    <s v="United States"/>
    <s v="Philadelphia"/>
    <x v="9"/>
    <n v="19134"/>
    <x v="3"/>
    <x v="1"/>
    <x v="10"/>
    <n v="10.048"/>
    <n v="4"/>
    <n v="0.2"/>
    <n v="3.14"/>
  </r>
  <r>
    <s v="Same Day"/>
    <x v="0"/>
    <s v="United States"/>
    <s v="Chicago"/>
    <x v="10"/>
    <n v="60610"/>
    <x v="2"/>
    <x v="0"/>
    <x v="5"/>
    <n v="17.495999999999999"/>
    <n v="9"/>
    <n v="0.6"/>
    <n v="-7.4358000000000004"/>
  </r>
  <r>
    <s v="Second Class"/>
    <x v="0"/>
    <s v="United States"/>
    <s v="Dallas"/>
    <x v="5"/>
    <n v="75220"/>
    <x v="2"/>
    <x v="1"/>
    <x v="10"/>
    <n v="15.552"/>
    <n v="3"/>
    <n v="0.2"/>
    <n v="5.4432"/>
  </r>
  <r>
    <s v="Standard Class"/>
    <x v="0"/>
    <s v="United States"/>
    <s v="Carlsbad"/>
    <x v="27"/>
    <n v="88220"/>
    <x v="1"/>
    <x v="1"/>
    <x v="8"/>
    <n v="10.776"/>
    <n v="3"/>
    <n v="0.2"/>
    <n v="3.3675000000000002"/>
  </r>
  <r>
    <s v="Standard Class"/>
    <x v="0"/>
    <s v="United States"/>
    <s v="Philadelphia"/>
    <x v="9"/>
    <n v="19134"/>
    <x v="3"/>
    <x v="1"/>
    <x v="2"/>
    <n v="3.3039999999999998"/>
    <n v="1"/>
    <n v="0.2"/>
    <n v="1.0738000000000001"/>
  </r>
  <r>
    <s v="Standard Class"/>
    <x v="0"/>
    <s v="United States"/>
    <s v="New York City"/>
    <x v="15"/>
    <n v="10009"/>
    <x v="3"/>
    <x v="1"/>
    <x v="4"/>
    <n v="35.479999999999997"/>
    <n v="1"/>
    <n v="0"/>
    <n v="0"/>
  </r>
  <r>
    <s v="Standard Class"/>
    <x v="0"/>
    <s v="United States"/>
    <s v="Oceanside"/>
    <x v="15"/>
    <n v="11572"/>
    <x v="3"/>
    <x v="1"/>
    <x v="13"/>
    <n v="34.44"/>
    <n v="3"/>
    <n v="0"/>
    <n v="16.186800000000002"/>
  </r>
  <r>
    <s v="Standard Class"/>
    <x v="0"/>
    <s v="United States"/>
    <s v="Oceanside"/>
    <x v="15"/>
    <n v="11572"/>
    <x v="3"/>
    <x v="2"/>
    <x v="15"/>
    <n v="629.92999999999995"/>
    <n v="7"/>
    <n v="0"/>
    <n v="296.06709999999998"/>
  </r>
  <r>
    <s v="Standard Class"/>
    <x v="0"/>
    <s v="United States"/>
    <s v="Oceanside"/>
    <x v="15"/>
    <n v="11572"/>
    <x v="3"/>
    <x v="1"/>
    <x v="8"/>
    <n v="79.055999999999997"/>
    <n v="9"/>
    <n v="0.2"/>
    <n v="28.657800000000002"/>
  </r>
  <r>
    <s v="Standard Class"/>
    <x v="1"/>
    <s v="United States"/>
    <s v="Lafayette"/>
    <x v="28"/>
    <n v="70506"/>
    <x v="0"/>
    <x v="1"/>
    <x v="4"/>
    <n v="232.55"/>
    <n v="5"/>
    <n v="0"/>
    <n v="9.3019999999999996"/>
  </r>
  <r>
    <s v="Standard Class"/>
    <x v="1"/>
    <s v="United States"/>
    <s v="Lafayette"/>
    <x v="28"/>
    <n v="70506"/>
    <x v="0"/>
    <x v="2"/>
    <x v="11"/>
    <n v="99.98"/>
    <n v="2"/>
    <n v="0"/>
    <n v="42.991399999999999"/>
  </r>
  <r>
    <s v="Standard Class"/>
    <x v="1"/>
    <s v="United States"/>
    <s v="Lafayette"/>
    <x v="28"/>
    <n v="70506"/>
    <x v="0"/>
    <x v="1"/>
    <x v="10"/>
    <n v="19.440000000000001"/>
    <n v="3"/>
    <n v="0"/>
    <n v="9.3312000000000008"/>
  </r>
  <r>
    <s v="Standard Class"/>
    <x v="1"/>
    <s v="United States"/>
    <s v="Lafayette"/>
    <x v="28"/>
    <n v="70506"/>
    <x v="0"/>
    <x v="1"/>
    <x v="10"/>
    <n v="12.96"/>
    <n v="2"/>
    <n v="0"/>
    <n v="6.3503999999999996"/>
  </r>
  <r>
    <s v="Same Day"/>
    <x v="0"/>
    <s v="United States"/>
    <s v="New York City"/>
    <x v="15"/>
    <n v="10009"/>
    <x v="3"/>
    <x v="0"/>
    <x v="3"/>
    <n v="464.29199999999997"/>
    <n v="9"/>
    <n v="0.4"/>
    <n v="-108.3348"/>
  </r>
  <r>
    <s v="Same Day"/>
    <x v="0"/>
    <s v="United States"/>
    <s v="New York City"/>
    <x v="15"/>
    <n v="10009"/>
    <x v="3"/>
    <x v="1"/>
    <x v="12"/>
    <n v="68.459999999999994"/>
    <n v="7"/>
    <n v="0"/>
    <n v="31.491599999999998"/>
  </r>
  <r>
    <s v="Same Day"/>
    <x v="0"/>
    <s v="United States"/>
    <s v="New York City"/>
    <x v="15"/>
    <n v="10009"/>
    <x v="3"/>
    <x v="2"/>
    <x v="15"/>
    <n v="2799.96"/>
    <n v="4"/>
    <n v="0"/>
    <n v="1371.9803999999999"/>
  </r>
  <r>
    <s v="Same Day"/>
    <x v="0"/>
    <s v="United States"/>
    <s v="New York City"/>
    <x v="15"/>
    <n v="10009"/>
    <x v="3"/>
    <x v="1"/>
    <x v="9"/>
    <n v="601.29999999999995"/>
    <n v="2"/>
    <n v="0"/>
    <n v="198.429"/>
  </r>
  <r>
    <s v="Same Day"/>
    <x v="0"/>
    <s v="United States"/>
    <s v="New York City"/>
    <x v="15"/>
    <n v="10009"/>
    <x v="3"/>
    <x v="2"/>
    <x v="7"/>
    <n v="16.989999999999998"/>
    <n v="1"/>
    <n v="0"/>
    <n v="4.4173999999999998"/>
  </r>
  <r>
    <s v="Same Day"/>
    <x v="0"/>
    <s v="United States"/>
    <s v="New York City"/>
    <x v="15"/>
    <n v="10009"/>
    <x v="3"/>
    <x v="2"/>
    <x v="7"/>
    <n v="287.97000000000003"/>
    <n v="3"/>
    <n v="0"/>
    <n v="80.631600000000006"/>
  </r>
  <r>
    <s v="Same Day"/>
    <x v="0"/>
    <s v="United States"/>
    <s v="New York City"/>
    <x v="15"/>
    <n v="10009"/>
    <x v="3"/>
    <x v="1"/>
    <x v="10"/>
    <n v="44.82"/>
    <n v="9"/>
    <n v="0"/>
    <n v="21.0654"/>
  </r>
  <r>
    <s v="Standard Class"/>
    <x v="1"/>
    <s v="United States"/>
    <s v="Anaheim"/>
    <x v="1"/>
    <n v="92804"/>
    <x v="1"/>
    <x v="0"/>
    <x v="5"/>
    <n v="101.12"/>
    <n v="8"/>
    <n v="0"/>
    <n v="37.414400000000001"/>
  </r>
  <r>
    <s v="Standard Class"/>
    <x v="0"/>
    <s v="United States"/>
    <s v="Deltona"/>
    <x v="2"/>
    <n v="32725"/>
    <x v="0"/>
    <x v="2"/>
    <x v="7"/>
    <n v="107.976"/>
    <n v="3"/>
    <n v="0.2"/>
    <n v="37.791600000000003"/>
  </r>
  <r>
    <s v="Standard Class"/>
    <x v="2"/>
    <s v="United States"/>
    <s v="New York City"/>
    <x v="15"/>
    <n v="10009"/>
    <x v="3"/>
    <x v="1"/>
    <x v="9"/>
    <n v="58.73"/>
    <n v="7"/>
    <n v="0"/>
    <n v="14.682499999999999"/>
  </r>
  <r>
    <s v="Standard Class"/>
    <x v="2"/>
    <s v="United States"/>
    <s v="New York City"/>
    <x v="15"/>
    <n v="10009"/>
    <x v="3"/>
    <x v="1"/>
    <x v="8"/>
    <n v="93.343999999999994"/>
    <n v="4"/>
    <n v="0.2"/>
    <n v="32.670400000000001"/>
  </r>
  <r>
    <s v="Standard Class"/>
    <x v="2"/>
    <s v="United States"/>
    <s v="Seattle"/>
    <x v="4"/>
    <n v="98103"/>
    <x v="1"/>
    <x v="1"/>
    <x v="13"/>
    <n v="17.05"/>
    <n v="5"/>
    <n v="0"/>
    <n v="8.1839999999999993"/>
  </r>
  <r>
    <s v="Standard Class"/>
    <x v="0"/>
    <s v="United States"/>
    <s v="San Diego"/>
    <x v="1"/>
    <n v="92105"/>
    <x v="1"/>
    <x v="1"/>
    <x v="8"/>
    <n v="8.0960000000000001"/>
    <n v="2"/>
    <n v="0.2"/>
    <n v="2.7324000000000002"/>
  </r>
  <r>
    <s v="Standard Class"/>
    <x v="1"/>
    <s v="United States"/>
    <s v="Oklahoma City"/>
    <x v="26"/>
    <n v="73120"/>
    <x v="2"/>
    <x v="0"/>
    <x v="5"/>
    <n v="30.36"/>
    <n v="4"/>
    <n v="0"/>
    <n v="13.0548"/>
  </r>
  <r>
    <s v="Standard Class"/>
    <x v="0"/>
    <s v="United States"/>
    <s v="Mount Vernon"/>
    <x v="15"/>
    <n v="10550"/>
    <x v="3"/>
    <x v="1"/>
    <x v="12"/>
    <n v="23.34"/>
    <n v="3"/>
    <n v="0"/>
    <n v="10.969799999999999"/>
  </r>
  <r>
    <s v="Standard Class"/>
    <x v="0"/>
    <s v="United States"/>
    <s v="Mount Vernon"/>
    <x v="15"/>
    <n v="10550"/>
    <x v="3"/>
    <x v="1"/>
    <x v="10"/>
    <n v="51.55"/>
    <n v="5"/>
    <n v="0"/>
    <n v="24.2285"/>
  </r>
  <r>
    <s v="Standard Class"/>
    <x v="0"/>
    <s v="United States"/>
    <s v="San Francisco"/>
    <x v="1"/>
    <n v="94109"/>
    <x v="1"/>
    <x v="2"/>
    <x v="11"/>
    <n v="119.9"/>
    <n v="2"/>
    <n v="0"/>
    <n v="43.164000000000001"/>
  </r>
  <r>
    <s v="Standard Class"/>
    <x v="0"/>
    <s v="United States"/>
    <s v="New York City"/>
    <x v="15"/>
    <n v="10009"/>
    <x v="3"/>
    <x v="0"/>
    <x v="1"/>
    <n v="1317.492"/>
    <n v="6"/>
    <n v="0.1"/>
    <n v="292.77600000000001"/>
  </r>
  <r>
    <s v="Standard Class"/>
    <x v="0"/>
    <s v="United States"/>
    <s v="New York City"/>
    <x v="15"/>
    <n v="10009"/>
    <x v="3"/>
    <x v="1"/>
    <x v="14"/>
    <n v="63.84"/>
    <n v="8"/>
    <n v="0"/>
    <n v="18.5136"/>
  </r>
  <r>
    <s v="Standard Class"/>
    <x v="0"/>
    <s v="United States"/>
    <s v="New York City"/>
    <x v="15"/>
    <n v="10009"/>
    <x v="3"/>
    <x v="1"/>
    <x v="8"/>
    <n v="3.5920000000000001"/>
    <n v="1"/>
    <n v="0.2"/>
    <n v="1.1225000000000001"/>
  </r>
  <r>
    <s v="Standard Class"/>
    <x v="0"/>
    <s v="United States"/>
    <s v="Los Angeles"/>
    <x v="1"/>
    <n v="90045"/>
    <x v="1"/>
    <x v="0"/>
    <x v="5"/>
    <n v="86.26"/>
    <n v="2"/>
    <n v="0"/>
    <n v="29.328399999999998"/>
  </r>
  <r>
    <s v="Standard Class"/>
    <x v="0"/>
    <s v="United States"/>
    <s v="Los Angeles"/>
    <x v="1"/>
    <n v="90045"/>
    <x v="1"/>
    <x v="1"/>
    <x v="4"/>
    <n v="139.04"/>
    <n v="4"/>
    <n v="0"/>
    <n v="38.931199999999997"/>
  </r>
  <r>
    <s v="Standard Class"/>
    <x v="0"/>
    <s v="United States"/>
    <s v="Los Angeles"/>
    <x v="1"/>
    <n v="90045"/>
    <x v="1"/>
    <x v="1"/>
    <x v="9"/>
    <n v="46.8"/>
    <n v="4"/>
    <n v="0"/>
    <n v="16.38"/>
  </r>
  <r>
    <s v="Standard Class"/>
    <x v="2"/>
    <s v="United States"/>
    <s v="Chandler"/>
    <x v="16"/>
    <n v="85224"/>
    <x v="1"/>
    <x v="0"/>
    <x v="5"/>
    <n v="8.5440000000000005"/>
    <n v="4"/>
    <n v="0.2"/>
    <n v="1.9224000000000001"/>
  </r>
  <r>
    <s v="Standard Class"/>
    <x v="2"/>
    <s v="United States"/>
    <s v="Chandler"/>
    <x v="16"/>
    <n v="85224"/>
    <x v="1"/>
    <x v="0"/>
    <x v="1"/>
    <n v="842.37599999999998"/>
    <n v="3"/>
    <n v="0.2"/>
    <n v="105.297"/>
  </r>
  <r>
    <s v="Same Day"/>
    <x v="0"/>
    <s v="United States"/>
    <s v="Long Beach"/>
    <x v="15"/>
    <n v="11561"/>
    <x v="3"/>
    <x v="2"/>
    <x v="7"/>
    <n v="1214.8499999999999"/>
    <n v="3"/>
    <n v="0"/>
    <n v="352.30650000000003"/>
  </r>
  <r>
    <s v="Second Class"/>
    <x v="1"/>
    <s v="United States"/>
    <s v="San Francisco"/>
    <x v="1"/>
    <n v="94109"/>
    <x v="1"/>
    <x v="1"/>
    <x v="4"/>
    <n v="67.78"/>
    <n v="2"/>
    <n v="0"/>
    <n v="16.945"/>
  </r>
  <r>
    <s v="First Class"/>
    <x v="1"/>
    <s v="United States"/>
    <s v="Helena"/>
    <x v="37"/>
    <n v="59601"/>
    <x v="1"/>
    <x v="1"/>
    <x v="4"/>
    <n v="39.9"/>
    <n v="5"/>
    <n v="0"/>
    <n v="10.374000000000001"/>
  </r>
  <r>
    <s v="Standard Class"/>
    <x v="0"/>
    <s v="United States"/>
    <s v="New York City"/>
    <x v="15"/>
    <n v="10011"/>
    <x v="3"/>
    <x v="1"/>
    <x v="8"/>
    <n v="2.6880000000000002"/>
    <n v="1"/>
    <n v="0.2"/>
    <n v="0.84"/>
  </r>
  <r>
    <s v="Standard Class"/>
    <x v="0"/>
    <s v="United States"/>
    <s v="New York City"/>
    <x v="15"/>
    <n v="10011"/>
    <x v="3"/>
    <x v="1"/>
    <x v="6"/>
    <n v="6.6"/>
    <n v="3"/>
    <n v="0"/>
    <n v="2.9039999999999999"/>
  </r>
  <r>
    <s v="First Class"/>
    <x v="0"/>
    <s v="United States"/>
    <s v="Kirkwood"/>
    <x v="25"/>
    <n v="63122"/>
    <x v="2"/>
    <x v="1"/>
    <x v="8"/>
    <n v="28.4"/>
    <n v="4"/>
    <n v="0"/>
    <n v="13.064"/>
  </r>
  <r>
    <s v="First Class"/>
    <x v="0"/>
    <s v="United States"/>
    <s v="Kirkwood"/>
    <x v="25"/>
    <n v="63122"/>
    <x v="2"/>
    <x v="0"/>
    <x v="5"/>
    <n v="212.94"/>
    <n v="3"/>
    <n v="0"/>
    <n v="34.070399999999999"/>
  </r>
  <r>
    <s v="Second Class"/>
    <x v="2"/>
    <s v="United States"/>
    <s v="Chicago"/>
    <x v="10"/>
    <n v="60653"/>
    <x v="2"/>
    <x v="2"/>
    <x v="7"/>
    <n v="1001.5839999999999"/>
    <n v="2"/>
    <n v="0.2"/>
    <n v="125.19799999999999"/>
  </r>
  <r>
    <s v="Second Class"/>
    <x v="2"/>
    <s v="United States"/>
    <s v="Chicago"/>
    <x v="10"/>
    <n v="60653"/>
    <x v="2"/>
    <x v="0"/>
    <x v="1"/>
    <n v="569.05799999999999"/>
    <n v="3"/>
    <n v="0.3"/>
    <n v="-178.8468"/>
  </r>
  <r>
    <s v="Second Class"/>
    <x v="2"/>
    <s v="United States"/>
    <s v="Chicago"/>
    <x v="10"/>
    <n v="60653"/>
    <x v="2"/>
    <x v="0"/>
    <x v="5"/>
    <n v="14.224"/>
    <n v="2"/>
    <n v="0.6"/>
    <n v="-10.3124"/>
  </r>
  <r>
    <s v="Second Class"/>
    <x v="1"/>
    <s v="United States"/>
    <s v="Peoria"/>
    <x v="16"/>
    <n v="85345"/>
    <x v="1"/>
    <x v="2"/>
    <x v="7"/>
    <n v="105.584"/>
    <n v="2"/>
    <n v="0.2"/>
    <n v="9.2385999999999999"/>
  </r>
  <r>
    <s v="Second Class"/>
    <x v="1"/>
    <s v="United States"/>
    <s v="Peoria"/>
    <x v="16"/>
    <n v="85345"/>
    <x v="1"/>
    <x v="2"/>
    <x v="7"/>
    <n v="68.72"/>
    <n v="2"/>
    <n v="0.2"/>
    <n v="-14.603"/>
  </r>
  <r>
    <s v="Standard Class"/>
    <x v="1"/>
    <s v="United States"/>
    <s v="Seattle"/>
    <x v="4"/>
    <n v="98103"/>
    <x v="1"/>
    <x v="0"/>
    <x v="0"/>
    <n v="1367.84"/>
    <n v="8"/>
    <n v="0"/>
    <n v="259.88959999999997"/>
  </r>
  <r>
    <s v="Second Class"/>
    <x v="0"/>
    <s v="United States"/>
    <s v="Taylor"/>
    <x v="12"/>
    <n v="48180"/>
    <x v="2"/>
    <x v="0"/>
    <x v="1"/>
    <n v="301.95999999999998"/>
    <n v="2"/>
    <n v="0"/>
    <n v="33.215600000000002"/>
  </r>
  <r>
    <s v="Standard Class"/>
    <x v="0"/>
    <s v="United States"/>
    <s v="Pasadena"/>
    <x v="1"/>
    <n v="91104"/>
    <x v="1"/>
    <x v="0"/>
    <x v="1"/>
    <n v="170.352"/>
    <n v="3"/>
    <n v="0.2"/>
    <n v="-17.0352"/>
  </r>
  <r>
    <s v="Standard Class"/>
    <x v="0"/>
    <s v="United States"/>
    <s v="Midland"/>
    <x v="12"/>
    <n v="48640"/>
    <x v="2"/>
    <x v="1"/>
    <x v="6"/>
    <n v="3.9"/>
    <n v="2"/>
    <n v="0"/>
    <n v="1.5209999999999999"/>
  </r>
  <r>
    <s v="Standard Class"/>
    <x v="0"/>
    <s v="United States"/>
    <s v="Midland"/>
    <x v="12"/>
    <n v="48640"/>
    <x v="2"/>
    <x v="1"/>
    <x v="10"/>
    <n v="12.84"/>
    <n v="3"/>
    <n v="0"/>
    <n v="5.7779999999999996"/>
  </r>
  <r>
    <s v="Standard Class"/>
    <x v="0"/>
    <s v="United States"/>
    <s v="Midland"/>
    <x v="12"/>
    <n v="48640"/>
    <x v="2"/>
    <x v="1"/>
    <x v="10"/>
    <n v="15.84"/>
    <n v="3"/>
    <n v="0"/>
    <n v="7.1280000000000001"/>
  </r>
  <r>
    <s v="Standard Class"/>
    <x v="0"/>
    <s v="United States"/>
    <s v="Midland"/>
    <x v="12"/>
    <n v="48640"/>
    <x v="2"/>
    <x v="0"/>
    <x v="1"/>
    <n v="563.94000000000005"/>
    <n v="3"/>
    <n v="0"/>
    <n v="112.788"/>
  </r>
  <r>
    <s v="Standard Class"/>
    <x v="0"/>
    <s v="United States"/>
    <s v="Midland"/>
    <x v="12"/>
    <n v="48640"/>
    <x v="2"/>
    <x v="1"/>
    <x v="4"/>
    <n v="62.94"/>
    <n v="3"/>
    <n v="0"/>
    <n v="11.958600000000001"/>
  </r>
  <r>
    <s v="Standard Class"/>
    <x v="0"/>
    <s v="United States"/>
    <s v="Midland"/>
    <x v="12"/>
    <n v="48640"/>
    <x v="2"/>
    <x v="1"/>
    <x v="4"/>
    <n v="535.41"/>
    <n v="3"/>
    <n v="0"/>
    <n v="160.62299999999999"/>
  </r>
  <r>
    <s v="Second Class"/>
    <x v="1"/>
    <s v="United States"/>
    <s v="Detroit"/>
    <x v="12"/>
    <n v="48205"/>
    <x v="2"/>
    <x v="0"/>
    <x v="1"/>
    <n v="3504.9"/>
    <n v="5"/>
    <n v="0"/>
    <n v="700.98"/>
  </r>
  <r>
    <s v="Second Class"/>
    <x v="1"/>
    <s v="United States"/>
    <s v="Detroit"/>
    <x v="12"/>
    <n v="48205"/>
    <x v="2"/>
    <x v="1"/>
    <x v="10"/>
    <n v="144.12"/>
    <n v="3"/>
    <n v="0"/>
    <n v="69.177599999999998"/>
  </r>
  <r>
    <s v="Second Class"/>
    <x v="1"/>
    <s v="United States"/>
    <s v="Detroit"/>
    <x v="12"/>
    <n v="48205"/>
    <x v="2"/>
    <x v="1"/>
    <x v="10"/>
    <n v="314.55"/>
    <n v="3"/>
    <n v="0"/>
    <n v="150.98400000000001"/>
  </r>
  <r>
    <s v="First Class"/>
    <x v="1"/>
    <s v="United States"/>
    <s v="Pueblo"/>
    <x v="22"/>
    <n v="81001"/>
    <x v="1"/>
    <x v="1"/>
    <x v="6"/>
    <n v="3.4079999999999999"/>
    <n v="1"/>
    <n v="0.2"/>
    <n v="0.89459999999999995"/>
  </r>
  <r>
    <s v="Standard Class"/>
    <x v="0"/>
    <s v="United States"/>
    <s v="Waco"/>
    <x v="5"/>
    <n v="76706"/>
    <x v="2"/>
    <x v="1"/>
    <x v="8"/>
    <n v="2.0720000000000001"/>
    <n v="2"/>
    <n v="0.8"/>
    <n v="-3.5224000000000002"/>
  </r>
  <r>
    <s v="Standard Class"/>
    <x v="0"/>
    <s v="United States"/>
    <s v="Waco"/>
    <x v="5"/>
    <n v="76706"/>
    <x v="2"/>
    <x v="0"/>
    <x v="0"/>
    <n v="328.39920000000001"/>
    <n v="3"/>
    <n v="0.32"/>
    <n v="-91.758600000000001"/>
  </r>
  <r>
    <s v="First Class"/>
    <x v="0"/>
    <s v="United States"/>
    <s v="San Francisco"/>
    <x v="1"/>
    <n v="94109"/>
    <x v="1"/>
    <x v="1"/>
    <x v="8"/>
    <n v="53.247999999999998"/>
    <n v="2"/>
    <n v="0.2"/>
    <n v="19.968"/>
  </r>
  <r>
    <s v="Standard Class"/>
    <x v="1"/>
    <s v="United States"/>
    <s v="New York City"/>
    <x v="15"/>
    <n v="10024"/>
    <x v="3"/>
    <x v="1"/>
    <x v="8"/>
    <n v="4.992"/>
    <n v="3"/>
    <n v="0.2"/>
    <n v="1.6848000000000001"/>
  </r>
  <r>
    <s v="Standard Class"/>
    <x v="1"/>
    <s v="United States"/>
    <s v="Los Angeles"/>
    <x v="1"/>
    <n v="90036"/>
    <x v="1"/>
    <x v="0"/>
    <x v="5"/>
    <n v="37.68"/>
    <n v="2"/>
    <n v="0"/>
    <n v="15.8256"/>
  </r>
  <r>
    <s v="Standard Class"/>
    <x v="1"/>
    <s v="United States"/>
    <s v="Los Angeles"/>
    <x v="1"/>
    <n v="90036"/>
    <x v="1"/>
    <x v="2"/>
    <x v="7"/>
    <n v="258.57600000000002"/>
    <n v="2"/>
    <n v="0.2"/>
    <n v="19.3932"/>
  </r>
  <r>
    <s v="Standard Class"/>
    <x v="1"/>
    <s v="United States"/>
    <s v="Los Angeles"/>
    <x v="1"/>
    <n v="90036"/>
    <x v="1"/>
    <x v="1"/>
    <x v="9"/>
    <n v="75.84"/>
    <n v="2"/>
    <n v="0"/>
    <n v="29.5776"/>
  </r>
  <r>
    <s v="First Class"/>
    <x v="1"/>
    <s v="United States"/>
    <s v="Woonsocket"/>
    <x v="34"/>
    <n v="2895"/>
    <x v="3"/>
    <x v="1"/>
    <x v="10"/>
    <n v="45.36"/>
    <n v="7"/>
    <n v="0"/>
    <n v="21.7728"/>
  </r>
  <r>
    <s v="First Class"/>
    <x v="1"/>
    <s v="United States"/>
    <s v="Woonsocket"/>
    <x v="34"/>
    <n v="2895"/>
    <x v="3"/>
    <x v="1"/>
    <x v="8"/>
    <n v="45.78"/>
    <n v="3"/>
    <n v="0"/>
    <n v="22.89"/>
  </r>
  <r>
    <s v="First Class"/>
    <x v="0"/>
    <s v="United States"/>
    <s v="Columbus"/>
    <x v="32"/>
    <n v="31907"/>
    <x v="0"/>
    <x v="1"/>
    <x v="4"/>
    <n v="40.29"/>
    <n v="3"/>
    <n v="0"/>
    <n v="10.0725"/>
  </r>
  <r>
    <s v="First Class"/>
    <x v="0"/>
    <s v="United States"/>
    <s v="Columbus"/>
    <x v="32"/>
    <n v="31907"/>
    <x v="0"/>
    <x v="1"/>
    <x v="8"/>
    <n v="38.71"/>
    <n v="7"/>
    <n v="0"/>
    <n v="17.8066"/>
  </r>
  <r>
    <s v="Standard Class"/>
    <x v="0"/>
    <s v="United States"/>
    <s v="Jacksonville"/>
    <x v="2"/>
    <n v="32216"/>
    <x v="0"/>
    <x v="1"/>
    <x v="4"/>
    <n v="1801.6320000000001"/>
    <n v="6"/>
    <n v="0.2"/>
    <n v="-337.80599999999998"/>
  </r>
  <r>
    <s v="Standard Class"/>
    <x v="2"/>
    <s v="United States"/>
    <s v="Philadelphia"/>
    <x v="9"/>
    <n v="19140"/>
    <x v="3"/>
    <x v="2"/>
    <x v="7"/>
    <n v="748.75199999999995"/>
    <n v="8"/>
    <n v="0.4"/>
    <n v="-162.2296"/>
  </r>
  <r>
    <s v="Standard Class"/>
    <x v="0"/>
    <s v="United States"/>
    <s v="Columbus"/>
    <x v="14"/>
    <n v="47201"/>
    <x v="2"/>
    <x v="2"/>
    <x v="11"/>
    <n v="199.96"/>
    <n v="4"/>
    <n v="0"/>
    <n v="15.9968"/>
  </r>
  <r>
    <s v="Standard Class"/>
    <x v="0"/>
    <s v="United States"/>
    <s v="Columbus"/>
    <x v="14"/>
    <n v="47201"/>
    <x v="2"/>
    <x v="0"/>
    <x v="1"/>
    <n v="1516.2"/>
    <n v="7"/>
    <n v="0"/>
    <n v="394.21199999999999"/>
  </r>
  <r>
    <s v="Standard Class"/>
    <x v="0"/>
    <s v="United States"/>
    <s v="Pasadena"/>
    <x v="5"/>
    <n v="77506"/>
    <x v="2"/>
    <x v="2"/>
    <x v="11"/>
    <n v="167.952"/>
    <n v="6"/>
    <n v="0.2"/>
    <n v="-27.292200000000001"/>
  </r>
  <r>
    <s v="Standard Class"/>
    <x v="0"/>
    <s v="United States"/>
    <s v="Pasadena"/>
    <x v="5"/>
    <n v="77506"/>
    <x v="2"/>
    <x v="1"/>
    <x v="6"/>
    <n v="45.04"/>
    <n v="2"/>
    <n v="0.2"/>
    <n v="4.5039999999999996"/>
  </r>
  <r>
    <s v="Standard Class"/>
    <x v="0"/>
    <s v="United States"/>
    <s v="San Francisco"/>
    <x v="1"/>
    <n v="94122"/>
    <x v="1"/>
    <x v="1"/>
    <x v="12"/>
    <n v="23.16"/>
    <n v="2"/>
    <n v="0"/>
    <n v="11.58"/>
  </r>
  <r>
    <s v="Second Class"/>
    <x v="1"/>
    <s v="United States"/>
    <s v="Columbia"/>
    <x v="20"/>
    <n v="29203"/>
    <x v="0"/>
    <x v="0"/>
    <x v="5"/>
    <n v="397.6"/>
    <n v="5"/>
    <n v="0"/>
    <n v="43.735999999999997"/>
  </r>
  <r>
    <s v="Second Class"/>
    <x v="1"/>
    <s v="United States"/>
    <s v="Columbia"/>
    <x v="20"/>
    <n v="29203"/>
    <x v="0"/>
    <x v="1"/>
    <x v="10"/>
    <n v="85.96"/>
    <n v="7"/>
    <n v="0"/>
    <n v="40.401200000000003"/>
  </r>
  <r>
    <s v="Second Class"/>
    <x v="1"/>
    <s v="United States"/>
    <s v="Columbia"/>
    <x v="20"/>
    <n v="29203"/>
    <x v="0"/>
    <x v="1"/>
    <x v="6"/>
    <n v="13.12"/>
    <n v="4"/>
    <n v="0"/>
    <n v="4.3296000000000001"/>
  </r>
  <r>
    <s v="Second Class"/>
    <x v="1"/>
    <s v="United States"/>
    <s v="Columbia"/>
    <x v="20"/>
    <n v="29203"/>
    <x v="0"/>
    <x v="1"/>
    <x v="8"/>
    <n v="45.66"/>
    <n v="3"/>
    <n v="0"/>
    <n v="22.3734"/>
  </r>
  <r>
    <s v="Standard Class"/>
    <x v="0"/>
    <s v="United States"/>
    <s v="Kent"/>
    <x v="4"/>
    <n v="98031"/>
    <x v="1"/>
    <x v="1"/>
    <x v="12"/>
    <n v="158.13"/>
    <n v="3"/>
    <n v="0"/>
    <n v="77.483699999999999"/>
  </r>
  <r>
    <s v="Standard Class"/>
    <x v="0"/>
    <s v="United States"/>
    <s v="Kent"/>
    <x v="4"/>
    <n v="98031"/>
    <x v="1"/>
    <x v="2"/>
    <x v="7"/>
    <n v="43.6"/>
    <n v="5"/>
    <n v="0.2"/>
    <n v="4.3600000000000003"/>
  </r>
  <r>
    <s v="Standard Class"/>
    <x v="0"/>
    <s v="United States"/>
    <s v="Round Rock"/>
    <x v="5"/>
    <n v="78664"/>
    <x v="2"/>
    <x v="1"/>
    <x v="14"/>
    <n v="3930.0720000000001"/>
    <n v="3"/>
    <n v="0.2"/>
    <n v="-786.01440000000002"/>
  </r>
  <r>
    <s v="Standard Class"/>
    <x v="0"/>
    <s v="United States"/>
    <s v="Round Rock"/>
    <x v="5"/>
    <n v="78664"/>
    <x v="2"/>
    <x v="1"/>
    <x v="13"/>
    <n v="2.3039999999999998"/>
    <n v="1"/>
    <n v="0.2"/>
    <n v="0.77759999999999996"/>
  </r>
  <r>
    <s v="Standard Class"/>
    <x v="0"/>
    <s v="United States"/>
    <s v="Round Rock"/>
    <x v="5"/>
    <n v="78664"/>
    <x v="2"/>
    <x v="2"/>
    <x v="7"/>
    <n v="431.976"/>
    <n v="3"/>
    <n v="0.2"/>
    <n v="32.398200000000003"/>
  </r>
  <r>
    <s v="Standard Class"/>
    <x v="0"/>
    <s v="United States"/>
    <s v="Round Rock"/>
    <x v="5"/>
    <n v="78664"/>
    <x v="2"/>
    <x v="2"/>
    <x v="11"/>
    <n v="41.72"/>
    <n v="7"/>
    <n v="0.2"/>
    <n v="5.7365000000000004"/>
  </r>
  <r>
    <s v="Standard Class"/>
    <x v="0"/>
    <s v="United States"/>
    <s v="Oakland"/>
    <x v="1"/>
    <n v="94601"/>
    <x v="1"/>
    <x v="0"/>
    <x v="5"/>
    <n v="104.23"/>
    <n v="7"/>
    <n v="0"/>
    <n v="28.142099999999999"/>
  </r>
  <r>
    <s v="Standard Class"/>
    <x v="0"/>
    <s v="United States"/>
    <s v="Oakland"/>
    <x v="1"/>
    <n v="94601"/>
    <x v="1"/>
    <x v="1"/>
    <x v="4"/>
    <n v="70.260000000000005"/>
    <n v="3"/>
    <n v="0"/>
    <n v="18.970199999999998"/>
  </r>
  <r>
    <s v="Standard Class"/>
    <x v="0"/>
    <s v="United States"/>
    <s v="Auburn"/>
    <x v="15"/>
    <n v="13021"/>
    <x v="3"/>
    <x v="1"/>
    <x v="6"/>
    <n v="9.26"/>
    <n v="2"/>
    <n v="0"/>
    <n v="3.0558000000000001"/>
  </r>
  <r>
    <s v="Standard Class"/>
    <x v="0"/>
    <s v="United States"/>
    <s v="Auburn"/>
    <x v="15"/>
    <n v="13021"/>
    <x v="3"/>
    <x v="1"/>
    <x v="4"/>
    <n v="105.98"/>
    <n v="2"/>
    <n v="0"/>
    <n v="4.2392000000000003"/>
  </r>
  <r>
    <s v="Standard Class"/>
    <x v="0"/>
    <s v="United States"/>
    <s v="Auburn"/>
    <x v="15"/>
    <n v="13021"/>
    <x v="3"/>
    <x v="1"/>
    <x v="13"/>
    <n v="1.24"/>
    <n v="1"/>
    <n v="0"/>
    <n v="0.58279999999999998"/>
  </r>
  <r>
    <s v="Standard Class"/>
    <x v="0"/>
    <s v="United States"/>
    <s v="Auburn"/>
    <x v="15"/>
    <n v="13021"/>
    <x v="3"/>
    <x v="1"/>
    <x v="2"/>
    <n v="20.7"/>
    <n v="2"/>
    <n v="0"/>
    <n v="9.9359999999999999"/>
  </r>
  <r>
    <s v="Standard Class"/>
    <x v="0"/>
    <s v="United States"/>
    <s v="Auburn"/>
    <x v="15"/>
    <n v="13021"/>
    <x v="3"/>
    <x v="1"/>
    <x v="10"/>
    <n v="28.9"/>
    <n v="5"/>
    <n v="0"/>
    <n v="14.161"/>
  </r>
  <r>
    <s v="Standard Class"/>
    <x v="0"/>
    <s v="United States"/>
    <s v="Auburn"/>
    <x v="15"/>
    <n v="13021"/>
    <x v="3"/>
    <x v="1"/>
    <x v="12"/>
    <n v="27.18"/>
    <n v="1"/>
    <n v="0"/>
    <n v="12.7746"/>
  </r>
  <r>
    <s v="Standard Class"/>
    <x v="1"/>
    <s v="United States"/>
    <s v="Newark"/>
    <x v="13"/>
    <n v="19711"/>
    <x v="3"/>
    <x v="1"/>
    <x v="4"/>
    <n v="465.18"/>
    <n v="3"/>
    <n v="0"/>
    <n v="120.9468"/>
  </r>
  <r>
    <s v="Second Class"/>
    <x v="0"/>
    <s v="United States"/>
    <s v="New York City"/>
    <x v="15"/>
    <n v="10024"/>
    <x v="3"/>
    <x v="1"/>
    <x v="4"/>
    <n v="36.630000000000003"/>
    <n v="3"/>
    <n v="0"/>
    <n v="9.8901000000000003"/>
  </r>
  <r>
    <s v="Same Day"/>
    <x v="0"/>
    <s v="United States"/>
    <s v="Redlands"/>
    <x v="1"/>
    <n v="92374"/>
    <x v="1"/>
    <x v="1"/>
    <x v="4"/>
    <n v="51.45"/>
    <n v="3"/>
    <n v="0"/>
    <n v="13.891500000000001"/>
  </r>
  <r>
    <s v="Same Day"/>
    <x v="0"/>
    <s v="United States"/>
    <s v="Redlands"/>
    <x v="1"/>
    <n v="92374"/>
    <x v="1"/>
    <x v="1"/>
    <x v="2"/>
    <n v="7.83"/>
    <n v="3"/>
    <n v="0"/>
    <n v="3.6017999999999999"/>
  </r>
  <r>
    <s v="Same Day"/>
    <x v="0"/>
    <s v="United States"/>
    <s v="Redlands"/>
    <x v="1"/>
    <n v="92374"/>
    <x v="1"/>
    <x v="1"/>
    <x v="6"/>
    <n v="35.4"/>
    <n v="5"/>
    <n v="0"/>
    <n v="13.452"/>
  </r>
  <r>
    <s v="Same Day"/>
    <x v="0"/>
    <s v="United States"/>
    <s v="Redlands"/>
    <x v="1"/>
    <n v="92374"/>
    <x v="1"/>
    <x v="1"/>
    <x v="10"/>
    <n v="29.9"/>
    <n v="5"/>
    <n v="0"/>
    <n v="13.455"/>
  </r>
  <r>
    <s v="Standard Class"/>
    <x v="0"/>
    <s v="United States"/>
    <s v="Roseville"/>
    <x v="12"/>
    <n v="48066"/>
    <x v="2"/>
    <x v="1"/>
    <x v="12"/>
    <n v="17.48"/>
    <n v="2"/>
    <n v="0"/>
    <n v="8.2156000000000002"/>
  </r>
  <r>
    <s v="Second Class"/>
    <x v="1"/>
    <s v="United States"/>
    <s v="Los Angeles"/>
    <x v="1"/>
    <n v="90049"/>
    <x v="1"/>
    <x v="1"/>
    <x v="10"/>
    <n v="79.14"/>
    <n v="3"/>
    <n v="0"/>
    <n v="36.404400000000003"/>
  </r>
  <r>
    <s v="Standard Class"/>
    <x v="1"/>
    <s v="United States"/>
    <s v="New York City"/>
    <x v="15"/>
    <n v="10011"/>
    <x v="3"/>
    <x v="1"/>
    <x v="6"/>
    <n v="8.4"/>
    <n v="5"/>
    <n v="0"/>
    <n v="4.2"/>
  </r>
  <r>
    <s v="Same Day"/>
    <x v="0"/>
    <s v="United States"/>
    <s v="Detroit"/>
    <x v="12"/>
    <n v="48205"/>
    <x v="2"/>
    <x v="0"/>
    <x v="1"/>
    <n v="498.26"/>
    <n v="7"/>
    <n v="0"/>
    <n v="134.53020000000001"/>
  </r>
  <r>
    <s v="Standard Class"/>
    <x v="2"/>
    <s v="United States"/>
    <s v="Detroit"/>
    <x v="12"/>
    <n v="48234"/>
    <x v="2"/>
    <x v="0"/>
    <x v="0"/>
    <n v="212.94"/>
    <n v="3"/>
    <n v="0"/>
    <n v="57.4938"/>
  </r>
  <r>
    <s v="Second Class"/>
    <x v="2"/>
    <s v="United States"/>
    <s v="Springfield"/>
    <x v="25"/>
    <n v="65807"/>
    <x v="2"/>
    <x v="1"/>
    <x v="9"/>
    <n v="706.86"/>
    <n v="7"/>
    <n v="0"/>
    <n v="197.92080000000001"/>
  </r>
  <r>
    <s v="Second Class"/>
    <x v="2"/>
    <s v="United States"/>
    <s v="Springfield"/>
    <x v="25"/>
    <n v="65807"/>
    <x v="2"/>
    <x v="2"/>
    <x v="7"/>
    <n v="114.95"/>
    <n v="5"/>
    <n v="0"/>
    <n v="2.2989999999999999"/>
  </r>
  <r>
    <s v="Second Class"/>
    <x v="2"/>
    <s v="United States"/>
    <s v="Springfield"/>
    <x v="25"/>
    <n v="65807"/>
    <x v="2"/>
    <x v="1"/>
    <x v="8"/>
    <n v="43.19"/>
    <n v="7"/>
    <n v="0"/>
    <n v="20.731200000000001"/>
  </r>
  <r>
    <s v="Second Class"/>
    <x v="0"/>
    <s v="United States"/>
    <s v="Los Angeles"/>
    <x v="1"/>
    <n v="90036"/>
    <x v="1"/>
    <x v="1"/>
    <x v="10"/>
    <n v="166.44"/>
    <n v="3"/>
    <n v="0"/>
    <n v="79.891199999999998"/>
  </r>
  <r>
    <s v="Standard Class"/>
    <x v="0"/>
    <s v="United States"/>
    <s v="New York City"/>
    <x v="15"/>
    <n v="10011"/>
    <x v="3"/>
    <x v="1"/>
    <x v="8"/>
    <n v="36.56"/>
    <n v="5"/>
    <n v="0.2"/>
    <n v="12.795999999999999"/>
  </r>
  <r>
    <s v="Standard Class"/>
    <x v="0"/>
    <s v="United States"/>
    <s v="New York City"/>
    <x v="15"/>
    <n v="10011"/>
    <x v="3"/>
    <x v="1"/>
    <x v="8"/>
    <n v="186.14400000000001"/>
    <n v="6"/>
    <n v="0.2"/>
    <n v="60.4968"/>
  </r>
  <r>
    <s v="Standard Class"/>
    <x v="0"/>
    <s v="United States"/>
    <s v="New York City"/>
    <x v="15"/>
    <n v="10011"/>
    <x v="3"/>
    <x v="0"/>
    <x v="0"/>
    <n v="353.56799999999998"/>
    <n v="2"/>
    <n v="0.2"/>
    <n v="-44.195999999999998"/>
  </r>
  <r>
    <s v="Standard Class"/>
    <x v="2"/>
    <s v="United States"/>
    <s v="San Francisco"/>
    <x v="1"/>
    <n v="94109"/>
    <x v="1"/>
    <x v="1"/>
    <x v="10"/>
    <n v="81.98"/>
    <n v="2"/>
    <n v="0"/>
    <n v="40.170200000000001"/>
  </r>
  <r>
    <s v="Second Class"/>
    <x v="0"/>
    <s v="United States"/>
    <s v="Fresno"/>
    <x v="1"/>
    <n v="93727"/>
    <x v="1"/>
    <x v="1"/>
    <x v="8"/>
    <n v="14.624000000000001"/>
    <n v="2"/>
    <n v="0.2"/>
    <n v="5.1184000000000003"/>
  </r>
  <r>
    <s v="Second Class"/>
    <x v="0"/>
    <s v="United States"/>
    <s v="Fresno"/>
    <x v="1"/>
    <n v="93727"/>
    <x v="1"/>
    <x v="0"/>
    <x v="3"/>
    <n v="697.16"/>
    <n v="5"/>
    <n v="0.2"/>
    <n v="8.7144999999999992"/>
  </r>
  <r>
    <s v="Second Class"/>
    <x v="0"/>
    <s v="United States"/>
    <s v="Fresno"/>
    <x v="1"/>
    <n v="93727"/>
    <x v="1"/>
    <x v="0"/>
    <x v="5"/>
    <n v="30.93"/>
    <n v="1"/>
    <n v="0"/>
    <n v="12.6813"/>
  </r>
  <r>
    <s v="Second Class"/>
    <x v="0"/>
    <s v="United States"/>
    <s v="Fresno"/>
    <x v="1"/>
    <n v="93727"/>
    <x v="1"/>
    <x v="1"/>
    <x v="8"/>
    <n v="27.495999999999999"/>
    <n v="7"/>
    <n v="0.2"/>
    <n v="9.2798999999999996"/>
  </r>
  <r>
    <s v="Standard Class"/>
    <x v="1"/>
    <s v="United States"/>
    <s v="Texarkana"/>
    <x v="36"/>
    <n v="71854"/>
    <x v="0"/>
    <x v="0"/>
    <x v="1"/>
    <n v="605.34"/>
    <n v="6"/>
    <n v="0"/>
    <n v="145.2816"/>
  </r>
  <r>
    <s v="First Class"/>
    <x v="0"/>
    <s v="United States"/>
    <s v="San Francisco"/>
    <x v="1"/>
    <n v="94110"/>
    <x v="1"/>
    <x v="0"/>
    <x v="3"/>
    <n v="210.00800000000001"/>
    <n v="1"/>
    <n v="0.2"/>
    <n v="2.6251000000000002"/>
  </r>
  <r>
    <s v="First Class"/>
    <x v="1"/>
    <s v="United States"/>
    <s v="Indianapolis"/>
    <x v="14"/>
    <n v="46203"/>
    <x v="2"/>
    <x v="1"/>
    <x v="9"/>
    <n v="54.96"/>
    <n v="3"/>
    <n v="0"/>
    <n v="15.9384"/>
  </r>
  <r>
    <s v="Standard Class"/>
    <x v="0"/>
    <s v="United States"/>
    <s v="Columbia"/>
    <x v="39"/>
    <n v="21044"/>
    <x v="3"/>
    <x v="0"/>
    <x v="5"/>
    <n v="164.22"/>
    <n v="3"/>
    <n v="0"/>
    <n v="50.908200000000001"/>
  </r>
  <r>
    <s v="Standard Class"/>
    <x v="0"/>
    <s v="United States"/>
    <s v="Columbia"/>
    <x v="39"/>
    <n v="21044"/>
    <x v="3"/>
    <x v="0"/>
    <x v="0"/>
    <n v="362.94"/>
    <n v="3"/>
    <n v="0"/>
    <n v="36.293999999999997"/>
  </r>
  <r>
    <s v="Standard Class"/>
    <x v="0"/>
    <s v="United States"/>
    <s v="Columbia"/>
    <x v="39"/>
    <n v="21044"/>
    <x v="3"/>
    <x v="2"/>
    <x v="11"/>
    <n v="59.98"/>
    <n v="2"/>
    <n v="0"/>
    <n v="26.391200000000001"/>
  </r>
  <r>
    <s v="Standard Class"/>
    <x v="0"/>
    <s v="United States"/>
    <s v="San Jose"/>
    <x v="1"/>
    <n v="95123"/>
    <x v="1"/>
    <x v="1"/>
    <x v="4"/>
    <n v="332.94"/>
    <n v="3"/>
    <n v="0"/>
    <n v="6.6588000000000003"/>
  </r>
  <r>
    <s v="Standard Class"/>
    <x v="0"/>
    <s v="United States"/>
    <s v="San Jose"/>
    <x v="1"/>
    <n v="95123"/>
    <x v="1"/>
    <x v="1"/>
    <x v="8"/>
    <n v="39.872"/>
    <n v="2"/>
    <n v="0.2"/>
    <n v="12.958399999999999"/>
  </r>
  <r>
    <s v="Second Class"/>
    <x v="1"/>
    <s v="United States"/>
    <s v="Seattle"/>
    <x v="4"/>
    <n v="98115"/>
    <x v="1"/>
    <x v="1"/>
    <x v="14"/>
    <n v="13.68"/>
    <n v="2"/>
    <n v="0"/>
    <n v="3.6936"/>
  </r>
  <r>
    <s v="Standard Class"/>
    <x v="1"/>
    <s v="United States"/>
    <s v="Carrollton"/>
    <x v="5"/>
    <n v="75007"/>
    <x v="2"/>
    <x v="1"/>
    <x v="8"/>
    <n v="3.3180000000000001"/>
    <n v="3"/>
    <n v="0.8"/>
    <n v="-5.6406000000000001"/>
  </r>
  <r>
    <s v="First Class"/>
    <x v="2"/>
    <s v="United States"/>
    <s v="Arlington"/>
    <x v="17"/>
    <n v="22204"/>
    <x v="0"/>
    <x v="1"/>
    <x v="8"/>
    <n v="10.44"/>
    <n v="1"/>
    <n v="0"/>
    <n v="4.8023999999999996"/>
  </r>
  <r>
    <s v="Second Class"/>
    <x v="1"/>
    <s v="United States"/>
    <s v="Los Angeles"/>
    <x v="1"/>
    <n v="90032"/>
    <x v="1"/>
    <x v="0"/>
    <x v="3"/>
    <n v="136.464"/>
    <n v="2"/>
    <n v="0.2"/>
    <n v="15.3522"/>
  </r>
  <r>
    <s v="Second Class"/>
    <x v="1"/>
    <s v="United States"/>
    <s v="Los Angeles"/>
    <x v="1"/>
    <n v="90032"/>
    <x v="1"/>
    <x v="2"/>
    <x v="7"/>
    <n v="333.57600000000002"/>
    <n v="3"/>
    <n v="0.2"/>
    <n v="33.357599999999998"/>
  </r>
  <r>
    <s v="Second Class"/>
    <x v="1"/>
    <s v="United States"/>
    <s v="Los Angeles"/>
    <x v="1"/>
    <n v="90032"/>
    <x v="1"/>
    <x v="1"/>
    <x v="8"/>
    <n v="12.544"/>
    <n v="2"/>
    <n v="0.2"/>
    <n v="4.7039999999999997"/>
  </r>
  <r>
    <s v="Standard Class"/>
    <x v="0"/>
    <s v="United States"/>
    <s v="Frankfort"/>
    <x v="10"/>
    <n v="60423"/>
    <x v="2"/>
    <x v="1"/>
    <x v="9"/>
    <n v="20.768000000000001"/>
    <n v="8"/>
    <n v="0.8"/>
    <n v="-52.958399999999997"/>
  </r>
  <r>
    <s v="Second Class"/>
    <x v="0"/>
    <s v="United States"/>
    <s v="Seattle"/>
    <x v="4"/>
    <n v="98105"/>
    <x v="1"/>
    <x v="2"/>
    <x v="11"/>
    <n v="43.5"/>
    <n v="3"/>
    <n v="0"/>
    <n v="10.875"/>
  </r>
  <r>
    <s v="Standard Class"/>
    <x v="1"/>
    <s v="United States"/>
    <s v="Philadelphia"/>
    <x v="9"/>
    <n v="19143"/>
    <x v="3"/>
    <x v="1"/>
    <x v="13"/>
    <n v="12.576000000000001"/>
    <n v="4"/>
    <n v="0.2"/>
    <n v="4.0872000000000002"/>
  </r>
  <r>
    <s v="Standard Class"/>
    <x v="0"/>
    <s v="United States"/>
    <s v="Columbus"/>
    <x v="32"/>
    <n v="31907"/>
    <x v="0"/>
    <x v="2"/>
    <x v="11"/>
    <n v="249.95"/>
    <n v="5"/>
    <n v="0"/>
    <n v="19.995999999999999"/>
  </r>
  <r>
    <s v="Standard Class"/>
    <x v="0"/>
    <s v="United States"/>
    <s v="Columbus"/>
    <x v="32"/>
    <n v="31907"/>
    <x v="0"/>
    <x v="1"/>
    <x v="10"/>
    <n v="49.12"/>
    <n v="4"/>
    <n v="0"/>
    <n v="23.086400000000001"/>
  </r>
  <r>
    <s v="First Class"/>
    <x v="0"/>
    <s v="United States"/>
    <s v="Virginia Beach"/>
    <x v="17"/>
    <n v="23464"/>
    <x v="0"/>
    <x v="1"/>
    <x v="9"/>
    <n v="182.91"/>
    <n v="3"/>
    <n v="0"/>
    <n v="53.043900000000001"/>
  </r>
  <r>
    <s v="Second Class"/>
    <x v="2"/>
    <s v="United States"/>
    <s v="Des Moines"/>
    <x v="4"/>
    <n v="98198"/>
    <x v="1"/>
    <x v="1"/>
    <x v="8"/>
    <n v="107.648"/>
    <n v="2"/>
    <n v="0.2"/>
    <n v="33.64"/>
  </r>
  <r>
    <s v="Second Class"/>
    <x v="1"/>
    <s v="United States"/>
    <s v="Bethlehem"/>
    <x v="9"/>
    <n v="18018"/>
    <x v="3"/>
    <x v="0"/>
    <x v="1"/>
    <n v="99.372"/>
    <n v="2"/>
    <n v="0.3"/>
    <n v="-7.0979999999999999"/>
  </r>
  <r>
    <s v="Second Class"/>
    <x v="1"/>
    <s v="United States"/>
    <s v="Bethlehem"/>
    <x v="9"/>
    <n v="18018"/>
    <x v="3"/>
    <x v="0"/>
    <x v="5"/>
    <n v="33.567999999999998"/>
    <n v="2"/>
    <n v="0.2"/>
    <n v="-5.4547999999999996"/>
  </r>
  <r>
    <s v="Standard Class"/>
    <x v="0"/>
    <s v="United States"/>
    <s v="Oklahoma City"/>
    <x v="26"/>
    <n v="73120"/>
    <x v="2"/>
    <x v="1"/>
    <x v="10"/>
    <n v="10.56"/>
    <n v="2"/>
    <n v="0"/>
    <n v="4.7519999999999998"/>
  </r>
  <r>
    <s v="Standard Class"/>
    <x v="0"/>
    <s v="United States"/>
    <s v="Rancho Cucamonga"/>
    <x v="1"/>
    <n v="91730"/>
    <x v="1"/>
    <x v="1"/>
    <x v="10"/>
    <n v="38.880000000000003"/>
    <n v="6"/>
    <n v="0"/>
    <n v="18.662400000000002"/>
  </r>
  <r>
    <s v="First Class"/>
    <x v="0"/>
    <s v="United States"/>
    <s v="Los Angeles"/>
    <x v="1"/>
    <n v="90032"/>
    <x v="1"/>
    <x v="1"/>
    <x v="10"/>
    <n v="35.200000000000003"/>
    <n v="5"/>
    <n v="0"/>
    <n v="16.544"/>
  </r>
  <r>
    <s v="Standard Class"/>
    <x v="2"/>
    <s v="United States"/>
    <s v="Philadelphia"/>
    <x v="9"/>
    <n v="19120"/>
    <x v="3"/>
    <x v="1"/>
    <x v="10"/>
    <n v="45.527999999999999"/>
    <n v="3"/>
    <n v="0.2"/>
    <n v="15.934799999999999"/>
  </r>
  <r>
    <s v="First Class"/>
    <x v="2"/>
    <s v="United States"/>
    <s v="Houston"/>
    <x v="5"/>
    <n v="77036"/>
    <x v="2"/>
    <x v="2"/>
    <x v="7"/>
    <n v="196.77600000000001"/>
    <n v="3"/>
    <n v="0.2"/>
    <n v="14.7582"/>
  </r>
  <r>
    <s v="First Class"/>
    <x v="2"/>
    <s v="United States"/>
    <s v="Houston"/>
    <x v="5"/>
    <n v="77036"/>
    <x v="2"/>
    <x v="1"/>
    <x v="8"/>
    <n v="2.92"/>
    <n v="2"/>
    <n v="0.8"/>
    <n v="-4.8179999999999996"/>
  </r>
  <r>
    <s v="First Class"/>
    <x v="2"/>
    <s v="United States"/>
    <s v="Houston"/>
    <x v="5"/>
    <n v="77036"/>
    <x v="2"/>
    <x v="0"/>
    <x v="3"/>
    <n v="200.79499999999999"/>
    <n v="1"/>
    <n v="0.3"/>
    <n v="-22.948"/>
  </r>
  <r>
    <s v="First Class"/>
    <x v="2"/>
    <s v="United States"/>
    <s v="Houston"/>
    <x v="5"/>
    <n v="77036"/>
    <x v="2"/>
    <x v="2"/>
    <x v="11"/>
    <n v="46.688000000000002"/>
    <n v="4"/>
    <n v="0.2"/>
    <n v="-2.9180000000000001"/>
  </r>
  <r>
    <s v="First Class"/>
    <x v="2"/>
    <s v="United States"/>
    <s v="Houston"/>
    <x v="5"/>
    <n v="77036"/>
    <x v="2"/>
    <x v="1"/>
    <x v="6"/>
    <n v="21.864000000000001"/>
    <n v="3"/>
    <n v="0.2"/>
    <n v="3.5529000000000002"/>
  </r>
  <r>
    <s v="First Class"/>
    <x v="1"/>
    <s v="United States"/>
    <s v="Seattle"/>
    <x v="4"/>
    <n v="98103"/>
    <x v="1"/>
    <x v="1"/>
    <x v="10"/>
    <n v="11.76"/>
    <n v="2"/>
    <n v="0"/>
    <n v="5.7624000000000004"/>
  </r>
  <r>
    <s v="First Class"/>
    <x v="1"/>
    <s v="United States"/>
    <s v="Seattle"/>
    <x v="4"/>
    <n v="98103"/>
    <x v="1"/>
    <x v="1"/>
    <x v="10"/>
    <n v="167.94"/>
    <n v="3"/>
    <n v="0"/>
    <n v="82.290599999999998"/>
  </r>
  <r>
    <s v="First Class"/>
    <x v="1"/>
    <s v="United States"/>
    <s v="Seattle"/>
    <x v="4"/>
    <n v="98103"/>
    <x v="1"/>
    <x v="1"/>
    <x v="9"/>
    <n v="3.89"/>
    <n v="1"/>
    <n v="0"/>
    <n v="1.0114000000000001"/>
  </r>
  <r>
    <s v="Standard Class"/>
    <x v="2"/>
    <s v="United States"/>
    <s v="Yonkers"/>
    <x v="15"/>
    <n v="10701"/>
    <x v="3"/>
    <x v="2"/>
    <x v="15"/>
    <n v="52.44"/>
    <n v="4"/>
    <n v="0"/>
    <n v="24.122399999999999"/>
  </r>
  <r>
    <s v="Same Day"/>
    <x v="0"/>
    <s v="United States"/>
    <s v="San Francisco"/>
    <x v="1"/>
    <n v="94110"/>
    <x v="1"/>
    <x v="0"/>
    <x v="5"/>
    <n v="32.36"/>
    <n v="4"/>
    <n v="0"/>
    <n v="11.6496"/>
  </r>
  <r>
    <s v="Same Day"/>
    <x v="0"/>
    <s v="United States"/>
    <s v="San Francisco"/>
    <x v="1"/>
    <n v="94110"/>
    <x v="1"/>
    <x v="1"/>
    <x v="9"/>
    <n v="406.6"/>
    <n v="5"/>
    <n v="0"/>
    <n v="113.848"/>
  </r>
  <r>
    <s v="Same Day"/>
    <x v="1"/>
    <s v="United States"/>
    <s v="Los Angeles"/>
    <x v="1"/>
    <n v="90008"/>
    <x v="1"/>
    <x v="0"/>
    <x v="5"/>
    <n v="27.92"/>
    <n v="4"/>
    <n v="0"/>
    <n v="8.0968"/>
  </r>
  <r>
    <s v="Same Day"/>
    <x v="1"/>
    <s v="United States"/>
    <s v="Los Angeles"/>
    <x v="1"/>
    <n v="90008"/>
    <x v="1"/>
    <x v="0"/>
    <x v="3"/>
    <n v="399.67200000000003"/>
    <n v="7"/>
    <n v="0.2"/>
    <n v="-14.9877"/>
  </r>
  <r>
    <s v="First Class"/>
    <x v="2"/>
    <s v="United States"/>
    <s v="Miami"/>
    <x v="2"/>
    <n v="33142"/>
    <x v="0"/>
    <x v="1"/>
    <x v="8"/>
    <n v="3.7440000000000002"/>
    <n v="4"/>
    <n v="0.7"/>
    <n v="-2.6208"/>
  </r>
  <r>
    <s v="Second Class"/>
    <x v="0"/>
    <s v="United States"/>
    <s v="Burlington"/>
    <x v="42"/>
    <n v="5408"/>
    <x v="3"/>
    <x v="0"/>
    <x v="1"/>
    <n v="715.2"/>
    <n v="3"/>
    <n v="0"/>
    <n v="178.8"/>
  </r>
  <r>
    <s v="Standard Class"/>
    <x v="1"/>
    <s v="United States"/>
    <s v="Fayetteville"/>
    <x v="36"/>
    <n v="72701"/>
    <x v="0"/>
    <x v="2"/>
    <x v="11"/>
    <n v="159.80000000000001"/>
    <n v="4"/>
    <n v="0"/>
    <n v="70.311999999999998"/>
  </r>
  <r>
    <s v="Standard Class"/>
    <x v="1"/>
    <s v="United States"/>
    <s v="Fayetteville"/>
    <x v="36"/>
    <n v="72701"/>
    <x v="0"/>
    <x v="2"/>
    <x v="11"/>
    <n v="44.75"/>
    <n v="5"/>
    <n v="0"/>
    <n v="8.5024999999999995"/>
  </r>
  <r>
    <s v="Standard Class"/>
    <x v="2"/>
    <s v="United States"/>
    <s v="Odessa"/>
    <x v="5"/>
    <n v="79762"/>
    <x v="2"/>
    <x v="0"/>
    <x v="1"/>
    <n v="340.11599999999999"/>
    <n v="6"/>
    <n v="0.3"/>
    <n v="-9.7175999999999991"/>
  </r>
  <r>
    <s v="Standard Class"/>
    <x v="0"/>
    <s v="United States"/>
    <s v="Virginia Beach"/>
    <x v="17"/>
    <n v="23464"/>
    <x v="0"/>
    <x v="1"/>
    <x v="10"/>
    <n v="105.52"/>
    <n v="4"/>
    <n v="0"/>
    <n v="48.539200000000001"/>
  </r>
  <r>
    <s v="Standard Class"/>
    <x v="0"/>
    <s v="United States"/>
    <s v="Milwaukee"/>
    <x v="6"/>
    <n v="53209"/>
    <x v="2"/>
    <x v="2"/>
    <x v="11"/>
    <n v="13.48"/>
    <n v="1"/>
    <n v="0"/>
    <n v="1.8872"/>
  </r>
  <r>
    <s v="Standard Class"/>
    <x v="0"/>
    <s v="United States"/>
    <s v="Detroit"/>
    <x v="12"/>
    <n v="48234"/>
    <x v="2"/>
    <x v="1"/>
    <x v="4"/>
    <n v="85.52"/>
    <n v="2"/>
    <n v="0"/>
    <n v="22.235199999999999"/>
  </r>
  <r>
    <s v="Standard Class"/>
    <x v="1"/>
    <s v="United States"/>
    <s v="Rochester"/>
    <x v="11"/>
    <n v="55901"/>
    <x v="2"/>
    <x v="0"/>
    <x v="5"/>
    <n v="6.16"/>
    <n v="2"/>
    <n v="0"/>
    <n v="2.9567999999999999"/>
  </r>
  <r>
    <s v="Standard Class"/>
    <x v="1"/>
    <s v="United States"/>
    <s v="Rochester"/>
    <x v="11"/>
    <n v="55901"/>
    <x v="2"/>
    <x v="1"/>
    <x v="10"/>
    <n v="36.840000000000003"/>
    <n v="3"/>
    <n v="0"/>
    <n v="17.314800000000002"/>
  </r>
  <r>
    <s v="Standard Class"/>
    <x v="1"/>
    <s v="United States"/>
    <s v="Seattle"/>
    <x v="4"/>
    <n v="98105"/>
    <x v="1"/>
    <x v="1"/>
    <x v="4"/>
    <n v="15.84"/>
    <n v="3"/>
    <n v="0"/>
    <n v="0"/>
  </r>
  <r>
    <s v="Standard Class"/>
    <x v="1"/>
    <s v="United States"/>
    <s v="Seattle"/>
    <x v="4"/>
    <n v="98105"/>
    <x v="1"/>
    <x v="1"/>
    <x v="2"/>
    <n v="44.4"/>
    <n v="3"/>
    <n v="0"/>
    <n v="22.2"/>
  </r>
  <r>
    <s v="First Class"/>
    <x v="0"/>
    <s v="United States"/>
    <s v="Louisville"/>
    <x v="22"/>
    <n v="80027"/>
    <x v="1"/>
    <x v="1"/>
    <x v="12"/>
    <n v="21.24"/>
    <n v="9"/>
    <n v="0.2"/>
    <n v="7.4340000000000002"/>
  </r>
  <r>
    <s v="First Class"/>
    <x v="0"/>
    <s v="United States"/>
    <s v="Louisville"/>
    <x v="22"/>
    <n v="80027"/>
    <x v="1"/>
    <x v="1"/>
    <x v="8"/>
    <n v="9.5519999999999996"/>
    <n v="8"/>
    <n v="0.7"/>
    <n v="-7.3231999999999999"/>
  </r>
  <r>
    <s v="First Class"/>
    <x v="0"/>
    <s v="United States"/>
    <s v="Louisville"/>
    <x v="22"/>
    <n v="80027"/>
    <x v="1"/>
    <x v="0"/>
    <x v="0"/>
    <n v="89.991"/>
    <n v="3"/>
    <n v="0.7"/>
    <n v="-152.9847"/>
  </r>
  <r>
    <s v="Standard Class"/>
    <x v="2"/>
    <s v="United States"/>
    <s v="San Francisco"/>
    <x v="1"/>
    <n v="94122"/>
    <x v="1"/>
    <x v="1"/>
    <x v="10"/>
    <n v="163.96"/>
    <n v="4"/>
    <n v="0"/>
    <n v="80.340400000000002"/>
  </r>
  <r>
    <s v="Standard Class"/>
    <x v="0"/>
    <s v="United States"/>
    <s v="Houston"/>
    <x v="5"/>
    <n v="77036"/>
    <x v="2"/>
    <x v="1"/>
    <x v="10"/>
    <n v="17.904"/>
    <n v="2"/>
    <n v="0.2"/>
    <n v="6.2664"/>
  </r>
  <r>
    <s v="Standard Class"/>
    <x v="0"/>
    <s v="United States"/>
    <s v="Houston"/>
    <x v="5"/>
    <n v="77036"/>
    <x v="2"/>
    <x v="0"/>
    <x v="1"/>
    <n v="966.7"/>
    <n v="5"/>
    <n v="0.3"/>
    <n v="-13.81"/>
  </r>
  <r>
    <s v="Standard Class"/>
    <x v="0"/>
    <s v="United States"/>
    <s v="Houston"/>
    <x v="5"/>
    <n v="77036"/>
    <x v="2"/>
    <x v="1"/>
    <x v="10"/>
    <n v="182.11199999999999"/>
    <n v="6"/>
    <n v="0.2"/>
    <n v="61.462800000000001"/>
  </r>
  <r>
    <s v="First Class"/>
    <x v="0"/>
    <s v="United States"/>
    <s v="Miami"/>
    <x v="2"/>
    <n v="33180"/>
    <x v="0"/>
    <x v="1"/>
    <x v="4"/>
    <n v="4.4640000000000004"/>
    <n v="1"/>
    <n v="0.2"/>
    <n v="0.33479999999999999"/>
  </r>
  <r>
    <s v="Standard Class"/>
    <x v="0"/>
    <s v="United States"/>
    <s v="Medina"/>
    <x v="24"/>
    <n v="44256"/>
    <x v="3"/>
    <x v="0"/>
    <x v="3"/>
    <n v="51.588000000000001"/>
    <n v="1"/>
    <n v="0.4"/>
    <n v="-15.4764"/>
  </r>
  <r>
    <s v="Standard Class"/>
    <x v="1"/>
    <s v="United States"/>
    <s v="Roseville"/>
    <x v="11"/>
    <n v="55113"/>
    <x v="2"/>
    <x v="1"/>
    <x v="2"/>
    <n v="50.4"/>
    <n v="8"/>
    <n v="0"/>
    <n v="23.184000000000001"/>
  </r>
  <r>
    <s v="Standard Class"/>
    <x v="0"/>
    <s v="United States"/>
    <s v="Houston"/>
    <x v="5"/>
    <n v="77041"/>
    <x v="2"/>
    <x v="1"/>
    <x v="10"/>
    <n v="89.567999999999998"/>
    <n v="2"/>
    <n v="0.2"/>
    <n v="32.468400000000003"/>
  </r>
  <r>
    <s v="Standard Class"/>
    <x v="0"/>
    <s v="United States"/>
    <s v="Yonkers"/>
    <x v="15"/>
    <n v="10701"/>
    <x v="3"/>
    <x v="0"/>
    <x v="5"/>
    <n v="14.89"/>
    <n v="1"/>
    <n v="0"/>
    <n v="4.0202999999999998"/>
  </r>
  <r>
    <s v="Standard Class"/>
    <x v="0"/>
    <s v="United States"/>
    <s v="Yonkers"/>
    <x v="15"/>
    <n v="10701"/>
    <x v="3"/>
    <x v="2"/>
    <x v="7"/>
    <n v="543.91999999999996"/>
    <n v="8"/>
    <n v="0"/>
    <n v="135.97999999999999"/>
  </r>
  <r>
    <s v="First Class"/>
    <x v="1"/>
    <s v="United States"/>
    <s v="San Diego"/>
    <x v="1"/>
    <n v="92037"/>
    <x v="1"/>
    <x v="1"/>
    <x v="12"/>
    <n v="4.08"/>
    <n v="2"/>
    <n v="0"/>
    <n v="1.9176"/>
  </r>
  <r>
    <s v="First Class"/>
    <x v="1"/>
    <s v="United States"/>
    <s v="San Diego"/>
    <x v="1"/>
    <n v="92037"/>
    <x v="1"/>
    <x v="1"/>
    <x v="2"/>
    <n v="18.899999999999999"/>
    <n v="3"/>
    <n v="0"/>
    <n v="8.6940000000000008"/>
  </r>
  <r>
    <s v="Standard Class"/>
    <x v="1"/>
    <s v="United States"/>
    <s v="Springfield"/>
    <x v="17"/>
    <n v="22153"/>
    <x v="0"/>
    <x v="0"/>
    <x v="3"/>
    <n v="2275.5"/>
    <n v="10"/>
    <n v="0"/>
    <n v="386.83499999999998"/>
  </r>
  <r>
    <s v="Standard Class"/>
    <x v="1"/>
    <s v="United States"/>
    <s v="Springfield"/>
    <x v="17"/>
    <n v="22153"/>
    <x v="0"/>
    <x v="2"/>
    <x v="11"/>
    <n v="1979.7"/>
    <n v="6"/>
    <n v="0"/>
    <n v="653.30100000000004"/>
  </r>
  <r>
    <s v="Standard Class"/>
    <x v="1"/>
    <s v="United States"/>
    <s v="Springfield"/>
    <x v="17"/>
    <n v="22153"/>
    <x v="0"/>
    <x v="1"/>
    <x v="2"/>
    <n v="62.1"/>
    <n v="6"/>
    <n v="0"/>
    <n v="29.808"/>
  </r>
  <r>
    <s v="Standard Class"/>
    <x v="0"/>
    <s v="United States"/>
    <s v="Decatur"/>
    <x v="10"/>
    <n v="62521"/>
    <x v="2"/>
    <x v="0"/>
    <x v="1"/>
    <n v="37.295999999999999"/>
    <n v="2"/>
    <n v="0.3"/>
    <n v="-1.0656000000000001"/>
  </r>
  <r>
    <s v="First Class"/>
    <x v="2"/>
    <s v="United States"/>
    <s v="Garland"/>
    <x v="5"/>
    <n v="75043"/>
    <x v="2"/>
    <x v="0"/>
    <x v="5"/>
    <n v="8.5440000000000005"/>
    <n v="2"/>
    <n v="0.6"/>
    <n v="-7.476"/>
  </r>
  <r>
    <s v="Standard Class"/>
    <x v="1"/>
    <s v="United States"/>
    <s v="Oceanside"/>
    <x v="15"/>
    <n v="11572"/>
    <x v="3"/>
    <x v="0"/>
    <x v="5"/>
    <n v="68.95"/>
    <n v="5"/>
    <n v="0"/>
    <n v="28.959"/>
  </r>
  <r>
    <s v="Standard Class"/>
    <x v="1"/>
    <s v="United States"/>
    <s v="Oceanside"/>
    <x v="15"/>
    <n v="11572"/>
    <x v="3"/>
    <x v="1"/>
    <x v="4"/>
    <n v="296.37"/>
    <n v="3"/>
    <n v="0"/>
    <n v="80.019900000000007"/>
  </r>
  <r>
    <s v="Standard Class"/>
    <x v="1"/>
    <s v="United States"/>
    <s v="Oceanside"/>
    <x v="15"/>
    <n v="11572"/>
    <x v="3"/>
    <x v="2"/>
    <x v="7"/>
    <n v="39.979999999999997"/>
    <n v="2"/>
    <n v="0"/>
    <n v="1.9990000000000001"/>
  </r>
  <r>
    <s v="First Class"/>
    <x v="0"/>
    <s v="United States"/>
    <s v="Houston"/>
    <x v="5"/>
    <n v="77095"/>
    <x v="2"/>
    <x v="0"/>
    <x v="1"/>
    <n v="191.05799999999999"/>
    <n v="3"/>
    <n v="0.3"/>
    <n v="-46.399799999999999"/>
  </r>
  <r>
    <s v="First Class"/>
    <x v="0"/>
    <s v="United States"/>
    <s v="Houston"/>
    <x v="5"/>
    <n v="77095"/>
    <x v="2"/>
    <x v="1"/>
    <x v="6"/>
    <n v="13.04"/>
    <n v="5"/>
    <n v="0.2"/>
    <n v="3.9119999999999999"/>
  </r>
  <r>
    <s v="First Class"/>
    <x v="0"/>
    <s v="United States"/>
    <s v="Houston"/>
    <x v="5"/>
    <n v="77095"/>
    <x v="2"/>
    <x v="1"/>
    <x v="8"/>
    <n v="1525.1880000000001"/>
    <n v="6"/>
    <n v="0.8"/>
    <n v="-2287.7820000000002"/>
  </r>
  <r>
    <s v="Standard Class"/>
    <x v="2"/>
    <s v="United States"/>
    <s v="Greenville"/>
    <x v="3"/>
    <n v="27834"/>
    <x v="0"/>
    <x v="1"/>
    <x v="2"/>
    <n v="9.2159999999999993"/>
    <n v="4"/>
    <n v="0.2"/>
    <n v="3.3408000000000002"/>
  </r>
  <r>
    <s v="Standard Class"/>
    <x v="2"/>
    <s v="United States"/>
    <s v="Greenville"/>
    <x v="3"/>
    <n v="27834"/>
    <x v="0"/>
    <x v="1"/>
    <x v="14"/>
    <n v="28.047999999999998"/>
    <n v="2"/>
    <n v="0.2"/>
    <n v="3.5059999999999998"/>
  </r>
  <r>
    <s v="Standard Class"/>
    <x v="1"/>
    <s v="United States"/>
    <s v="San Francisco"/>
    <x v="1"/>
    <n v="94110"/>
    <x v="1"/>
    <x v="0"/>
    <x v="5"/>
    <n v="64.959999999999994"/>
    <n v="2"/>
    <n v="0"/>
    <n v="21.436800000000002"/>
  </r>
  <r>
    <s v="Standard Class"/>
    <x v="1"/>
    <s v="United States"/>
    <s v="San Francisco"/>
    <x v="1"/>
    <n v="94110"/>
    <x v="1"/>
    <x v="1"/>
    <x v="12"/>
    <n v="30.56"/>
    <n v="4"/>
    <n v="0"/>
    <n v="14.974399999999999"/>
  </r>
  <r>
    <s v="Standard Class"/>
    <x v="0"/>
    <s v="United States"/>
    <s v="Greensboro"/>
    <x v="3"/>
    <n v="27405"/>
    <x v="0"/>
    <x v="0"/>
    <x v="1"/>
    <n v="187.05600000000001"/>
    <n v="9"/>
    <n v="0.2"/>
    <n v="11.691000000000001"/>
  </r>
  <r>
    <s v="First Class"/>
    <x v="2"/>
    <s v="United States"/>
    <s v="Knoxville"/>
    <x v="18"/>
    <n v="37918"/>
    <x v="0"/>
    <x v="0"/>
    <x v="5"/>
    <n v="11.808"/>
    <n v="2"/>
    <n v="0.2"/>
    <n v="1.3284"/>
  </r>
  <r>
    <s v="First Class"/>
    <x v="2"/>
    <s v="United States"/>
    <s v="Knoxville"/>
    <x v="18"/>
    <n v="37918"/>
    <x v="0"/>
    <x v="0"/>
    <x v="5"/>
    <n v="9.6560000000000006"/>
    <n v="1"/>
    <n v="0.2"/>
    <n v="1.5690999999999999"/>
  </r>
  <r>
    <s v="First Class"/>
    <x v="2"/>
    <s v="United States"/>
    <s v="Knoxville"/>
    <x v="18"/>
    <n v="37918"/>
    <x v="0"/>
    <x v="1"/>
    <x v="10"/>
    <n v="20.736000000000001"/>
    <n v="4"/>
    <n v="0.2"/>
    <n v="7.2576000000000001"/>
  </r>
  <r>
    <s v="First Class"/>
    <x v="2"/>
    <s v="United States"/>
    <s v="Knoxville"/>
    <x v="18"/>
    <n v="37918"/>
    <x v="0"/>
    <x v="1"/>
    <x v="8"/>
    <n v="27.36"/>
    <n v="3"/>
    <n v="0.7"/>
    <n v="-21.888000000000002"/>
  </r>
  <r>
    <s v="First Class"/>
    <x v="2"/>
    <s v="United States"/>
    <s v="Knoxville"/>
    <x v="18"/>
    <n v="37918"/>
    <x v="0"/>
    <x v="0"/>
    <x v="3"/>
    <n v="2314.116"/>
    <n v="7"/>
    <n v="0.4"/>
    <n v="-1002.7836"/>
  </r>
  <r>
    <s v="First Class"/>
    <x v="2"/>
    <s v="United States"/>
    <s v="Knoxville"/>
    <x v="18"/>
    <n v="37918"/>
    <x v="0"/>
    <x v="1"/>
    <x v="8"/>
    <n v="34.235999999999997"/>
    <n v="4"/>
    <n v="0.7"/>
    <n v="-26.247599999999998"/>
  </r>
  <r>
    <s v="First Class"/>
    <x v="2"/>
    <s v="United States"/>
    <s v="Knoxville"/>
    <x v="18"/>
    <n v="37918"/>
    <x v="0"/>
    <x v="0"/>
    <x v="5"/>
    <n v="19.760000000000002"/>
    <n v="2"/>
    <n v="0.2"/>
    <n v="5.9279999999999999"/>
  </r>
  <r>
    <s v="Second Class"/>
    <x v="0"/>
    <s v="United States"/>
    <s v="Grand Island"/>
    <x v="8"/>
    <n v="68801"/>
    <x v="2"/>
    <x v="1"/>
    <x v="10"/>
    <n v="15.96"/>
    <n v="2"/>
    <n v="0"/>
    <n v="7.98"/>
  </r>
  <r>
    <s v="Standard Class"/>
    <x v="0"/>
    <s v="United States"/>
    <s v="Lakewood"/>
    <x v="1"/>
    <n v="90712"/>
    <x v="1"/>
    <x v="1"/>
    <x v="6"/>
    <n v="16.899999999999999"/>
    <n v="5"/>
    <n v="0"/>
    <n v="6.2530000000000001"/>
  </r>
  <r>
    <s v="Standard Class"/>
    <x v="0"/>
    <s v="United States"/>
    <s v="Lakewood"/>
    <x v="1"/>
    <n v="90712"/>
    <x v="1"/>
    <x v="0"/>
    <x v="5"/>
    <n v="25.08"/>
    <n v="6"/>
    <n v="0"/>
    <n v="9.0288000000000004"/>
  </r>
  <r>
    <s v="Standard Class"/>
    <x v="1"/>
    <s v="United States"/>
    <s v="Lawrence"/>
    <x v="31"/>
    <n v="1841"/>
    <x v="3"/>
    <x v="1"/>
    <x v="6"/>
    <n v="6.68"/>
    <n v="2"/>
    <n v="0"/>
    <n v="2.004"/>
  </r>
  <r>
    <s v="Second Class"/>
    <x v="0"/>
    <s v="United States"/>
    <s v="Los Angeles"/>
    <x v="1"/>
    <n v="90049"/>
    <x v="1"/>
    <x v="1"/>
    <x v="10"/>
    <n v="19.440000000000001"/>
    <n v="3"/>
    <n v="0"/>
    <n v="9.3312000000000008"/>
  </r>
  <r>
    <s v="Standard Class"/>
    <x v="0"/>
    <s v="United States"/>
    <s v="Houston"/>
    <x v="5"/>
    <n v="77036"/>
    <x v="2"/>
    <x v="2"/>
    <x v="7"/>
    <n v="31.92"/>
    <n v="2"/>
    <n v="0.2"/>
    <n v="2.3940000000000001"/>
  </r>
  <r>
    <s v="Second Class"/>
    <x v="0"/>
    <s v="United States"/>
    <s v="New York City"/>
    <x v="15"/>
    <n v="10035"/>
    <x v="3"/>
    <x v="1"/>
    <x v="8"/>
    <n v="33.567999999999998"/>
    <n v="2"/>
    <n v="0.2"/>
    <n v="11.748799999999999"/>
  </r>
  <r>
    <s v="Standard Class"/>
    <x v="0"/>
    <s v="United States"/>
    <s v="New York City"/>
    <x v="15"/>
    <n v="10011"/>
    <x v="3"/>
    <x v="0"/>
    <x v="5"/>
    <n v="63.94"/>
    <n v="1"/>
    <n v="0"/>
    <n v="24.936599999999999"/>
  </r>
  <r>
    <s v="Standard Class"/>
    <x v="0"/>
    <s v="United States"/>
    <s v="New York City"/>
    <x v="15"/>
    <n v="10011"/>
    <x v="3"/>
    <x v="1"/>
    <x v="8"/>
    <n v="60.6"/>
    <n v="5"/>
    <n v="0.2"/>
    <n v="20.452500000000001"/>
  </r>
  <r>
    <s v="Standard Class"/>
    <x v="0"/>
    <s v="United States"/>
    <s v="New York City"/>
    <x v="15"/>
    <n v="10011"/>
    <x v="3"/>
    <x v="1"/>
    <x v="14"/>
    <n v="22.72"/>
    <n v="4"/>
    <n v="0"/>
    <n v="6.5888"/>
  </r>
  <r>
    <s v="Standard Class"/>
    <x v="0"/>
    <s v="United States"/>
    <s v="Newark"/>
    <x v="13"/>
    <n v="19711"/>
    <x v="3"/>
    <x v="0"/>
    <x v="5"/>
    <n v="10.68"/>
    <n v="4"/>
    <n v="0"/>
    <n v="4.0583999999999998"/>
  </r>
  <r>
    <s v="Standard Class"/>
    <x v="0"/>
    <s v="United States"/>
    <s v="Newark"/>
    <x v="13"/>
    <n v="19711"/>
    <x v="3"/>
    <x v="1"/>
    <x v="10"/>
    <n v="17.34"/>
    <n v="3"/>
    <n v="0"/>
    <n v="8.4966000000000008"/>
  </r>
  <r>
    <s v="Standard Class"/>
    <x v="0"/>
    <s v="United States"/>
    <s v="Newark"/>
    <x v="13"/>
    <n v="19711"/>
    <x v="3"/>
    <x v="1"/>
    <x v="10"/>
    <n v="3.38"/>
    <n v="1"/>
    <n v="0"/>
    <n v="1.5548"/>
  </r>
  <r>
    <s v="Standard Class"/>
    <x v="1"/>
    <s v="United States"/>
    <s v="Seattle"/>
    <x v="4"/>
    <n v="98105"/>
    <x v="1"/>
    <x v="1"/>
    <x v="8"/>
    <n v="26.975999999999999"/>
    <n v="4"/>
    <n v="0.2"/>
    <n v="8.7672000000000008"/>
  </r>
  <r>
    <s v="Standard Class"/>
    <x v="1"/>
    <s v="United States"/>
    <s v="Scottsdale"/>
    <x v="16"/>
    <n v="85254"/>
    <x v="1"/>
    <x v="1"/>
    <x v="10"/>
    <n v="307.77600000000001"/>
    <n v="7"/>
    <n v="0.2"/>
    <n v="111.5688"/>
  </r>
  <r>
    <s v="Second Class"/>
    <x v="0"/>
    <s v="United States"/>
    <s v="Oceanside"/>
    <x v="15"/>
    <n v="11572"/>
    <x v="3"/>
    <x v="1"/>
    <x v="4"/>
    <n v="244.55"/>
    <n v="5"/>
    <n v="0"/>
    <n v="4.891"/>
  </r>
  <r>
    <s v="Second Class"/>
    <x v="0"/>
    <s v="United States"/>
    <s v="Oceanside"/>
    <x v="15"/>
    <n v="11572"/>
    <x v="3"/>
    <x v="1"/>
    <x v="12"/>
    <n v="12.24"/>
    <n v="6"/>
    <n v="0"/>
    <n v="5.7527999999999997"/>
  </r>
  <r>
    <s v="Second Class"/>
    <x v="0"/>
    <s v="United States"/>
    <s v="Oceanside"/>
    <x v="15"/>
    <n v="11572"/>
    <x v="3"/>
    <x v="2"/>
    <x v="11"/>
    <n v="13.98"/>
    <n v="2"/>
    <n v="0"/>
    <n v="6.0114000000000001"/>
  </r>
  <r>
    <s v="Second Class"/>
    <x v="0"/>
    <s v="United States"/>
    <s v="Oceanside"/>
    <x v="15"/>
    <n v="11572"/>
    <x v="3"/>
    <x v="2"/>
    <x v="11"/>
    <n v="899.95"/>
    <n v="5"/>
    <n v="0"/>
    <n v="53.997"/>
  </r>
  <r>
    <s v="Standard Class"/>
    <x v="1"/>
    <s v="United States"/>
    <s v="Dallas"/>
    <x v="5"/>
    <n v="75220"/>
    <x v="2"/>
    <x v="1"/>
    <x v="12"/>
    <n v="1.6319999999999999"/>
    <n v="1"/>
    <n v="0.2"/>
    <n v="0.55079999999999996"/>
  </r>
  <r>
    <s v="Standard Class"/>
    <x v="1"/>
    <s v="United States"/>
    <s v="Dallas"/>
    <x v="5"/>
    <n v="75220"/>
    <x v="2"/>
    <x v="2"/>
    <x v="7"/>
    <n v="267.95999999999998"/>
    <n v="5"/>
    <n v="0.2"/>
    <n v="16.747499999999999"/>
  </r>
  <r>
    <s v="Second Class"/>
    <x v="0"/>
    <s v="United States"/>
    <s v="Rochester"/>
    <x v="15"/>
    <n v="14609"/>
    <x v="3"/>
    <x v="2"/>
    <x v="11"/>
    <n v="31.95"/>
    <n v="1"/>
    <n v="0"/>
    <n v="2.2364999999999999"/>
  </r>
  <r>
    <s v="Second Class"/>
    <x v="0"/>
    <s v="United States"/>
    <s v="Los Angeles"/>
    <x v="1"/>
    <n v="90045"/>
    <x v="1"/>
    <x v="1"/>
    <x v="4"/>
    <n v="725.84"/>
    <n v="4"/>
    <n v="0"/>
    <n v="210.49359999999999"/>
  </r>
  <r>
    <s v="Second Class"/>
    <x v="0"/>
    <s v="United States"/>
    <s v="Los Angeles"/>
    <x v="1"/>
    <n v="90045"/>
    <x v="1"/>
    <x v="1"/>
    <x v="8"/>
    <n v="10.896000000000001"/>
    <n v="3"/>
    <n v="0.2"/>
    <n v="3.9498000000000002"/>
  </r>
  <r>
    <s v="Second Class"/>
    <x v="0"/>
    <s v="United States"/>
    <s v="Los Angeles"/>
    <x v="1"/>
    <n v="90045"/>
    <x v="1"/>
    <x v="1"/>
    <x v="8"/>
    <n v="8.5440000000000005"/>
    <n v="2"/>
    <n v="0.2"/>
    <n v="2.8835999999999999"/>
  </r>
  <r>
    <s v="Standard Class"/>
    <x v="1"/>
    <s v="United States"/>
    <s v="Woodbury"/>
    <x v="11"/>
    <n v="55125"/>
    <x v="2"/>
    <x v="1"/>
    <x v="8"/>
    <n v="32.340000000000003"/>
    <n v="3"/>
    <n v="0"/>
    <n v="15.523199999999999"/>
  </r>
  <r>
    <s v="Standard Class"/>
    <x v="1"/>
    <s v="United States"/>
    <s v="Woodbury"/>
    <x v="11"/>
    <n v="55125"/>
    <x v="2"/>
    <x v="1"/>
    <x v="10"/>
    <n v="39.9"/>
    <n v="5"/>
    <n v="0"/>
    <n v="19.95"/>
  </r>
  <r>
    <s v="Standard Class"/>
    <x v="0"/>
    <s v="United States"/>
    <s v="Park Ridge"/>
    <x v="10"/>
    <n v="60068"/>
    <x v="2"/>
    <x v="1"/>
    <x v="10"/>
    <n v="143.85599999999999"/>
    <n v="9"/>
    <n v="0.2"/>
    <n v="48.551400000000001"/>
  </r>
  <r>
    <s v="Standard Class"/>
    <x v="1"/>
    <s v="United States"/>
    <s v="Dallas"/>
    <x v="5"/>
    <n v="75217"/>
    <x v="2"/>
    <x v="1"/>
    <x v="10"/>
    <n v="41.92"/>
    <n v="4"/>
    <n v="0.2"/>
    <n v="15.196"/>
  </r>
  <r>
    <s v="Standard Class"/>
    <x v="1"/>
    <s v="United States"/>
    <s v="Dallas"/>
    <x v="5"/>
    <n v="75217"/>
    <x v="2"/>
    <x v="2"/>
    <x v="7"/>
    <n v="329.584"/>
    <n v="2"/>
    <n v="0.2"/>
    <n v="37.078200000000002"/>
  </r>
  <r>
    <s v="First Class"/>
    <x v="1"/>
    <s v="United States"/>
    <s v="Monroe"/>
    <x v="28"/>
    <n v="71203"/>
    <x v="0"/>
    <x v="1"/>
    <x v="8"/>
    <n v="87.28"/>
    <n v="8"/>
    <n v="0"/>
    <n v="41.021599999999999"/>
  </r>
  <r>
    <s v="Standard Class"/>
    <x v="1"/>
    <s v="United States"/>
    <s v="Los Angeles"/>
    <x v="1"/>
    <n v="90004"/>
    <x v="1"/>
    <x v="0"/>
    <x v="1"/>
    <n v="279.45600000000002"/>
    <n v="6"/>
    <n v="0.2"/>
    <n v="20.959199999999999"/>
  </r>
  <r>
    <s v="Standard Class"/>
    <x v="1"/>
    <s v="United States"/>
    <s v="Los Angeles"/>
    <x v="1"/>
    <n v="90004"/>
    <x v="1"/>
    <x v="1"/>
    <x v="10"/>
    <n v="8"/>
    <n v="2"/>
    <n v="0"/>
    <n v="3.84"/>
  </r>
  <r>
    <s v="Standard Class"/>
    <x v="0"/>
    <s v="United States"/>
    <s v="San Francisco"/>
    <x v="1"/>
    <n v="94109"/>
    <x v="1"/>
    <x v="1"/>
    <x v="8"/>
    <n v="27.24"/>
    <n v="5"/>
    <n v="0.2"/>
    <n v="9.5340000000000007"/>
  </r>
  <r>
    <s v="Standard Class"/>
    <x v="0"/>
    <s v="United States"/>
    <s v="San Francisco"/>
    <x v="1"/>
    <n v="94122"/>
    <x v="1"/>
    <x v="2"/>
    <x v="11"/>
    <n v="16.36"/>
    <n v="1"/>
    <n v="0"/>
    <n v="1.6359999999999999"/>
  </r>
  <r>
    <s v="Standard Class"/>
    <x v="0"/>
    <s v="United States"/>
    <s v="San Francisco"/>
    <x v="1"/>
    <n v="94122"/>
    <x v="1"/>
    <x v="1"/>
    <x v="4"/>
    <n v="15.78"/>
    <n v="2"/>
    <n v="0"/>
    <n v="0.63119999999999998"/>
  </r>
  <r>
    <s v="Standard Class"/>
    <x v="0"/>
    <s v="United States"/>
    <s v="San Francisco"/>
    <x v="1"/>
    <n v="94122"/>
    <x v="1"/>
    <x v="1"/>
    <x v="6"/>
    <n v="45.98"/>
    <n v="2"/>
    <n v="0"/>
    <n v="12.8744"/>
  </r>
  <r>
    <s v="Standard Class"/>
    <x v="1"/>
    <s v="United States"/>
    <s v="Fayetteville"/>
    <x v="3"/>
    <n v="28314"/>
    <x v="0"/>
    <x v="0"/>
    <x v="0"/>
    <n v="198.27199999999999"/>
    <n v="8"/>
    <n v="0.2"/>
    <n v="-32.219200000000001"/>
  </r>
  <r>
    <s v="First Class"/>
    <x v="1"/>
    <s v="United States"/>
    <s v="Dallas"/>
    <x v="5"/>
    <n v="75217"/>
    <x v="2"/>
    <x v="1"/>
    <x v="4"/>
    <n v="720.76"/>
    <n v="5"/>
    <n v="0.2"/>
    <n v="54.057000000000002"/>
  </r>
  <r>
    <s v="Standard Class"/>
    <x v="0"/>
    <s v="United States"/>
    <s v="Wichita"/>
    <x v="41"/>
    <n v="67212"/>
    <x v="2"/>
    <x v="0"/>
    <x v="5"/>
    <n v="70.56"/>
    <n v="6"/>
    <n v="0"/>
    <n v="23.990400000000001"/>
  </r>
  <r>
    <s v="Standard Class"/>
    <x v="0"/>
    <s v="United States"/>
    <s v="Wichita"/>
    <x v="41"/>
    <n v="67212"/>
    <x v="2"/>
    <x v="1"/>
    <x v="9"/>
    <n v="81.96"/>
    <n v="2"/>
    <n v="0"/>
    <n v="22.948799999999999"/>
  </r>
  <r>
    <s v="Second Class"/>
    <x v="1"/>
    <s v="United States"/>
    <s v="Springfield"/>
    <x v="21"/>
    <n v="97477"/>
    <x v="1"/>
    <x v="1"/>
    <x v="9"/>
    <n v="64.864000000000004"/>
    <n v="4"/>
    <n v="0.2"/>
    <n v="6.4863999999999997"/>
  </r>
  <r>
    <s v="Standard Class"/>
    <x v="0"/>
    <s v="United States"/>
    <s v="Houston"/>
    <x v="5"/>
    <n v="77041"/>
    <x v="2"/>
    <x v="2"/>
    <x v="7"/>
    <n v="151.19200000000001"/>
    <n v="1"/>
    <n v="0.2"/>
    <n v="13.2293"/>
  </r>
  <r>
    <s v="Standard Class"/>
    <x v="0"/>
    <s v="United States"/>
    <s v="Seattle"/>
    <x v="4"/>
    <n v="98103"/>
    <x v="1"/>
    <x v="2"/>
    <x v="7"/>
    <n v="88.775999999999996"/>
    <n v="3"/>
    <n v="0.2"/>
    <n v="7.7679"/>
  </r>
  <r>
    <s v="Standard Class"/>
    <x v="0"/>
    <s v="United States"/>
    <s v="Seattle"/>
    <x v="4"/>
    <n v="98103"/>
    <x v="1"/>
    <x v="1"/>
    <x v="2"/>
    <n v="11.56"/>
    <n v="4"/>
    <n v="0"/>
    <n v="5.4332000000000003"/>
  </r>
  <r>
    <s v="Standard Class"/>
    <x v="0"/>
    <s v="United States"/>
    <s v="Seattle"/>
    <x v="4"/>
    <n v="98103"/>
    <x v="1"/>
    <x v="1"/>
    <x v="4"/>
    <n v="15.58"/>
    <n v="1"/>
    <n v="0"/>
    <n v="3.895"/>
  </r>
  <r>
    <s v="First Class"/>
    <x v="1"/>
    <s v="United States"/>
    <s v="Akron"/>
    <x v="24"/>
    <n v="44312"/>
    <x v="3"/>
    <x v="1"/>
    <x v="10"/>
    <n v="85.055999999999997"/>
    <n v="3"/>
    <n v="0.2"/>
    <n v="28.706399999999999"/>
  </r>
  <r>
    <s v="Standard Class"/>
    <x v="1"/>
    <s v="United States"/>
    <s v="Oak Park"/>
    <x v="12"/>
    <n v="48237"/>
    <x v="2"/>
    <x v="0"/>
    <x v="5"/>
    <n v="273.95999999999998"/>
    <n v="2"/>
    <n v="0"/>
    <n v="71.229600000000005"/>
  </r>
  <r>
    <s v="Standard Class"/>
    <x v="1"/>
    <s v="United States"/>
    <s v="Oak Park"/>
    <x v="12"/>
    <n v="48237"/>
    <x v="2"/>
    <x v="0"/>
    <x v="5"/>
    <n v="306.89999999999998"/>
    <n v="3"/>
    <n v="0"/>
    <n v="79.793999999999997"/>
  </r>
  <r>
    <s v="Standard Class"/>
    <x v="1"/>
    <s v="United States"/>
    <s v="Houston"/>
    <x v="5"/>
    <n v="77041"/>
    <x v="2"/>
    <x v="1"/>
    <x v="10"/>
    <n v="15.552"/>
    <n v="3"/>
    <n v="0.2"/>
    <n v="5.4432"/>
  </r>
  <r>
    <s v="Standard Class"/>
    <x v="1"/>
    <s v="United States"/>
    <s v="Houston"/>
    <x v="5"/>
    <n v="77041"/>
    <x v="2"/>
    <x v="0"/>
    <x v="3"/>
    <n v="347.36099999999999"/>
    <n v="7"/>
    <n v="0.3"/>
    <n v="-69.472200000000001"/>
  </r>
  <r>
    <s v="Standard Class"/>
    <x v="1"/>
    <s v="United States"/>
    <s v="Houston"/>
    <x v="5"/>
    <n v="77041"/>
    <x v="2"/>
    <x v="1"/>
    <x v="10"/>
    <n v="10.368"/>
    <n v="2"/>
    <n v="0.2"/>
    <n v="3.6288"/>
  </r>
  <r>
    <s v="Standard Class"/>
    <x v="1"/>
    <s v="United States"/>
    <s v="Seattle"/>
    <x v="4"/>
    <n v="98103"/>
    <x v="1"/>
    <x v="2"/>
    <x v="11"/>
    <n v="98.16"/>
    <n v="6"/>
    <n v="0"/>
    <n v="9.8160000000000007"/>
  </r>
  <r>
    <s v="Standard Class"/>
    <x v="1"/>
    <s v="United States"/>
    <s v="Seattle"/>
    <x v="4"/>
    <n v="98103"/>
    <x v="1"/>
    <x v="1"/>
    <x v="6"/>
    <n v="31.44"/>
    <n v="3"/>
    <n v="0"/>
    <n v="7.86"/>
  </r>
  <r>
    <s v="First Class"/>
    <x v="1"/>
    <s v="United States"/>
    <s v="Philadelphia"/>
    <x v="9"/>
    <n v="19134"/>
    <x v="3"/>
    <x v="1"/>
    <x v="12"/>
    <n v="348.488"/>
    <n v="7"/>
    <n v="0.2"/>
    <n v="117.6147"/>
  </r>
  <r>
    <s v="First Class"/>
    <x v="1"/>
    <s v="United States"/>
    <s v="Philadelphia"/>
    <x v="9"/>
    <n v="19134"/>
    <x v="3"/>
    <x v="1"/>
    <x v="4"/>
    <n v="172.73599999999999"/>
    <n v="4"/>
    <n v="0.2"/>
    <n v="-30.2288"/>
  </r>
  <r>
    <s v="Standard Class"/>
    <x v="0"/>
    <s v="United States"/>
    <s v="Los Angeles"/>
    <x v="1"/>
    <n v="90045"/>
    <x v="1"/>
    <x v="1"/>
    <x v="10"/>
    <n v="15.54"/>
    <n v="3"/>
    <n v="0"/>
    <n v="7.6146000000000003"/>
  </r>
  <r>
    <s v="Standard Class"/>
    <x v="0"/>
    <s v="United States"/>
    <s v="Los Angeles"/>
    <x v="1"/>
    <n v="90045"/>
    <x v="1"/>
    <x v="2"/>
    <x v="15"/>
    <n v="105.55200000000001"/>
    <n v="6"/>
    <n v="0.2"/>
    <n v="35.623800000000003"/>
  </r>
  <r>
    <s v="Second Class"/>
    <x v="1"/>
    <s v="United States"/>
    <s v="Houston"/>
    <x v="5"/>
    <n v="77070"/>
    <x v="2"/>
    <x v="1"/>
    <x v="10"/>
    <n v="25.92"/>
    <n v="5"/>
    <n v="0.2"/>
    <n v="9.0719999999999992"/>
  </r>
  <r>
    <s v="Second Class"/>
    <x v="1"/>
    <s v="United States"/>
    <s v="Houston"/>
    <x v="5"/>
    <n v="77070"/>
    <x v="2"/>
    <x v="1"/>
    <x v="13"/>
    <n v="15.808"/>
    <n v="8"/>
    <n v="0.2"/>
    <n v="5.3352000000000004"/>
  </r>
  <r>
    <s v="Second Class"/>
    <x v="1"/>
    <s v="United States"/>
    <s v="Houston"/>
    <x v="5"/>
    <n v="77070"/>
    <x v="2"/>
    <x v="1"/>
    <x v="10"/>
    <n v="10.368"/>
    <n v="2"/>
    <n v="0.2"/>
    <n v="3.7584"/>
  </r>
  <r>
    <s v="Standard Class"/>
    <x v="0"/>
    <s v="United States"/>
    <s v="Philadelphia"/>
    <x v="9"/>
    <n v="19143"/>
    <x v="3"/>
    <x v="2"/>
    <x v="7"/>
    <n v="358.2"/>
    <n v="3"/>
    <n v="0.4"/>
    <n v="41.79"/>
  </r>
  <r>
    <s v="Standard Class"/>
    <x v="0"/>
    <s v="United States"/>
    <s v="Philadelphia"/>
    <x v="9"/>
    <n v="19143"/>
    <x v="3"/>
    <x v="2"/>
    <x v="7"/>
    <n v="545.91600000000005"/>
    <n v="14"/>
    <n v="0.4"/>
    <n v="72.788799999999995"/>
  </r>
  <r>
    <s v="Standard Class"/>
    <x v="0"/>
    <s v="United States"/>
    <s v="Rogers"/>
    <x v="36"/>
    <n v="72756"/>
    <x v="0"/>
    <x v="1"/>
    <x v="8"/>
    <n v="40.409999999999997"/>
    <n v="9"/>
    <n v="0"/>
    <n v="18.5886"/>
  </r>
  <r>
    <s v="Second Class"/>
    <x v="1"/>
    <s v="United States"/>
    <s v="Los Angeles"/>
    <x v="1"/>
    <n v="90045"/>
    <x v="1"/>
    <x v="2"/>
    <x v="7"/>
    <n v="167.976"/>
    <n v="3"/>
    <n v="0.2"/>
    <n v="10.4985"/>
  </r>
  <r>
    <s v="Second Class"/>
    <x v="1"/>
    <s v="United States"/>
    <s v="Los Angeles"/>
    <x v="1"/>
    <n v="90045"/>
    <x v="1"/>
    <x v="2"/>
    <x v="11"/>
    <n v="109.53"/>
    <n v="3"/>
    <n v="0"/>
    <n v="47.097900000000003"/>
  </r>
  <r>
    <s v="Second Class"/>
    <x v="1"/>
    <s v="United States"/>
    <s v="Los Angeles"/>
    <x v="1"/>
    <n v="90045"/>
    <x v="1"/>
    <x v="1"/>
    <x v="2"/>
    <n v="9.82"/>
    <n v="2"/>
    <n v="0"/>
    <n v="4.8117999999999999"/>
  </r>
  <r>
    <s v="Second Class"/>
    <x v="1"/>
    <s v="United States"/>
    <s v="Seattle"/>
    <x v="4"/>
    <n v="98105"/>
    <x v="1"/>
    <x v="1"/>
    <x v="8"/>
    <n v="26.352"/>
    <n v="3"/>
    <n v="0.2"/>
    <n v="9.5526"/>
  </r>
  <r>
    <s v="Standard Class"/>
    <x v="1"/>
    <s v="United States"/>
    <s v="Wilmington"/>
    <x v="13"/>
    <n v="19805"/>
    <x v="3"/>
    <x v="1"/>
    <x v="2"/>
    <n v="22.5"/>
    <n v="6"/>
    <n v="0"/>
    <n v="10.8"/>
  </r>
  <r>
    <s v="Standard Class"/>
    <x v="1"/>
    <s v="United States"/>
    <s v="Wilmington"/>
    <x v="13"/>
    <n v="19805"/>
    <x v="3"/>
    <x v="1"/>
    <x v="2"/>
    <n v="9.9600000000000009"/>
    <n v="2"/>
    <n v="0"/>
    <n v="4.5815999999999999"/>
  </r>
  <r>
    <s v="Standard Class"/>
    <x v="1"/>
    <s v="United States"/>
    <s v="Wilmington"/>
    <x v="13"/>
    <n v="19805"/>
    <x v="3"/>
    <x v="1"/>
    <x v="8"/>
    <n v="213.08"/>
    <n v="7"/>
    <n v="0"/>
    <n v="102.2784"/>
  </r>
  <r>
    <s v="Standard Class"/>
    <x v="1"/>
    <s v="United States"/>
    <s v="Wilmington"/>
    <x v="13"/>
    <n v="19805"/>
    <x v="3"/>
    <x v="0"/>
    <x v="0"/>
    <n v="1025.8800000000001"/>
    <n v="6"/>
    <n v="0"/>
    <n v="235.95240000000001"/>
  </r>
  <r>
    <s v="Second Class"/>
    <x v="1"/>
    <s v="United States"/>
    <s v="Provo"/>
    <x v="7"/>
    <n v="84604"/>
    <x v="1"/>
    <x v="1"/>
    <x v="10"/>
    <n v="21.98"/>
    <n v="7"/>
    <n v="0"/>
    <n v="9.891"/>
  </r>
  <r>
    <s v="Same Day"/>
    <x v="1"/>
    <s v="United States"/>
    <s v="San Francisco"/>
    <x v="1"/>
    <n v="94110"/>
    <x v="1"/>
    <x v="0"/>
    <x v="5"/>
    <n v="63.2"/>
    <n v="5"/>
    <n v="0"/>
    <n v="23.384"/>
  </r>
  <r>
    <s v="Standard Class"/>
    <x v="1"/>
    <s v="United States"/>
    <s v="Los Angeles"/>
    <x v="1"/>
    <n v="90004"/>
    <x v="1"/>
    <x v="1"/>
    <x v="9"/>
    <n v="39"/>
    <n v="12"/>
    <n v="0"/>
    <n v="11.31"/>
  </r>
  <r>
    <s v="Standard Class"/>
    <x v="1"/>
    <s v="United States"/>
    <s v="Lancaster"/>
    <x v="24"/>
    <n v="43130"/>
    <x v="3"/>
    <x v="1"/>
    <x v="8"/>
    <n v="2.907"/>
    <n v="3"/>
    <n v="0.7"/>
    <n v="-2.0348999999999999"/>
  </r>
  <r>
    <s v="Standard Class"/>
    <x v="0"/>
    <s v="United States"/>
    <s v="Los Angeles"/>
    <x v="1"/>
    <n v="90004"/>
    <x v="1"/>
    <x v="0"/>
    <x v="0"/>
    <n v="556.66499999999996"/>
    <n v="5"/>
    <n v="0.15"/>
    <n v="6.5490000000000004"/>
  </r>
  <r>
    <s v="First Class"/>
    <x v="0"/>
    <s v="United States"/>
    <s v="Seattle"/>
    <x v="4"/>
    <n v="98103"/>
    <x v="1"/>
    <x v="2"/>
    <x v="11"/>
    <n v="71.98"/>
    <n v="2"/>
    <n v="0"/>
    <n v="15.1158"/>
  </r>
  <r>
    <s v="First Class"/>
    <x v="0"/>
    <s v="United States"/>
    <s v="Seattle"/>
    <x v="4"/>
    <n v="98103"/>
    <x v="1"/>
    <x v="2"/>
    <x v="11"/>
    <n v="79.98"/>
    <n v="2"/>
    <n v="0"/>
    <n v="26.3934"/>
  </r>
  <r>
    <s v="Standard Class"/>
    <x v="1"/>
    <s v="United States"/>
    <s v="New York City"/>
    <x v="15"/>
    <n v="10024"/>
    <x v="3"/>
    <x v="1"/>
    <x v="8"/>
    <n v="24.672000000000001"/>
    <n v="4"/>
    <n v="0.2"/>
    <n v="7.71"/>
  </r>
  <r>
    <s v="Standard Class"/>
    <x v="1"/>
    <s v="United States"/>
    <s v="New York City"/>
    <x v="15"/>
    <n v="10024"/>
    <x v="3"/>
    <x v="1"/>
    <x v="8"/>
    <n v="3.7440000000000002"/>
    <n v="1"/>
    <n v="0.2"/>
    <n v="1.3104"/>
  </r>
  <r>
    <s v="Standard Class"/>
    <x v="0"/>
    <s v="United States"/>
    <s v="Los Angeles"/>
    <x v="1"/>
    <n v="90045"/>
    <x v="1"/>
    <x v="2"/>
    <x v="7"/>
    <n v="445.96"/>
    <n v="5"/>
    <n v="0.2"/>
    <n v="55.744999999999997"/>
  </r>
  <r>
    <s v="Standard Class"/>
    <x v="0"/>
    <s v="United States"/>
    <s v="Los Angeles"/>
    <x v="1"/>
    <n v="90045"/>
    <x v="1"/>
    <x v="2"/>
    <x v="11"/>
    <n v="36.24"/>
    <n v="1"/>
    <n v="0"/>
    <n v="15.220800000000001"/>
  </r>
  <r>
    <s v="Standard Class"/>
    <x v="0"/>
    <s v="United States"/>
    <s v="Los Angeles"/>
    <x v="1"/>
    <n v="90045"/>
    <x v="1"/>
    <x v="1"/>
    <x v="13"/>
    <n v="10.65"/>
    <n v="3"/>
    <n v="0"/>
    <n v="5.0054999999999996"/>
  </r>
  <r>
    <s v="Standard Class"/>
    <x v="1"/>
    <s v="United States"/>
    <s v="San Francisco"/>
    <x v="1"/>
    <n v="94109"/>
    <x v="1"/>
    <x v="1"/>
    <x v="10"/>
    <n v="87.92"/>
    <n v="4"/>
    <n v="0"/>
    <n v="40.443199999999997"/>
  </r>
  <r>
    <s v="Standard Class"/>
    <x v="1"/>
    <s v="United States"/>
    <s v="San Francisco"/>
    <x v="1"/>
    <n v="94109"/>
    <x v="1"/>
    <x v="1"/>
    <x v="8"/>
    <n v="22.423999999999999"/>
    <n v="1"/>
    <n v="0.2"/>
    <n v="8.4090000000000007"/>
  </r>
  <r>
    <s v="Standard Class"/>
    <x v="1"/>
    <s v="United States"/>
    <s v="San Francisco"/>
    <x v="1"/>
    <n v="94109"/>
    <x v="1"/>
    <x v="1"/>
    <x v="8"/>
    <n v="90.48"/>
    <n v="3"/>
    <n v="0.2"/>
    <n v="33.93"/>
  </r>
  <r>
    <s v="Standard Class"/>
    <x v="1"/>
    <s v="United States"/>
    <s v="San Francisco"/>
    <x v="1"/>
    <n v="94109"/>
    <x v="1"/>
    <x v="1"/>
    <x v="4"/>
    <n v="42.76"/>
    <n v="1"/>
    <n v="0"/>
    <n v="11.117599999999999"/>
  </r>
  <r>
    <s v="Standard Class"/>
    <x v="0"/>
    <s v="United States"/>
    <s v="Clovis"/>
    <x v="27"/>
    <n v="88101"/>
    <x v="1"/>
    <x v="1"/>
    <x v="8"/>
    <n v="10.08"/>
    <n v="7"/>
    <n v="0.2"/>
    <n v="3.528"/>
  </r>
  <r>
    <s v="Standard Class"/>
    <x v="0"/>
    <s v="United States"/>
    <s v="Clovis"/>
    <x v="27"/>
    <n v="88101"/>
    <x v="1"/>
    <x v="2"/>
    <x v="11"/>
    <n v="101.34"/>
    <n v="3"/>
    <n v="0"/>
    <n v="8.1072000000000006"/>
  </r>
  <r>
    <s v="First Class"/>
    <x v="0"/>
    <s v="United States"/>
    <s v="Wichita"/>
    <x v="41"/>
    <n v="67212"/>
    <x v="2"/>
    <x v="2"/>
    <x v="7"/>
    <n v="224.75"/>
    <n v="5"/>
    <n v="0"/>
    <n v="62.93"/>
  </r>
  <r>
    <s v="Standard Class"/>
    <x v="0"/>
    <s v="United States"/>
    <s v="Chicago"/>
    <x v="10"/>
    <n v="60653"/>
    <x v="2"/>
    <x v="1"/>
    <x v="9"/>
    <n v="73.176000000000002"/>
    <n v="6"/>
    <n v="0.8"/>
    <n v="-197.5752"/>
  </r>
  <r>
    <s v="Standard Class"/>
    <x v="0"/>
    <s v="United States"/>
    <s v="Chicago"/>
    <x v="10"/>
    <n v="60653"/>
    <x v="2"/>
    <x v="1"/>
    <x v="10"/>
    <n v="20.736000000000001"/>
    <n v="4"/>
    <n v="0.2"/>
    <n v="7.2576000000000001"/>
  </r>
  <r>
    <s v="Standard Class"/>
    <x v="0"/>
    <s v="United States"/>
    <s v="Chicago"/>
    <x v="10"/>
    <n v="60653"/>
    <x v="2"/>
    <x v="2"/>
    <x v="7"/>
    <n v="39.984000000000002"/>
    <n v="2"/>
    <n v="0.2"/>
    <n v="-8.9963999999999995"/>
  </r>
  <r>
    <s v="Second Class"/>
    <x v="1"/>
    <s v="United States"/>
    <s v="Omaha"/>
    <x v="8"/>
    <n v="68104"/>
    <x v="2"/>
    <x v="1"/>
    <x v="8"/>
    <n v="15.36"/>
    <n v="2"/>
    <n v="0"/>
    <n v="7.68"/>
  </r>
  <r>
    <s v="First Class"/>
    <x v="0"/>
    <s v="United States"/>
    <s v="Houston"/>
    <x v="5"/>
    <n v="77041"/>
    <x v="2"/>
    <x v="1"/>
    <x v="10"/>
    <n v="36.287999999999997"/>
    <n v="7"/>
    <n v="0.2"/>
    <n v="12.700799999999999"/>
  </r>
  <r>
    <s v="First Class"/>
    <x v="0"/>
    <s v="United States"/>
    <s v="Houston"/>
    <x v="5"/>
    <n v="77041"/>
    <x v="2"/>
    <x v="2"/>
    <x v="7"/>
    <n v="150.38399999999999"/>
    <n v="2"/>
    <n v="0.2"/>
    <n v="15.038399999999999"/>
  </r>
  <r>
    <s v="Second Class"/>
    <x v="0"/>
    <s v="United States"/>
    <s v="Philadelphia"/>
    <x v="9"/>
    <n v="19134"/>
    <x v="3"/>
    <x v="2"/>
    <x v="7"/>
    <n v="280.78199999999998"/>
    <n v="3"/>
    <n v="0.4"/>
    <n v="-60.836100000000002"/>
  </r>
  <r>
    <s v="Second Class"/>
    <x v="0"/>
    <s v="United States"/>
    <s v="Philadelphia"/>
    <x v="9"/>
    <n v="19134"/>
    <x v="3"/>
    <x v="2"/>
    <x v="11"/>
    <n v="31.984000000000002"/>
    <n v="2"/>
    <n v="0.2"/>
    <n v="1.1994"/>
  </r>
  <r>
    <s v="Standard Class"/>
    <x v="0"/>
    <s v="United States"/>
    <s v="Los Angeles"/>
    <x v="1"/>
    <n v="90045"/>
    <x v="1"/>
    <x v="1"/>
    <x v="8"/>
    <n v="11.231999999999999"/>
    <n v="3"/>
    <n v="0.2"/>
    <n v="3.9312"/>
  </r>
  <r>
    <s v="Second Class"/>
    <x v="1"/>
    <s v="United States"/>
    <s v="Richmond"/>
    <x v="0"/>
    <n v="40475"/>
    <x v="0"/>
    <x v="1"/>
    <x v="10"/>
    <n v="26.4"/>
    <n v="5"/>
    <n v="0"/>
    <n v="11.88"/>
  </r>
  <r>
    <s v="Standard Class"/>
    <x v="0"/>
    <s v="United States"/>
    <s v="Waterbury"/>
    <x v="29"/>
    <n v="6708"/>
    <x v="3"/>
    <x v="1"/>
    <x v="6"/>
    <n v="3.52"/>
    <n v="2"/>
    <n v="0"/>
    <n v="1.0207999999999999"/>
  </r>
  <r>
    <s v="First Class"/>
    <x v="0"/>
    <s v="United States"/>
    <s v="Los Angeles"/>
    <x v="1"/>
    <n v="90045"/>
    <x v="1"/>
    <x v="2"/>
    <x v="11"/>
    <n v="1649.95"/>
    <n v="5"/>
    <n v="0"/>
    <n v="659.98"/>
  </r>
  <r>
    <s v="First Class"/>
    <x v="0"/>
    <s v="United States"/>
    <s v="Los Angeles"/>
    <x v="1"/>
    <n v="90045"/>
    <x v="1"/>
    <x v="0"/>
    <x v="5"/>
    <n v="111.9"/>
    <n v="6"/>
    <n v="0"/>
    <n v="51.473999999999997"/>
  </r>
  <r>
    <s v="Same Day"/>
    <x v="2"/>
    <s v="United States"/>
    <s v="Los Angeles"/>
    <x v="1"/>
    <n v="90036"/>
    <x v="1"/>
    <x v="0"/>
    <x v="0"/>
    <n v="599.16499999999996"/>
    <n v="5"/>
    <n v="0.15"/>
    <n v="35.244999999999997"/>
  </r>
  <r>
    <s v="First Class"/>
    <x v="2"/>
    <s v="United States"/>
    <s v="San Francisco"/>
    <x v="1"/>
    <n v="94122"/>
    <x v="1"/>
    <x v="1"/>
    <x v="4"/>
    <n v="46.53"/>
    <n v="3"/>
    <n v="0"/>
    <n v="12.097799999999999"/>
  </r>
  <r>
    <s v="First Class"/>
    <x v="0"/>
    <s v="United States"/>
    <s v="Saint Petersburg"/>
    <x v="2"/>
    <n v="33710"/>
    <x v="0"/>
    <x v="0"/>
    <x v="5"/>
    <n v="31.984000000000002"/>
    <n v="2"/>
    <n v="0.2"/>
    <n v="1.9990000000000001"/>
  </r>
  <r>
    <s v="Standard Class"/>
    <x v="2"/>
    <s v="United States"/>
    <s v="Lakewood"/>
    <x v="24"/>
    <n v="44107"/>
    <x v="3"/>
    <x v="1"/>
    <x v="9"/>
    <n v="161.56800000000001"/>
    <n v="2"/>
    <n v="0.2"/>
    <n v="16.1568"/>
  </r>
  <r>
    <s v="Standard Class"/>
    <x v="2"/>
    <s v="United States"/>
    <s v="Lakewood"/>
    <x v="24"/>
    <n v="44107"/>
    <x v="3"/>
    <x v="1"/>
    <x v="10"/>
    <n v="4.0640000000000001"/>
    <n v="1"/>
    <n v="0.2"/>
    <n v="1.3715999999999999"/>
  </r>
  <r>
    <s v="Standard Class"/>
    <x v="2"/>
    <s v="United States"/>
    <s v="Lakewood"/>
    <x v="24"/>
    <n v="44107"/>
    <x v="3"/>
    <x v="1"/>
    <x v="8"/>
    <n v="6.2160000000000002"/>
    <n v="4"/>
    <n v="0.7"/>
    <n v="-4.9728000000000003"/>
  </r>
  <r>
    <s v="Standard Class"/>
    <x v="0"/>
    <s v="United States"/>
    <s v="Chandler"/>
    <x v="16"/>
    <n v="85224"/>
    <x v="1"/>
    <x v="1"/>
    <x v="6"/>
    <n v="8.8960000000000008"/>
    <n v="4"/>
    <n v="0.2"/>
    <n v="0.66720000000000002"/>
  </r>
  <r>
    <s v="Standard Class"/>
    <x v="2"/>
    <s v="United States"/>
    <s v="Los Angeles"/>
    <x v="1"/>
    <n v="90008"/>
    <x v="1"/>
    <x v="1"/>
    <x v="9"/>
    <n v="1640.7"/>
    <n v="5"/>
    <n v="0"/>
    <n v="459.39600000000002"/>
  </r>
  <r>
    <s v="Standard Class"/>
    <x v="2"/>
    <s v="United States"/>
    <s v="Los Angeles"/>
    <x v="1"/>
    <n v="90008"/>
    <x v="1"/>
    <x v="2"/>
    <x v="11"/>
    <n v="270"/>
    <n v="3"/>
    <n v="0"/>
    <n v="97.2"/>
  </r>
  <r>
    <s v="First Class"/>
    <x v="1"/>
    <s v="United States"/>
    <s v="Palm Coast"/>
    <x v="2"/>
    <n v="32137"/>
    <x v="0"/>
    <x v="0"/>
    <x v="5"/>
    <n v="19.52"/>
    <n v="2"/>
    <n v="0.2"/>
    <n v="5.3680000000000003"/>
  </r>
  <r>
    <s v="First Class"/>
    <x v="1"/>
    <s v="United States"/>
    <s v="Palm Coast"/>
    <x v="2"/>
    <n v="32137"/>
    <x v="0"/>
    <x v="1"/>
    <x v="8"/>
    <n v="9.81"/>
    <n v="5"/>
    <n v="0.7"/>
    <n v="-6.867"/>
  </r>
  <r>
    <s v="First Class"/>
    <x v="1"/>
    <s v="United States"/>
    <s v="Palm Coast"/>
    <x v="2"/>
    <n v="32137"/>
    <x v="0"/>
    <x v="0"/>
    <x v="5"/>
    <n v="213.21600000000001"/>
    <n v="3"/>
    <n v="0.2"/>
    <n v="15.991199999999999"/>
  </r>
  <r>
    <s v="Standard Class"/>
    <x v="0"/>
    <s v="United States"/>
    <s v="New York City"/>
    <x v="15"/>
    <n v="10035"/>
    <x v="3"/>
    <x v="1"/>
    <x v="8"/>
    <n v="588.78399999999999"/>
    <n v="2"/>
    <n v="0.2"/>
    <n v="183.995"/>
  </r>
  <r>
    <s v="Second Class"/>
    <x v="0"/>
    <s v="United States"/>
    <s v="Jupiter"/>
    <x v="2"/>
    <n v="33458"/>
    <x v="0"/>
    <x v="1"/>
    <x v="6"/>
    <n v="2.0640000000000001"/>
    <n v="1"/>
    <n v="0.2"/>
    <n v="0.15479999999999999"/>
  </r>
  <r>
    <s v="Standard Class"/>
    <x v="0"/>
    <s v="United States"/>
    <s v="Glendale"/>
    <x v="16"/>
    <n v="85301"/>
    <x v="1"/>
    <x v="1"/>
    <x v="10"/>
    <n v="6.3680000000000003"/>
    <n v="2"/>
    <n v="0.2"/>
    <n v="2.3879999999999999"/>
  </r>
  <r>
    <s v="Standard Class"/>
    <x v="0"/>
    <s v="United States"/>
    <s v="New York City"/>
    <x v="15"/>
    <n v="10035"/>
    <x v="3"/>
    <x v="2"/>
    <x v="11"/>
    <n v="99.6"/>
    <n v="1"/>
    <n v="0"/>
    <n v="36.851999999999997"/>
  </r>
  <r>
    <s v="Standard Class"/>
    <x v="0"/>
    <s v="United States"/>
    <s v="New York City"/>
    <x v="15"/>
    <n v="10035"/>
    <x v="3"/>
    <x v="1"/>
    <x v="8"/>
    <n v="62.295999999999999"/>
    <n v="13"/>
    <n v="0.2"/>
    <n v="21.024899999999999"/>
  </r>
  <r>
    <s v="Standard Class"/>
    <x v="0"/>
    <s v="United States"/>
    <s v="New York City"/>
    <x v="15"/>
    <n v="10035"/>
    <x v="3"/>
    <x v="1"/>
    <x v="6"/>
    <n v="10.71"/>
    <n v="3"/>
    <n v="0"/>
    <n v="2.7846000000000002"/>
  </r>
  <r>
    <s v="Standard Class"/>
    <x v="2"/>
    <s v="United States"/>
    <s v="Houston"/>
    <x v="5"/>
    <n v="77041"/>
    <x v="2"/>
    <x v="1"/>
    <x v="12"/>
    <n v="20.936"/>
    <n v="1"/>
    <n v="0.2"/>
    <n v="7.0659000000000001"/>
  </r>
  <r>
    <s v="Standard Class"/>
    <x v="1"/>
    <s v="United States"/>
    <s v="New York City"/>
    <x v="15"/>
    <n v="10035"/>
    <x v="3"/>
    <x v="2"/>
    <x v="7"/>
    <n v="33"/>
    <n v="6"/>
    <n v="0"/>
    <n v="8.25"/>
  </r>
  <r>
    <s v="Standard Class"/>
    <x v="1"/>
    <s v="United States"/>
    <s v="New York City"/>
    <x v="15"/>
    <n v="10035"/>
    <x v="3"/>
    <x v="2"/>
    <x v="11"/>
    <n v="249.95"/>
    <n v="5"/>
    <n v="0"/>
    <n v="87.482500000000002"/>
  </r>
  <r>
    <s v="Standard Class"/>
    <x v="2"/>
    <s v="United States"/>
    <s v="Olathe"/>
    <x v="41"/>
    <n v="66062"/>
    <x v="2"/>
    <x v="1"/>
    <x v="14"/>
    <n v="357.93"/>
    <n v="3"/>
    <n v="0"/>
    <n v="7.1585999999999999"/>
  </r>
  <r>
    <s v="Standard Class"/>
    <x v="2"/>
    <s v="United States"/>
    <s v="Olathe"/>
    <x v="41"/>
    <n v="66062"/>
    <x v="2"/>
    <x v="2"/>
    <x v="11"/>
    <n v="57.4"/>
    <n v="5"/>
    <n v="0"/>
    <n v="10.906000000000001"/>
  </r>
  <r>
    <s v="Standard Class"/>
    <x v="2"/>
    <s v="United States"/>
    <s v="Olathe"/>
    <x v="41"/>
    <n v="66062"/>
    <x v="2"/>
    <x v="1"/>
    <x v="8"/>
    <n v="331.96"/>
    <n v="2"/>
    <n v="0"/>
    <n v="149.38200000000001"/>
  </r>
  <r>
    <s v="Standard Class"/>
    <x v="2"/>
    <s v="United States"/>
    <s v="Olathe"/>
    <x v="41"/>
    <n v="66062"/>
    <x v="2"/>
    <x v="0"/>
    <x v="5"/>
    <n v="40.56"/>
    <n v="2"/>
    <n v="0"/>
    <n v="12.979200000000001"/>
  </r>
  <r>
    <s v="Standard Class"/>
    <x v="2"/>
    <s v="United States"/>
    <s v="Sparks"/>
    <x v="33"/>
    <n v="89431"/>
    <x v="1"/>
    <x v="1"/>
    <x v="14"/>
    <n v="86.2"/>
    <n v="5"/>
    <n v="0"/>
    <n v="24.998000000000001"/>
  </r>
  <r>
    <s v="Standard Class"/>
    <x v="1"/>
    <s v="United States"/>
    <s v="Rockford"/>
    <x v="10"/>
    <n v="61107"/>
    <x v="2"/>
    <x v="1"/>
    <x v="10"/>
    <n v="38.015999999999998"/>
    <n v="6"/>
    <n v="0.2"/>
    <n v="13.780799999999999"/>
  </r>
  <r>
    <s v="Standard Class"/>
    <x v="1"/>
    <s v="United States"/>
    <s v="Philadelphia"/>
    <x v="9"/>
    <n v="19143"/>
    <x v="3"/>
    <x v="1"/>
    <x v="4"/>
    <n v="8.3840000000000003"/>
    <n v="1"/>
    <n v="0.2"/>
    <n v="0.73360000000000003"/>
  </r>
  <r>
    <s v="Standard Class"/>
    <x v="1"/>
    <s v="United States"/>
    <s v="Philadelphia"/>
    <x v="9"/>
    <n v="19143"/>
    <x v="3"/>
    <x v="1"/>
    <x v="6"/>
    <n v="6.8479999999999999"/>
    <n v="2"/>
    <n v="0.2"/>
    <n v="0.77039999999999997"/>
  </r>
  <r>
    <s v="Standard Class"/>
    <x v="0"/>
    <s v="United States"/>
    <s v="Edmonds"/>
    <x v="4"/>
    <n v="98026"/>
    <x v="1"/>
    <x v="1"/>
    <x v="13"/>
    <n v="19.600000000000001"/>
    <n v="5"/>
    <n v="0"/>
    <n v="9.6039999999999992"/>
  </r>
  <r>
    <s v="Standard Class"/>
    <x v="0"/>
    <s v="United States"/>
    <s v="Edmonds"/>
    <x v="4"/>
    <n v="98026"/>
    <x v="1"/>
    <x v="0"/>
    <x v="5"/>
    <n v="68.459999999999994"/>
    <n v="2"/>
    <n v="0"/>
    <n v="20.538"/>
  </r>
  <r>
    <s v="Second Class"/>
    <x v="0"/>
    <s v="United States"/>
    <s v="San Francisco"/>
    <x v="1"/>
    <n v="94122"/>
    <x v="1"/>
    <x v="1"/>
    <x v="8"/>
    <n v="13.343999999999999"/>
    <n v="6"/>
    <n v="0.2"/>
    <n v="4.3368000000000002"/>
  </r>
  <r>
    <s v="Second Class"/>
    <x v="0"/>
    <s v="United States"/>
    <s v="San Francisco"/>
    <x v="1"/>
    <n v="94122"/>
    <x v="1"/>
    <x v="0"/>
    <x v="3"/>
    <n v="1478.2719999999999"/>
    <n v="8"/>
    <n v="0.2"/>
    <n v="92.391999999999996"/>
  </r>
  <r>
    <s v="Standard Class"/>
    <x v="1"/>
    <s v="United States"/>
    <s v="Asheville"/>
    <x v="3"/>
    <n v="28806"/>
    <x v="0"/>
    <x v="1"/>
    <x v="4"/>
    <n v="16.271999999999998"/>
    <n v="1"/>
    <n v="0.2"/>
    <n v="-3.8645999999999998"/>
  </r>
  <r>
    <s v="Standard Class"/>
    <x v="0"/>
    <s v="United States"/>
    <s v="Los Angeles"/>
    <x v="1"/>
    <n v="90032"/>
    <x v="1"/>
    <x v="0"/>
    <x v="5"/>
    <n v="9.24"/>
    <n v="3"/>
    <n v="0"/>
    <n v="4.4352"/>
  </r>
  <r>
    <s v="First Class"/>
    <x v="0"/>
    <s v="United States"/>
    <s v="Scottsdale"/>
    <x v="16"/>
    <n v="85254"/>
    <x v="1"/>
    <x v="1"/>
    <x v="8"/>
    <n v="32.340000000000003"/>
    <n v="10"/>
    <n v="0.7"/>
    <n v="-23.716000000000001"/>
  </r>
  <r>
    <s v="First Class"/>
    <x v="0"/>
    <s v="United States"/>
    <s v="Scottsdale"/>
    <x v="16"/>
    <n v="85254"/>
    <x v="1"/>
    <x v="1"/>
    <x v="10"/>
    <n v="56.064"/>
    <n v="4"/>
    <n v="0.2"/>
    <n v="19.622399999999999"/>
  </r>
  <r>
    <s v="First Class"/>
    <x v="0"/>
    <s v="United States"/>
    <s v="Scottsdale"/>
    <x v="16"/>
    <n v="85254"/>
    <x v="1"/>
    <x v="1"/>
    <x v="12"/>
    <n v="108.72"/>
    <n v="5"/>
    <n v="0.2"/>
    <n v="36.692999999999998"/>
  </r>
  <r>
    <s v="First Class"/>
    <x v="0"/>
    <s v="United States"/>
    <s v="Scottsdale"/>
    <x v="16"/>
    <n v="85254"/>
    <x v="1"/>
    <x v="0"/>
    <x v="0"/>
    <n v="181.47"/>
    <n v="5"/>
    <n v="0.7"/>
    <n v="-320.59699999999998"/>
  </r>
  <r>
    <s v="Second Class"/>
    <x v="0"/>
    <s v="United States"/>
    <s v="Houston"/>
    <x v="5"/>
    <n v="77095"/>
    <x v="2"/>
    <x v="1"/>
    <x v="10"/>
    <n v="16.175999999999998"/>
    <n v="3"/>
    <n v="0.2"/>
    <n v="6.0659999999999998"/>
  </r>
  <r>
    <s v="Standard Class"/>
    <x v="0"/>
    <s v="United States"/>
    <s v="San Francisco"/>
    <x v="1"/>
    <n v="94109"/>
    <x v="1"/>
    <x v="0"/>
    <x v="1"/>
    <n v="122.352"/>
    <n v="3"/>
    <n v="0.2"/>
    <n v="13.7646"/>
  </r>
  <r>
    <s v="First Class"/>
    <x v="2"/>
    <s v="United States"/>
    <s v="San Diego"/>
    <x v="1"/>
    <n v="92105"/>
    <x v="1"/>
    <x v="0"/>
    <x v="1"/>
    <n v="585.55200000000002"/>
    <n v="3"/>
    <n v="0.2"/>
    <n v="73.194000000000003"/>
  </r>
  <r>
    <s v="First Class"/>
    <x v="2"/>
    <s v="United States"/>
    <s v="San Diego"/>
    <x v="1"/>
    <n v="92105"/>
    <x v="1"/>
    <x v="1"/>
    <x v="10"/>
    <n v="19.440000000000001"/>
    <n v="3"/>
    <n v="0"/>
    <n v="9.3312000000000008"/>
  </r>
  <r>
    <s v="Standard Class"/>
    <x v="0"/>
    <s v="United States"/>
    <s v="Hamilton"/>
    <x v="24"/>
    <n v="45011"/>
    <x v="3"/>
    <x v="1"/>
    <x v="9"/>
    <n v="123.92"/>
    <n v="5"/>
    <n v="0.2"/>
    <n v="9.2940000000000005"/>
  </r>
  <r>
    <s v="Standard Class"/>
    <x v="0"/>
    <s v="United States"/>
    <s v="Parker"/>
    <x v="22"/>
    <n v="80134"/>
    <x v="1"/>
    <x v="0"/>
    <x v="5"/>
    <n v="13.36"/>
    <n v="5"/>
    <n v="0.2"/>
    <n v="4.008"/>
  </r>
  <r>
    <s v="Standard Class"/>
    <x v="0"/>
    <s v="United States"/>
    <s v="Parker"/>
    <x v="22"/>
    <n v="80134"/>
    <x v="1"/>
    <x v="1"/>
    <x v="4"/>
    <n v="78.256"/>
    <n v="2"/>
    <n v="0.2"/>
    <n v="-17.607600000000001"/>
  </r>
  <r>
    <s v="Standard Class"/>
    <x v="0"/>
    <s v="United States"/>
    <s v="Parker"/>
    <x v="22"/>
    <n v="80134"/>
    <x v="1"/>
    <x v="0"/>
    <x v="0"/>
    <n v="102.018"/>
    <n v="7"/>
    <n v="0.7"/>
    <n v="-183.63239999999999"/>
  </r>
  <r>
    <s v="Same Day"/>
    <x v="1"/>
    <s v="United States"/>
    <s v="Fremont"/>
    <x v="8"/>
    <n v="68025"/>
    <x v="2"/>
    <x v="1"/>
    <x v="4"/>
    <n v="750.68"/>
    <n v="2"/>
    <n v="0"/>
    <n v="37.533999999999999"/>
  </r>
  <r>
    <s v="First Class"/>
    <x v="2"/>
    <s v="United States"/>
    <s v="Maple Grove"/>
    <x v="11"/>
    <n v="55369"/>
    <x v="2"/>
    <x v="1"/>
    <x v="2"/>
    <n v="44.4"/>
    <n v="3"/>
    <n v="0"/>
    <n v="22.2"/>
  </r>
  <r>
    <s v="First Class"/>
    <x v="2"/>
    <s v="United States"/>
    <s v="Maple Grove"/>
    <x v="11"/>
    <n v="55369"/>
    <x v="2"/>
    <x v="1"/>
    <x v="4"/>
    <n v="84.55"/>
    <n v="5"/>
    <n v="0"/>
    <n v="22.828499999999998"/>
  </r>
  <r>
    <s v="First Class"/>
    <x v="2"/>
    <s v="United States"/>
    <s v="Maple Grove"/>
    <x v="11"/>
    <n v="55369"/>
    <x v="2"/>
    <x v="1"/>
    <x v="10"/>
    <n v="17.940000000000001"/>
    <n v="3"/>
    <n v="0"/>
    <n v="8.7905999999999995"/>
  </r>
  <r>
    <s v="Standard Class"/>
    <x v="0"/>
    <s v="United States"/>
    <s v="Newark"/>
    <x v="13"/>
    <n v="19711"/>
    <x v="3"/>
    <x v="1"/>
    <x v="8"/>
    <n v="128.4"/>
    <n v="3"/>
    <n v="0"/>
    <n v="62.915999999999997"/>
  </r>
  <r>
    <s v="Standard Class"/>
    <x v="1"/>
    <s v="United States"/>
    <s v="Miami"/>
    <x v="2"/>
    <n v="33180"/>
    <x v="0"/>
    <x v="1"/>
    <x v="8"/>
    <n v="1.869"/>
    <n v="1"/>
    <n v="0.7"/>
    <n v="-1.3083"/>
  </r>
  <r>
    <s v="Standard Class"/>
    <x v="1"/>
    <s v="United States"/>
    <s v="San Diego"/>
    <x v="1"/>
    <n v="92105"/>
    <x v="1"/>
    <x v="2"/>
    <x v="7"/>
    <n v="103.19199999999999"/>
    <n v="1"/>
    <n v="0.2"/>
    <n v="11.6091"/>
  </r>
  <r>
    <s v="Standard Class"/>
    <x v="1"/>
    <s v="United States"/>
    <s v="San Diego"/>
    <x v="1"/>
    <n v="92105"/>
    <x v="1"/>
    <x v="2"/>
    <x v="11"/>
    <n v="36"/>
    <n v="2"/>
    <n v="0"/>
    <n v="6.48"/>
  </r>
  <r>
    <s v="Standard Class"/>
    <x v="1"/>
    <s v="United States"/>
    <s v="San Diego"/>
    <x v="1"/>
    <n v="92105"/>
    <x v="1"/>
    <x v="2"/>
    <x v="11"/>
    <n v="239.96"/>
    <n v="4"/>
    <n v="0"/>
    <n v="115.1808"/>
  </r>
  <r>
    <s v="Standard Class"/>
    <x v="1"/>
    <s v="United States"/>
    <s v="San Diego"/>
    <x v="1"/>
    <n v="92105"/>
    <x v="1"/>
    <x v="1"/>
    <x v="4"/>
    <n v="40.68"/>
    <n v="2"/>
    <n v="0"/>
    <n v="0.40679999999999999"/>
  </r>
  <r>
    <s v="Standard Class"/>
    <x v="0"/>
    <s v="United States"/>
    <s v="Miami"/>
    <x v="2"/>
    <n v="33142"/>
    <x v="0"/>
    <x v="0"/>
    <x v="1"/>
    <n v="419.13600000000002"/>
    <n v="4"/>
    <n v="0.2"/>
    <n v="-68.1096"/>
  </r>
  <r>
    <s v="Standard Class"/>
    <x v="0"/>
    <s v="United States"/>
    <s v="Miami"/>
    <x v="2"/>
    <n v="33178"/>
    <x v="0"/>
    <x v="1"/>
    <x v="12"/>
    <n v="23.472000000000001"/>
    <n v="3"/>
    <n v="0.2"/>
    <n v="7.6284000000000001"/>
  </r>
  <r>
    <s v="Standard Class"/>
    <x v="2"/>
    <s v="United States"/>
    <s v="San Antonio"/>
    <x v="5"/>
    <n v="78207"/>
    <x v="2"/>
    <x v="1"/>
    <x v="8"/>
    <n v="3.5920000000000001"/>
    <n v="4"/>
    <n v="0.8"/>
    <n v="-6.2859999999999996"/>
  </r>
  <r>
    <s v="Second Class"/>
    <x v="1"/>
    <s v="United States"/>
    <s v="Jacksonville"/>
    <x v="2"/>
    <n v="32216"/>
    <x v="0"/>
    <x v="2"/>
    <x v="7"/>
    <n v="23.975999999999999"/>
    <n v="3"/>
    <n v="0.2"/>
    <n v="-5.6943000000000001"/>
  </r>
  <r>
    <s v="Second Class"/>
    <x v="1"/>
    <s v="United States"/>
    <s v="Jacksonville"/>
    <x v="2"/>
    <n v="32216"/>
    <x v="0"/>
    <x v="1"/>
    <x v="2"/>
    <n v="6.2640000000000002"/>
    <n v="3"/>
    <n v="0.2"/>
    <n v="2.0358000000000001"/>
  </r>
  <r>
    <s v="Second Class"/>
    <x v="1"/>
    <s v="United States"/>
    <s v="Jacksonville"/>
    <x v="2"/>
    <n v="32216"/>
    <x v="0"/>
    <x v="1"/>
    <x v="9"/>
    <n v="20.808"/>
    <n v="3"/>
    <n v="0.2"/>
    <n v="1.8207"/>
  </r>
  <r>
    <s v="Second Class"/>
    <x v="1"/>
    <s v="United States"/>
    <s v="Jacksonville"/>
    <x v="2"/>
    <n v="32216"/>
    <x v="0"/>
    <x v="0"/>
    <x v="1"/>
    <n v="218.352"/>
    <n v="3"/>
    <n v="0.2"/>
    <n v="-19.105799999999999"/>
  </r>
  <r>
    <s v="First Class"/>
    <x v="0"/>
    <s v="United States"/>
    <s v="Houston"/>
    <x v="5"/>
    <n v="77070"/>
    <x v="2"/>
    <x v="1"/>
    <x v="4"/>
    <n v="18.16"/>
    <n v="2"/>
    <n v="0.2"/>
    <n v="1.8160000000000001"/>
  </r>
  <r>
    <s v="Same Day"/>
    <x v="2"/>
    <s v="United States"/>
    <s v="San Francisco"/>
    <x v="1"/>
    <n v="94122"/>
    <x v="1"/>
    <x v="1"/>
    <x v="14"/>
    <n v="7.36"/>
    <n v="2"/>
    <n v="0"/>
    <n v="0.1472"/>
  </r>
  <r>
    <s v="Same Day"/>
    <x v="2"/>
    <s v="United States"/>
    <s v="San Francisco"/>
    <x v="1"/>
    <n v="94122"/>
    <x v="1"/>
    <x v="1"/>
    <x v="2"/>
    <n v="41.4"/>
    <n v="4"/>
    <n v="0"/>
    <n v="19.872"/>
  </r>
  <r>
    <s v="Same Day"/>
    <x v="2"/>
    <s v="United States"/>
    <s v="San Francisco"/>
    <x v="1"/>
    <n v="94122"/>
    <x v="1"/>
    <x v="0"/>
    <x v="0"/>
    <n v="411.33199999999999"/>
    <n v="4"/>
    <n v="0.15"/>
    <n v="-4.8391999999999999"/>
  </r>
  <r>
    <s v="Standard Class"/>
    <x v="1"/>
    <s v="United States"/>
    <s v="Philadelphia"/>
    <x v="9"/>
    <n v="19140"/>
    <x v="3"/>
    <x v="1"/>
    <x v="8"/>
    <n v="7.6559999999999997"/>
    <n v="4"/>
    <n v="0.7"/>
    <n v="-6.1247999999999996"/>
  </r>
  <r>
    <s v="Standard Class"/>
    <x v="0"/>
    <s v="United States"/>
    <s v="Marion"/>
    <x v="24"/>
    <n v="43302"/>
    <x v="3"/>
    <x v="2"/>
    <x v="11"/>
    <n v="63.92"/>
    <n v="2"/>
    <n v="0.2"/>
    <n v="19.175999999999998"/>
  </r>
  <r>
    <s v="Second Class"/>
    <x v="0"/>
    <s v="United States"/>
    <s v="New York City"/>
    <x v="15"/>
    <n v="10024"/>
    <x v="3"/>
    <x v="1"/>
    <x v="6"/>
    <n v="6.56"/>
    <n v="2"/>
    <n v="0"/>
    <n v="1.9024000000000001"/>
  </r>
  <r>
    <s v="Second Class"/>
    <x v="0"/>
    <s v="United States"/>
    <s v="New York City"/>
    <x v="15"/>
    <n v="10024"/>
    <x v="3"/>
    <x v="1"/>
    <x v="2"/>
    <n v="7.83"/>
    <n v="3"/>
    <n v="0"/>
    <n v="3.6017999999999999"/>
  </r>
  <r>
    <s v="Second Class"/>
    <x v="0"/>
    <s v="United States"/>
    <s v="New York City"/>
    <x v="15"/>
    <n v="10024"/>
    <x v="3"/>
    <x v="2"/>
    <x v="11"/>
    <n v="41.9"/>
    <n v="2"/>
    <n v="0"/>
    <n v="8.7989999999999995"/>
  </r>
  <r>
    <s v="Second Class"/>
    <x v="0"/>
    <s v="United States"/>
    <s v="New York City"/>
    <x v="15"/>
    <n v="10024"/>
    <x v="3"/>
    <x v="0"/>
    <x v="1"/>
    <n v="664.14599999999996"/>
    <n v="6"/>
    <n v="0.1"/>
    <n v="88.552800000000005"/>
  </r>
  <r>
    <s v="Second Class"/>
    <x v="0"/>
    <s v="United States"/>
    <s v="New York City"/>
    <x v="15"/>
    <n v="10024"/>
    <x v="3"/>
    <x v="1"/>
    <x v="10"/>
    <n v="8.9600000000000009"/>
    <n v="2"/>
    <n v="0"/>
    <n v="4.3903999999999996"/>
  </r>
  <r>
    <s v="Standard Class"/>
    <x v="1"/>
    <s v="United States"/>
    <s v="Philadelphia"/>
    <x v="9"/>
    <n v="19140"/>
    <x v="3"/>
    <x v="0"/>
    <x v="5"/>
    <n v="3.3119999999999998"/>
    <n v="1"/>
    <n v="0.2"/>
    <n v="0.66239999999999999"/>
  </r>
  <r>
    <s v="Standard Class"/>
    <x v="1"/>
    <s v="United States"/>
    <s v="Philadelphia"/>
    <x v="9"/>
    <n v="19140"/>
    <x v="3"/>
    <x v="1"/>
    <x v="9"/>
    <n v="20.135999999999999"/>
    <n v="3"/>
    <n v="0.2"/>
    <n v="1.2585"/>
  </r>
  <r>
    <s v="Standard Class"/>
    <x v="1"/>
    <s v="United States"/>
    <s v="Philadelphia"/>
    <x v="9"/>
    <n v="19140"/>
    <x v="3"/>
    <x v="1"/>
    <x v="12"/>
    <n v="8.8559999999999999"/>
    <n v="3"/>
    <n v="0.2"/>
    <n v="2.8782000000000001"/>
  </r>
  <r>
    <s v="Standard Class"/>
    <x v="1"/>
    <s v="United States"/>
    <s v="Philadelphia"/>
    <x v="9"/>
    <n v="19140"/>
    <x v="3"/>
    <x v="2"/>
    <x v="7"/>
    <n v="859.2"/>
    <n v="4"/>
    <n v="0.4"/>
    <n v="-186.16"/>
  </r>
  <r>
    <s v="Same Day"/>
    <x v="0"/>
    <s v="United States"/>
    <s v="Los Angeles"/>
    <x v="1"/>
    <n v="90036"/>
    <x v="1"/>
    <x v="1"/>
    <x v="10"/>
    <n v="61.96"/>
    <n v="2"/>
    <n v="0"/>
    <n v="27.882000000000001"/>
  </r>
  <r>
    <s v="Standard Class"/>
    <x v="0"/>
    <s v="United States"/>
    <s v="Smyrna"/>
    <x v="32"/>
    <n v="30080"/>
    <x v="0"/>
    <x v="1"/>
    <x v="12"/>
    <n v="17.920000000000002"/>
    <n v="4"/>
    <n v="0"/>
    <n v="8.6015999999999995"/>
  </r>
  <r>
    <s v="Standard Class"/>
    <x v="0"/>
    <s v="United States"/>
    <s v="San Francisco"/>
    <x v="1"/>
    <n v="94122"/>
    <x v="1"/>
    <x v="0"/>
    <x v="5"/>
    <n v="145.9"/>
    <n v="5"/>
    <n v="0"/>
    <n v="62.737000000000002"/>
  </r>
  <r>
    <s v="Standard Class"/>
    <x v="0"/>
    <s v="United States"/>
    <s v="Chicago"/>
    <x v="10"/>
    <n v="60653"/>
    <x v="2"/>
    <x v="1"/>
    <x v="10"/>
    <n v="56.704000000000001"/>
    <n v="2"/>
    <n v="0.2"/>
    <n v="19.137599999999999"/>
  </r>
  <r>
    <s v="Standard Class"/>
    <x v="0"/>
    <s v="United States"/>
    <s v="Chicago"/>
    <x v="10"/>
    <n v="60653"/>
    <x v="2"/>
    <x v="2"/>
    <x v="7"/>
    <n v="11.12"/>
    <n v="2"/>
    <n v="0.2"/>
    <n v="3.4750000000000001"/>
  </r>
  <r>
    <s v="Standard Class"/>
    <x v="0"/>
    <s v="United States"/>
    <s v="Medford"/>
    <x v="21"/>
    <n v="97504"/>
    <x v="1"/>
    <x v="1"/>
    <x v="10"/>
    <n v="32.896000000000001"/>
    <n v="4"/>
    <n v="0.2"/>
    <n v="11.102399999999999"/>
  </r>
  <r>
    <s v="Standard Class"/>
    <x v="0"/>
    <s v="United States"/>
    <s v="Medford"/>
    <x v="21"/>
    <n v="97504"/>
    <x v="1"/>
    <x v="1"/>
    <x v="10"/>
    <n v="22.776"/>
    <n v="3"/>
    <n v="0.2"/>
    <n v="7.6868999999999996"/>
  </r>
  <r>
    <s v="First Class"/>
    <x v="0"/>
    <s v="United States"/>
    <s v="New York City"/>
    <x v="15"/>
    <n v="10009"/>
    <x v="3"/>
    <x v="2"/>
    <x v="7"/>
    <n v="239.97"/>
    <n v="3"/>
    <n v="0"/>
    <n v="2.3997000000000002"/>
  </r>
  <r>
    <s v="First Class"/>
    <x v="0"/>
    <s v="United States"/>
    <s v="New York City"/>
    <x v="15"/>
    <n v="10009"/>
    <x v="3"/>
    <x v="1"/>
    <x v="9"/>
    <n v="160.32"/>
    <n v="2"/>
    <n v="0"/>
    <n v="44.889600000000002"/>
  </r>
  <r>
    <s v="First Class"/>
    <x v="0"/>
    <s v="United States"/>
    <s v="New York City"/>
    <x v="15"/>
    <n v="10009"/>
    <x v="3"/>
    <x v="2"/>
    <x v="7"/>
    <n v="128.85"/>
    <n v="3"/>
    <n v="0"/>
    <n v="3.8654999999999999"/>
  </r>
  <r>
    <s v="Second Class"/>
    <x v="1"/>
    <s v="United States"/>
    <s v="Huntsville"/>
    <x v="19"/>
    <n v="35810"/>
    <x v="0"/>
    <x v="2"/>
    <x v="11"/>
    <n v="1319.96"/>
    <n v="4"/>
    <n v="0"/>
    <n v="527.98400000000004"/>
  </r>
  <r>
    <s v="Standard Class"/>
    <x v="1"/>
    <s v="United States"/>
    <s v="Philadelphia"/>
    <x v="9"/>
    <n v="19134"/>
    <x v="3"/>
    <x v="0"/>
    <x v="1"/>
    <n v="239.96"/>
    <n v="10"/>
    <n v="0.3"/>
    <n v="-10.284000000000001"/>
  </r>
  <r>
    <s v="Standard Class"/>
    <x v="1"/>
    <s v="United States"/>
    <s v="Philadelphia"/>
    <x v="9"/>
    <n v="19134"/>
    <x v="3"/>
    <x v="0"/>
    <x v="5"/>
    <n v="54.768000000000001"/>
    <n v="2"/>
    <n v="0.2"/>
    <n v="6.8460000000000001"/>
  </r>
  <r>
    <s v="Standard Class"/>
    <x v="1"/>
    <s v="United States"/>
    <s v="Philadelphia"/>
    <x v="9"/>
    <n v="19134"/>
    <x v="3"/>
    <x v="1"/>
    <x v="6"/>
    <n v="13.391999999999999"/>
    <n v="3"/>
    <n v="0.2"/>
    <n v="3.1806000000000001"/>
  </r>
  <r>
    <s v="Standard Class"/>
    <x v="1"/>
    <s v="United States"/>
    <s v="Philadelphia"/>
    <x v="9"/>
    <n v="19134"/>
    <x v="3"/>
    <x v="1"/>
    <x v="10"/>
    <n v="23.92"/>
    <n v="5"/>
    <n v="0.2"/>
    <n v="8.6709999999999994"/>
  </r>
  <r>
    <s v="Standard Class"/>
    <x v="1"/>
    <s v="United States"/>
    <s v="Philadelphia"/>
    <x v="9"/>
    <n v="19134"/>
    <x v="3"/>
    <x v="2"/>
    <x v="11"/>
    <n v="255.96799999999999"/>
    <n v="4"/>
    <n v="0.2"/>
    <n v="-28.796399999999998"/>
  </r>
  <r>
    <s v="First Class"/>
    <x v="0"/>
    <s v="United States"/>
    <s v="Santa Clara"/>
    <x v="1"/>
    <n v="95051"/>
    <x v="1"/>
    <x v="1"/>
    <x v="8"/>
    <n v="21.552"/>
    <n v="6"/>
    <n v="0.2"/>
    <n v="7.0044000000000004"/>
  </r>
  <r>
    <s v="First Class"/>
    <x v="0"/>
    <s v="United States"/>
    <s v="Santa Clara"/>
    <x v="1"/>
    <n v="95051"/>
    <x v="1"/>
    <x v="1"/>
    <x v="9"/>
    <n v="58.24"/>
    <n v="4"/>
    <n v="0"/>
    <n v="15.7248"/>
  </r>
  <r>
    <s v="First Class"/>
    <x v="2"/>
    <s v="United States"/>
    <s v="Long Beach"/>
    <x v="1"/>
    <n v="90805"/>
    <x v="1"/>
    <x v="1"/>
    <x v="10"/>
    <n v="80.28"/>
    <n v="12"/>
    <n v="0"/>
    <n v="36.928800000000003"/>
  </r>
  <r>
    <s v="Standard Class"/>
    <x v="1"/>
    <s v="United States"/>
    <s v="Los Angeles"/>
    <x v="1"/>
    <n v="90008"/>
    <x v="1"/>
    <x v="1"/>
    <x v="6"/>
    <n v="9.7799999999999994"/>
    <n v="2"/>
    <n v="0"/>
    <n v="4.0098000000000003"/>
  </r>
  <r>
    <s v="Standard Class"/>
    <x v="2"/>
    <s v="United States"/>
    <s v="Santa Barbara"/>
    <x v="1"/>
    <n v="93101"/>
    <x v="1"/>
    <x v="1"/>
    <x v="13"/>
    <n v="1.81"/>
    <n v="1"/>
    <n v="0"/>
    <n v="0.65159999999999996"/>
  </r>
  <r>
    <s v="First Class"/>
    <x v="2"/>
    <s v="United States"/>
    <s v="New York City"/>
    <x v="15"/>
    <n v="10009"/>
    <x v="3"/>
    <x v="1"/>
    <x v="10"/>
    <n v="37.94"/>
    <n v="2"/>
    <n v="0"/>
    <n v="18.211200000000002"/>
  </r>
  <r>
    <s v="Standard Class"/>
    <x v="1"/>
    <s v="United States"/>
    <s v="Jacksonville"/>
    <x v="2"/>
    <n v="32216"/>
    <x v="0"/>
    <x v="2"/>
    <x v="7"/>
    <n v="79.959999999999994"/>
    <n v="5"/>
    <n v="0.2"/>
    <n v="27.986000000000001"/>
  </r>
  <r>
    <s v="Standard Class"/>
    <x v="1"/>
    <s v="United States"/>
    <s v="Cedar Hill"/>
    <x v="5"/>
    <n v="75104"/>
    <x v="2"/>
    <x v="1"/>
    <x v="10"/>
    <n v="115.29600000000001"/>
    <n v="3"/>
    <n v="0.2"/>
    <n v="40.3536"/>
  </r>
  <r>
    <s v="Standard Class"/>
    <x v="0"/>
    <s v="United States"/>
    <s v="Omaha"/>
    <x v="8"/>
    <n v="68104"/>
    <x v="2"/>
    <x v="2"/>
    <x v="7"/>
    <n v="2479.96"/>
    <n v="4"/>
    <n v="0"/>
    <n v="743.98800000000006"/>
  </r>
  <r>
    <s v="First Class"/>
    <x v="0"/>
    <s v="United States"/>
    <s v="Little Rock"/>
    <x v="36"/>
    <n v="72209"/>
    <x v="0"/>
    <x v="2"/>
    <x v="11"/>
    <n v="179.94"/>
    <n v="6"/>
    <n v="0"/>
    <n v="75.574799999999996"/>
  </r>
  <r>
    <s v="First Class"/>
    <x v="0"/>
    <s v="United States"/>
    <s v="Little Rock"/>
    <x v="36"/>
    <n v="72209"/>
    <x v="0"/>
    <x v="2"/>
    <x v="11"/>
    <n v="26.85"/>
    <n v="3"/>
    <n v="0"/>
    <n v="5.1014999999999997"/>
  </r>
  <r>
    <s v="First Class"/>
    <x v="0"/>
    <s v="United States"/>
    <s v="Little Rock"/>
    <x v="36"/>
    <n v="72209"/>
    <x v="0"/>
    <x v="2"/>
    <x v="11"/>
    <n v="323.37"/>
    <n v="3"/>
    <n v="0"/>
    <n v="129.34800000000001"/>
  </r>
  <r>
    <s v="First Class"/>
    <x v="0"/>
    <s v="United States"/>
    <s v="Little Rock"/>
    <x v="36"/>
    <n v="72209"/>
    <x v="0"/>
    <x v="1"/>
    <x v="10"/>
    <n v="59.94"/>
    <n v="3"/>
    <n v="0"/>
    <n v="28.171800000000001"/>
  </r>
  <r>
    <s v="First Class"/>
    <x v="0"/>
    <s v="United States"/>
    <s v="Little Rock"/>
    <x v="36"/>
    <n v="72209"/>
    <x v="0"/>
    <x v="1"/>
    <x v="8"/>
    <n v="64.14"/>
    <n v="3"/>
    <n v="0"/>
    <n v="30.787199999999999"/>
  </r>
  <r>
    <s v="First Class"/>
    <x v="0"/>
    <s v="United States"/>
    <s v="Little Rock"/>
    <x v="36"/>
    <n v="72209"/>
    <x v="0"/>
    <x v="1"/>
    <x v="8"/>
    <n v="11.67"/>
    <n v="3"/>
    <n v="0"/>
    <n v="5.6016000000000004"/>
  </r>
  <r>
    <s v="First Class"/>
    <x v="0"/>
    <s v="United States"/>
    <s v="Little Rock"/>
    <x v="36"/>
    <n v="72209"/>
    <x v="0"/>
    <x v="1"/>
    <x v="10"/>
    <n v="12.96"/>
    <n v="2"/>
    <n v="0"/>
    <n v="6.2207999999999997"/>
  </r>
  <r>
    <s v="Standard Class"/>
    <x v="0"/>
    <s v="United States"/>
    <s v="Norfolk"/>
    <x v="8"/>
    <n v="68701"/>
    <x v="2"/>
    <x v="1"/>
    <x v="8"/>
    <n v="17.43"/>
    <n v="3"/>
    <n v="0"/>
    <n v="8.0177999999999994"/>
  </r>
  <r>
    <s v="Standard Class"/>
    <x v="0"/>
    <s v="United States"/>
    <s v="Chicago"/>
    <x v="10"/>
    <n v="60653"/>
    <x v="2"/>
    <x v="0"/>
    <x v="1"/>
    <n v="181.98599999999999"/>
    <n v="2"/>
    <n v="0.3"/>
    <n v="-54.595799999999997"/>
  </r>
  <r>
    <s v="Standard Class"/>
    <x v="0"/>
    <s v="United States"/>
    <s v="Chicago"/>
    <x v="10"/>
    <n v="60653"/>
    <x v="2"/>
    <x v="1"/>
    <x v="8"/>
    <n v="1.5920000000000001"/>
    <n v="2"/>
    <n v="0.8"/>
    <n v="-2.6267999999999998"/>
  </r>
  <r>
    <s v="Standard Class"/>
    <x v="0"/>
    <s v="United States"/>
    <s v="Chicago"/>
    <x v="10"/>
    <n v="60653"/>
    <x v="2"/>
    <x v="1"/>
    <x v="14"/>
    <n v="22.344000000000001"/>
    <n v="3"/>
    <n v="0.2"/>
    <n v="2.5137"/>
  </r>
  <r>
    <s v="Standard Class"/>
    <x v="1"/>
    <s v="United States"/>
    <s v="Tucson"/>
    <x v="16"/>
    <n v="85705"/>
    <x v="1"/>
    <x v="0"/>
    <x v="3"/>
    <n v="455.97"/>
    <n v="6"/>
    <n v="0.5"/>
    <n v="-218.8656"/>
  </r>
  <r>
    <s v="Standard Class"/>
    <x v="1"/>
    <s v="United States"/>
    <s v="Tucson"/>
    <x v="16"/>
    <n v="85705"/>
    <x v="1"/>
    <x v="1"/>
    <x v="8"/>
    <n v="10.44"/>
    <n v="6"/>
    <n v="0.7"/>
    <n v="-7.6559999999999997"/>
  </r>
  <r>
    <s v="Standard Class"/>
    <x v="1"/>
    <s v="United States"/>
    <s v="Tucson"/>
    <x v="16"/>
    <n v="85705"/>
    <x v="1"/>
    <x v="1"/>
    <x v="8"/>
    <n v="5.2140000000000004"/>
    <n v="2"/>
    <n v="0.7"/>
    <n v="-4.1711999999999998"/>
  </r>
  <r>
    <s v="Standard Class"/>
    <x v="2"/>
    <s v="United States"/>
    <s v="Concord"/>
    <x v="38"/>
    <n v="3301"/>
    <x v="3"/>
    <x v="1"/>
    <x v="4"/>
    <n v="67.400000000000006"/>
    <n v="5"/>
    <n v="0"/>
    <n v="17.524000000000001"/>
  </r>
  <r>
    <s v="First Class"/>
    <x v="0"/>
    <s v="United States"/>
    <s v="Draper"/>
    <x v="7"/>
    <n v="84020"/>
    <x v="1"/>
    <x v="0"/>
    <x v="5"/>
    <n v="25.16"/>
    <n v="2"/>
    <n v="0"/>
    <n v="10.5672"/>
  </r>
  <r>
    <s v="First Class"/>
    <x v="0"/>
    <s v="United States"/>
    <s v="Draper"/>
    <x v="7"/>
    <n v="84020"/>
    <x v="1"/>
    <x v="2"/>
    <x v="7"/>
    <n v="126.56"/>
    <n v="4"/>
    <n v="0.2"/>
    <n v="47.46"/>
  </r>
  <r>
    <s v="First Class"/>
    <x v="0"/>
    <s v="United States"/>
    <s v="San Francisco"/>
    <x v="1"/>
    <n v="94109"/>
    <x v="1"/>
    <x v="1"/>
    <x v="9"/>
    <n v="43.68"/>
    <n v="3"/>
    <n v="0"/>
    <n v="11.7936"/>
  </r>
  <r>
    <s v="First Class"/>
    <x v="0"/>
    <s v="United States"/>
    <s v="San Francisco"/>
    <x v="1"/>
    <n v="94109"/>
    <x v="1"/>
    <x v="2"/>
    <x v="11"/>
    <n v="139.93"/>
    <n v="7"/>
    <n v="0"/>
    <n v="34.982500000000002"/>
  </r>
  <r>
    <s v="Standard Class"/>
    <x v="1"/>
    <s v="United States"/>
    <s v="Houston"/>
    <x v="5"/>
    <n v="77036"/>
    <x v="2"/>
    <x v="1"/>
    <x v="6"/>
    <n v="2.6720000000000002"/>
    <n v="1"/>
    <n v="0.2"/>
    <n v="0.33400000000000002"/>
  </r>
  <r>
    <s v="Standard Class"/>
    <x v="1"/>
    <s v="United States"/>
    <s v="Houston"/>
    <x v="5"/>
    <n v="77036"/>
    <x v="2"/>
    <x v="1"/>
    <x v="14"/>
    <n v="16.655999999999999"/>
    <n v="6"/>
    <n v="0.2"/>
    <n v="-3.1230000000000002"/>
  </r>
  <r>
    <s v="Standard Class"/>
    <x v="1"/>
    <s v="United States"/>
    <s v="Houston"/>
    <x v="5"/>
    <n v="77036"/>
    <x v="2"/>
    <x v="2"/>
    <x v="11"/>
    <n v="79.512"/>
    <n v="3"/>
    <n v="0.2"/>
    <n v="20.8719"/>
  </r>
  <r>
    <s v="Standard Class"/>
    <x v="1"/>
    <s v="United States"/>
    <s v="Houston"/>
    <x v="5"/>
    <n v="77036"/>
    <x v="2"/>
    <x v="1"/>
    <x v="10"/>
    <n v="36.287999999999997"/>
    <n v="7"/>
    <n v="0.2"/>
    <n v="12.700799999999999"/>
  </r>
  <r>
    <s v="Standard Class"/>
    <x v="1"/>
    <s v="United States"/>
    <s v="Houston"/>
    <x v="5"/>
    <n v="77036"/>
    <x v="2"/>
    <x v="0"/>
    <x v="0"/>
    <n v="67.993200000000002"/>
    <n v="1"/>
    <n v="0.32"/>
    <n v="-12.998699999999999"/>
  </r>
  <r>
    <s v="Second Class"/>
    <x v="1"/>
    <s v="United States"/>
    <s v="Montgomery"/>
    <x v="19"/>
    <n v="36116"/>
    <x v="0"/>
    <x v="0"/>
    <x v="5"/>
    <n v="10.16"/>
    <n v="2"/>
    <n v="0"/>
    <n v="3.4544000000000001"/>
  </r>
  <r>
    <s v="Standard Class"/>
    <x v="1"/>
    <s v="United States"/>
    <s v="Jackson"/>
    <x v="35"/>
    <n v="39212"/>
    <x v="0"/>
    <x v="0"/>
    <x v="5"/>
    <n v="6.16"/>
    <n v="2"/>
    <n v="0"/>
    <n v="1.9712000000000001"/>
  </r>
  <r>
    <s v="Standard Class"/>
    <x v="1"/>
    <s v="United States"/>
    <s v="Jackson"/>
    <x v="35"/>
    <n v="39212"/>
    <x v="0"/>
    <x v="1"/>
    <x v="6"/>
    <n v="56.3"/>
    <n v="2"/>
    <n v="0"/>
    <n v="15.763999999999999"/>
  </r>
  <r>
    <s v="Standard Class"/>
    <x v="0"/>
    <s v="United States"/>
    <s v="North Las Vegas"/>
    <x v="33"/>
    <n v="89031"/>
    <x v="1"/>
    <x v="1"/>
    <x v="10"/>
    <n v="6.48"/>
    <n v="1"/>
    <n v="0"/>
    <n v="3.1103999999999998"/>
  </r>
  <r>
    <s v="Standard Class"/>
    <x v="0"/>
    <s v="United States"/>
    <s v="North Las Vegas"/>
    <x v="33"/>
    <n v="89031"/>
    <x v="1"/>
    <x v="1"/>
    <x v="4"/>
    <n v="1325.85"/>
    <n v="5"/>
    <n v="0"/>
    <n v="238.65299999999999"/>
  </r>
  <r>
    <s v="Standard Class"/>
    <x v="0"/>
    <s v="United States"/>
    <s v="North Las Vegas"/>
    <x v="33"/>
    <n v="89031"/>
    <x v="1"/>
    <x v="1"/>
    <x v="2"/>
    <n v="14.94"/>
    <n v="3"/>
    <n v="0"/>
    <n v="6.8723999999999998"/>
  </r>
  <r>
    <s v="Second Class"/>
    <x v="1"/>
    <s v="United States"/>
    <s v="Atlanta"/>
    <x v="32"/>
    <n v="30318"/>
    <x v="0"/>
    <x v="1"/>
    <x v="8"/>
    <n v="34.54"/>
    <n v="1"/>
    <n v="0"/>
    <n v="17.27"/>
  </r>
  <r>
    <s v="Second Class"/>
    <x v="1"/>
    <s v="United States"/>
    <s v="Atlanta"/>
    <x v="32"/>
    <n v="30318"/>
    <x v="0"/>
    <x v="2"/>
    <x v="16"/>
    <n v="2999.95"/>
    <n v="5"/>
    <n v="0"/>
    <n v="1439.9760000000001"/>
  </r>
  <r>
    <s v="Second Class"/>
    <x v="1"/>
    <s v="United States"/>
    <s v="Atlanta"/>
    <x v="32"/>
    <n v="30318"/>
    <x v="0"/>
    <x v="1"/>
    <x v="8"/>
    <n v="64.12"/>
    <n v="4"/>
    <n v="0"/>
    <n v="30.7776"/>
  </r>
  <r>
    <s v="Same Day"/>
    <x v="2"/>
    <s v="United States"/>
    <s v="Chicago"/>
    <x v="10"/>
    <n v="60610"/>
    <x v="2"/>
    <x v="1"/>
    <x v="6"/>
    <n v="19.456"/>
    <n v="4"/>
    <n v="0.2"/>
    <n v="2.1888000000000001"/>
  </r>
  <r>
    <s v="Same Day"/>
    <x v="2"/>
    <s v="United States"/>
    <s v="Chicago"/>
    <x v="10"/>
    <n v="60610"/>
    <x v="2"/>
    <x v="2"/>
    <x v="15"/>
    <n v="209.98599999999999"/>
    <n v="2"/>
    <n v="0.3"/>
    <n v="8.9993999999999996"/>
  </r>
  <r>
    <s v="Same Day"/>
    <x v="2"/>
    <s v="United States"/>
    <s v="Chicago"/>
    <x v="10"/>
    <n v="60610"/>
    <x v="2"/>
    <x v="1"/>
    <x v="6"/>
    <n v="29.76"/>
    <n v="5"/>
    <n v="0.2"/>
    <n v="1.86"/>
  </r>
  <r>
    <s v="Same Day"/>
    <x v="2"/>
    <s v="United States"/>
    <s v="Chicago"/>
    <x v="10"/>
    <n v="60610"/>
    <x v="2"/>
    <x v="0"/>
    <x v="1"/>
    <n v="89.768000000000001"/>
    <n v="1"/>
    <n v="0.3"/>
    <n v="-2.5648"/>
  </r>
  <r>
    <s v="Same Day"/>
    <x v="2"/>
    <s v="United States"/>
    <s v="Chicago"/>
    <x v="10"/>
    <n v="60610"/>
    <x v="2"/>
    <x v="2"/>
    <x v="16"/>
    <n v="959.98400000000004"/>
    <n v="2"/>
    <n v="0.2"/>
    <n v="335.99439999999998"/>
  </r>
  <r>
    <s v="Same Day"/>
    <x v="2"/>
    <s v="United States"/>
    <s v="Chicago"/>
    <x v="10"/>
    <n v="60610"/>
    <x v="2"/>
    <x v="1"/>
    <x v="10"/>
    <n v="15.552"/>
    <n v="3"/>
    <n v="0.2"/>
    <n v="5.6375999999999999"/>
  </r>
  <r>
    <s v="Same Day"/>
    <x v="2"/>
    <s v="United States"/>
    <s v="Chicago"/>
    <x v="10"/>
    <n v="60610"/>
    <x v="2"/>
    <x v="2"/>
    <x v="7"/>
    <n v="34.36"/>
    <n v="1"/>
    <n v="0.2"/>
    <n v="-7.3014999999999999"/>
  </r>
  <r>
    <s v="Standard Class"/>
    <x v="1"/>
    <s v="United States"/>
    <s v="Columbus"/>
    <x v="24"/>
    <n v="43229"/>
    <x v="3"/>
    <x v="1"/>
    <x v="10"/>
    <n v="98.376000000000005"/>
    <n v="3"/>
    <n v="0.2"/>
    <n v="35.661299999999997"/>
  </r>
  <r>
    <s v="Standard Class"/>
    <x v="1"/>
    <s v="United States"/>
    <s v="Columbus"/>
    <x v="24"/>
    <n v="43229"/>
    <x v="3"/>
    <x v="1"/>
    <x v="8"/>
    <n v="29.94"/>
    <n v="4"/>
    <n v="0.7"/>
    <n v="-23.952000000000002"/>
  </r>
  <r>
    <s v="Standard Class"/>
    <x v="1"/>
    <s v="United States"/>
    <s v="Columbus"/>
    <x v="24"/>
    <n v="43229"/>
    <x v="3"/>
    <x v="1"/>
    <x v="10"/>
    <n v="17.472000000000001"/>
    <n v="3"/>
    <n v="0.2"/>
    <n v="5.6783999999999999"/>
  </r>
  <r>
    <s v="Standard Class"/>
    <x v="1"/>
    <s v="United States"/>
    <s v="Columbus"/>
    <x v="24"/>
    <n v="43229"/>
    <x v="3"/>
    <x v="2"/>
    <x v="7"/>
    <n v="36.738"/>
    <n v="1"/>
    <n v="0.4"/>
    <n v="-9.1844999999999999"/>
  </r>
  <r>
    <s v="Standard Class"/>
    <x v="1"/>
    <s v="United States"/>
    <s v="Columbus"/>
    <x v="24"/>
    <n v="43229"/>
    <x v="3"/>
    <x v="2"/>
    <x v="7"/>
    <n v="179.94"/>
    <n v="2"/>
    <n v="0.4"/>
    <n v="-44.984999999999999"/>
  </r>
  <r>
    <s v="Standard Class"/>
    <x v="0"/>
    <s v="United States"/>
    <s v="Pasadena"/>
    <x v="1"/>
    <n v="91104"/>
    <x v="1"/>
    <x v="0"/>
    <x v="5"/>
    <n v="383.64"/>
    <n v="6"/>
    <n v="0"/>
    <n v="122.76479999999999"/>
  </r>
  <r>
    <s v="Standard Class"/>
    <x v="0"/>
    <s v="United States"/>
    <s v="Pasadena"/>
    <x v="1"/>
    <n v="91104"/>
    <x v="1"/>
    <x v="1"/>
    <x v="9"/>
    <n v="56.52"/>
    <n v="3"/>
    <n v="0"/>
    <n v="15.8256"/>
  </r>
  <r>
    <s v="Second Class"/>
    <x v="0"/>
    <s v="United States"/>
    <s v="Los Angeles"/>
    <x v="1"/>
    <n v="90004"/>
    <x v="1"/>
    <x v="1"/>
    <x v="6"/>
    <n v="6.56"/>
    <n v="2"/>
    <n v="0"/>
    <n v="1.9024000000000001"/>
  </r>
  <r>
    <s v="Second Class"/>
    <x v="0"/>
    <s v="United States"/>
    <s v="Los Angeles"/>
    <x v="1"/>
    <n v="90004"/>
    <x v="1"/>
    <x v="0"/>
    <x v="1"/>
    <n v="243.92"/>
    <n v="5"/>
    <n v="0.2"/>
    <n v="-15.244999999999999"/>
  </r>
  <r>
    <s v="Second Class"/>
    <x v="0"/>
    <s v="United States"/>
    <s v="Los Angeles"/>
    <x v="1"/>
    <n v="90004"/>
    <x v="1"/>
    <x v="1"/>
    <x v="10"/>
    <n v="47.52"/>
    <n v="9"/>
    <n v="0"/>
    <n v="22.8096"/>
  </r>
  <r>
    <s v="Standard Class"/>
    <x v="2"/>
    <s v="United States"/>
    <s v="Clinton"/>
    <x v="39"/>
    <n v="20735"/>
    <x v="3"/>
    <x v="0"/>
    <x v="5"/>
    <n v="19.98"/>
    <n v="1"/>
    <n v="0"/>
    <n v="8.5914000000000001"/>
  </r>
  <r>
    <s v="Standard Class"/>
    <x v="2"/>
    <s v="United States"/>
    <s v="New York City"/>
    <x v="15"/>
    <n v="10024"/>
    <x v="3"/>
    <x v="1"/>
    <x v="6"/>
    <n v="8"/>
    <n v="5"/>
    <n v="0"/>
    <n v="3.44"/>
  </r>
  <r>
    <s v="Second Class"/>
    <x v="0"/>
    <s v="United States"/>
    <s v="San Diego"/>
    <x v="1"/>
    <n v="92037"/>
    <x v="1"/>
    <x v="0"/>
    <x v="5"/>
    <n v="6.16"/>
    <n v="2"/>
    <n v="0"/>
    <n v="1.9712000000000001"/>
  </r>
  <r>
    <s v="Standard Class"/>
    <x v="2"/>
    <s v="United States"/>
    <s v="New York City"/>
    <x v="15"/>
    <n v="10011"/>
    <x v="3"/>
    <x v="1"/>
    <x v="4"/>
    <n v="83.56"/>
    <n v="4"/>
    <n v="0"/>
    <n v="1.6712"/>
  </r>
  <r>
    <s v="Standard Class"/>
    <x v="2"/>
    <s v="United States"/>
    <s v="New York City"/>
    <x v="15"/>
    <n v="10011"/>
    <x v="3"/>
    <x v="2"/>
    <x v="7"/>
    <n v="546.05999999999995"/>
    <n v="3"/>
    <n v="0"/>
    <n v="163.81800000000001"/>
  </r>
  <r>
    <s v="Standard Class"/>
    <x v="2"/>
    <s v="United States"/>
    <s v="New York City"/>
    <x v="15"/>
    <n v="10011"/>
    <x v="3"/>
    <x v="1"/>
    <x v="4"/>
    <n v="269.49"/>
    <n v="3"/>
    <n v="0"/>
    <n v="5.3898000000000001"/>
  </r>
  <r>
    <s v="First Class"/>
    <x v="0"/>
    <s v="United States"/>
    <s v="Lancaster"/>
    <x v="1"/>
    <n v="93534"/>
    <x v="1"/>
    <x v="1"/>
    <x v="13"/>
    <n v="10.9"/>
    <n v="5"/>
    <n v="0"/>
    <n v="3.597"/>
  </r>
  <r>
    <s v="Standard Class"/>
    <x v="2"/>
    <s v="United States"/>
    <s v="Great Falls"/>
    <x v="37"/>
    <n v="59405"/>
    <x v="1"/>
    <x v="1"/>
    <x v="8"/>
    <n v="6.0960000000000001"/>
    <n v="2"/>
    <n v="0.2"/>
    <n v="2.2098"/>
  </r>
  <r>
    <s v="Second Class"/>
    <x v="0"/>
    <s v="United States"/>
    <s v="San Francisco"/>
    <x v="1"/>
    <n v="94110"/>
    <x v="1"/>
    <x v="1"/>
    <x v="4"/>
    <n v="34.049999999999997"/>
    <n v="3"/>
    <n v="0"/>
    <n v="9.5340000000000007"/>
  </r>
  <r>
    <s v="Second Class"/>
    <x v="0"/>
    <s v="United States"/>
    <s v="San Francisco"/>
    <x v="1"/>
    <n v="94110"/>
    <x v="1"/>
    <x v="1"/>
    <x v="4"/>
    <n v="352.38"/>
    <n v="2"/>
    <n v="0"/>
    <n v="81.047399999999996"/>
  </r>
  <r>
    <s v="Second Class"/>
    <x v="1"/>
    <s v="United States"/>
    <s v="Lakewood"/>
    <x v="30"/>
    <n v="8701"/>
    <x v="3"/>
    <x v="0"/>
    <x v="1"/>
    <n v="245.98"/>
    <n v="2"/>
    <n v="0"/>
    <n v="27.0578"/>
  </r>
  <r>
    <s v="Second Class"/>
    <x v="1"/>
    <s v="United States"/>
    <s v="Lakewood"/>
    <x v="30"/>
    <n v="8701"/>
    <x v="3"/>
    <x v="1"/>
    <x v="8"/>
    <n v="18.940000000000001"/>
    <n v="1"/>
    <n v="0"/>
    <n v="9.4700000000000006"/>
  </r>
  <r>
    <s v="Standard Class"/>
    <x v="0"/>
    <s v="United States"/>
    <s v="Cleveland"/>
    <x v="24"/>
    <n v="44105"/>
    <x v="3"/>
    <x v="1"/>
    <x v="8"/>
    <n v="59.912999999999997"/>
    <n v="7"/>
    <n v="0.7"/>
    <n v="-45.933300000000003"/>
  </r>
  <r>
    <s v="Same Day"/>
    <x v="1"/>
    <s v="United States"/>
    <s v="Lawrence"/>
    <x v="31"/>
    <n v="1841"/>
    <x v="3"/>
    <x v="2"/>
    <x v="7"/>
    <n v="391.98"/>
    <n v="2"/>
    <n v="0"/>
    <n v="109.7544"/>
  </r>
  <r>
    <s v="Same Day"/>
    <x v="1"/>
    <s v="United States"/>
    <s v="Lawrence"/>
    <x v="31"/>
    <n v="1841"/>
    <x v="3"/>
    <x v="2"/>
    <x v="7"/>
    <n v="437.85"/>
    <n v="3"/>
    <n v="0"/>
    <n v="131.35499999999999"/>
  </r>
  <r>
    <s v="Standard Class"/>
    <x v="0"/>
    <s v="United States"/>
    <s v="Concord"/>
    <x v="38"/>
    <n v="3301"/>
    <x v="3"/>
    <x v="1"/>
    <x v="8"/>
    <n v="68.62"/>
    <n v="2"/>
    <n v="0"/>
    <n v="32.251399999999997"/>
  </r>
  <r>
    <s v="Standard Class"/>
    <x v="0"/>
    <s v="United States"/>
    <s v="Baltimore"/>
    <x v="39"/>
    <n v="21215"/>
    <x v="3"/>
    <x v="1"/>
    <x v="14"/>
    <n v="25.02"/>
    <n v="3"/>
    <n v="0"/>
    <n v="6.5052000000000003"/>
  </r>
  <r>
    <s v="Standard Class"/>
    <x v="0"/>
    <s v="United States"/>
    <s v="Baltimore"/>
    <x v="39"/>
    <n v="21215"/>
    <x v="3"/>
    <x v="1"/>
    <x v="6"/>
    <n v="10.71"/>
    <n v="3"/>
    <n v="0"/>
    <n v="2.7846000000000002"/>
  </r>
  <r>
    <s v="Same Day"/>
    <x v="0"/>
    <s v="United States"/>
    <s v="Columbus"/>
    <x v="24"/>
    <n v="43229"/>
    <x v="3"/>
    <x v="1"/>
    <x v="6"/>
    <n v="55.984000000000002"/>
    <n v="2"/>
    <n v="0.2"/>
    <n v="4.1988000000000003"/>
  </r>
  <r>
    <s v="Same Day"/>
    <x v="0"/>
    <s v="United States"/>
    <s v="Columbus"/>
    <x v="24"/>
    <n v="43229"/>
    <x v="3"/>
    <x v="1"/>
    <x v="12"/>
    <n v="14.48"/>
    <n v="5"/>
    <n v="0.2"/>
    <n v="4.8869999999999996"/>
  </r>
  <r>
    <s v="Same Day"/>
    <x v="0"/>
    <s v="United States"/>
    <s v="Columbus"/>
    <x v="24"/>
    <n v="43229"/>
    <x v="3"/>
    <x v="2"/>
    <x v="11"/>
    <n v="142.488"/>
    <n v="3"/>
    <n v="0.2"/>
    <n v="-3.5621999999999998"/>
  </r>
  <r>
    <s v="Second Class"/>
    <x v="1"/>
    <s v="United States"/>
    <s v="Houston"/>
    <x v="5"/>
    <n v="77041"/>
    <x v="2"/>
    <x v="1"/>
    <x v="4"/>
    <n v="14.16"/>
    <n v="1"/>
    <n v="0.2"/>
    <n v="1.0620000000000001"/>
  </r>
  <r>
    <s v="Second Class"/>
    <x v="1"/>
    <s v="United States"/>
    <s v="Houston"/>
    <x v="5"/>
    <n v="77041"/>
    <x v="2"/>
    <x v="1"/>
    <x v="10"/>
    <n v="79.92"/>
    <n v="5"/>
    <n v="0.2"/>
    <n v="27.972000000000001"/>
  </r>
  <r>
    <s v="Standard Class"/>
    <x v="1"/>
    <s v="United States"/>
    <s v="New York City"/>
    <x v="15"/>
    <n v="10011"/>
    <x v="3"/>
    <x v="1"/>
    <x v="8"/>
    <n v="590.35199999999998"/>
    <n v="6"/>
    <n v="0.2"/>
    <n v="206.6232"/>
  </r>
  <r>
    <s v="Standard Class"/>
    <x v="1"/>
    <s v="United States"/>
    <s v="Greensboro"/>
    <x v="3"/>
    <n v="27405"/>
    <x v="0"/>
    <x v="0"/>
    <x v="5"/>
    <n v="17.088000000000001"/>
    <n v="2"/>
    <n v="0.2"/>
    <n v="1.0680000000000001"/>
  </r>
  <r>
    <s v="Standard Class"/>
    <x v="1"/>
    <s v="United States"/>
    <s v="Greensboro"/>
    <x v="3"/>
    <n v="27405"/>
    <x v="0"/>
    <x v="0"/>
    <x v="1"/>
    <n v="98.391999999999996"/>
    <n v="1"/>
    <n v="0.2"/>
    <n v="-11.069100000000001"/>
  </r>
  <r>
    <s v="Standard Class"/>
    <x v="0"/>
    <s v="United States"/>
    <s v="New York City"/>
    <x v="15"/>
    <n v="10024"/>
    <x v="3"/>
    <x v="1"/>
    <x v="6"/>
    <n v="11.05"/>
    <n v="5"/>
    <n v="0"/>
    <n v="2.9834999999999998"/>
  </r>
  <r>
    <s v="Standard Class"/>
    <x v="0"/>
    <s v="United States"/>
    <s v="San Francisco"/>
    <x v="1"/>
    <n v="94109"/>
    <x v="1"/>
    <x v="1"/>
    <x v="9"/>
    <n v="7.78"/>
    <n v="2"/>
    <n v="0"/>
    <n v="2.0228000000000002"/>
  </r>
  <r>
    <s v="Standard Class"/>
    <x v="0"/>
    <s v="United States"/>
    <s v="Monroe"/>
    <x v="28"/>
    <n v="71203"/>
    <x v="0"/>
    <x v="2"/>
    <x v="11"/>
    <n v="659.9"/>
    <n v="2"/>
    <n v="0"/>
    <n v="217.767"/>
  </r>
  <r>
    <s v="First Class"/>
    <x v="0"/>
    <s v="United States"/>
    <s v="Cincinnati"/>
    <x v="24"/>
    <n v="45231"/>
    <x v="3"/>
    <x v="2"/>
    <x v="11"/>
    <n v="53.04"/>
    <n v="3"/>
    <n v="0.2"/>
    <n v="-4.641"/>
  </r>
  <r>
    <s v="Standard Class"/>
    <x v="1"/>
    <s v="United States"/>
    <s v="Seattle"/>
    <x v="4"/>
    <n v="98105"/>
    <x v="1"/>
    <x v="2"/>
    <x v="11"/>
    <n v="843.9"/>
    <n v="2"/>
    <n v="0"/>
    <n v="371.31599999999997"/>
  </r>
  <r>
    <s v="Standard Class"/>
    <x v="1"/>
    <s v="United States"/>
    <s v="Seattle"/>
    <x v="4"/>
    <n v="98105"/>
    <x v="1"/>
    <x v="2"/>
    <x v="11"/>
    <n v="1496.16"/>
    <n v="9"/>
    <n v="0"/>
    <n v="224.42400000000001"/>
  </r>
  <r>
    <s v="Standard Class"/>
    <x v="0"/>
    <s v="United States"/>
    <s v="New York City"/>
    <x v="15"/>
    <n v="10011"/>
    <x v="3"/>
    <x v="1"/>
    <x v="4"/>
    <n v="117.96"/>
    <n v="2"/>
    <n v="0"/>
    <n v="5.8979999999999997"/>
  </r>
  <r>
    <s v="Standard Class"/>
    <x v="1"/>
    <s v="United States"/>
    <s v="New York City"/>
    <x v="15"/>
    <n v="10035"/>
    <x v="3"/>
    <x v="1"/>
    <x v="6"/>
    <n v="21.3"/>
    <n v="5"/>
    <n v="0"/>
    <n v="8.7330000000000005"/>
  </r>
  <r>
    <s v="Standard Class"/>
    <x v="1"/>
    <s v="United States"/>
    <s v="New York City"/>
    <x v="15"/>
    <n v="10035"/>
    <x v="3"/>
    <x v="1"/>
    <x v="9"/>
    <n v="1040.8"/>
    <n v="5"/>
    <n v="0"/>
    <n v="281.01600000000002"/>
  </r>
  <r>
    <s v="Standard Class"/>
    <x v="1"/>
    <s v="United States"/>
    <s v="New York City"/>
    <x v="15"/>
    <n v="10035"/>
    <x v="3"/>
    <x v="1"/>
    <x v="6"/>
    <n v="29.34"/>
    <n v="6"/>
    <n v="0"/>
    <n v="7.9218000000000002"/>
  </r>
  <r>
    <s v="Standard Class"/>
    <x v="1"/>
    <s v="United States"/>
    <s v="Memphis"/>
    <x v="18"/>
    <n v="38109"/>
    <x v="0"/>
    <x v="0"/>
    <x v="5"/>
    <n v="19.52"/>
    <n v="2"/>
    <n v="0.2"/>
    <n v="5.3680000000000003"/>
  </r>
  <r>
    <s v="First Class"/>
    <x v="0"/>
    <s v="United States"/>
    <s v="San Diego"/>
    <x v="1"/>
    <n v="92105"/>
    <x v="1"/>
    <x v="1"/>
    <x v="4"/>
    <n v="443.92"/>
    <n v="4"/>
    <n v="0"/>
    <n v="8.8783999999999992"/>
  </r>
  <r>
    <s v="Standard Class"/>
    <x v="1"/>
    <s v="United States"/>
    <s v="La Crosse"/>
    <x v="6"/>
    <n v="54601"/>
    <x v="2"/>
    <x v="2"/>
    <x v="11"/>
    <n v="499.95"/>
    <n v="5"/>
    <n v="0"/>
    <n v="174.98249999999999"/>
  </r>
  <r>
    <s v="Standard Class"/>
    <x v="1"/>
    <s v="United States"/>
    <s v="La Crosse"/>
    <x v="6"/>
    <n v="54601"/>
    <x v="2"/>
    <x v="1"/>
    <x v="6"/>
    <n v="3.04"/>
    <n v="1"/>
    <n v="0"/>
    <n v="1.0336000000000001"/>
  </r>
  <r>
    <s v="Standard Class"/>
    <x v="1"/>
    <s v="United States"/>
    <s v="La Crosse"/>
    <x v="6"/>
    <n v="54601"/>
    <x v="2"/>
    <x v="0"/>
    <x v="1"/>
    <n v="201.96"/>
    <n v="2"/>
    <n v="0"/>
    <n v="50.49"/>
  </r>
  <r>
    <s v="Standard Class"/>
    <x v="1"/>
    <s v="United States"/>
    <s v="La Crosse"/>
    <x v="6"/>
    <n v="54601"/>
    <x v="2"/>
    <x v="0"/>
    <x v="5"/>
    <n v="68.64"/>
    <n v="11"/>
    <n v="0"/>
    <n v="17.16"/>
  </r>
  <r>
    <s v="Second Class"/>
    <x v="1"/>
    <s v="United States"/>
    <s v="Los Angeles"/>
    <x v="1"/>
    <n v="90032"/>
    <x v="1"/>
    <x v="2"/>
    <x v="11"/>
    <n v="100"/>
    <n v="4"/>
    <n v="0"/>
    <n v="21"/>
  </r>
  <r>
    <s v="Second Class"/>
    <x v="1"/>
    <s v="United States"/>
    <s v="Los Angeles"/>
    <x v="1"/>
    <n v="90032"/>
    <x v="1"/>
    <x v="2"/>
    <x v="11"/>
    <n v="359.98"/>
    <n v="2"/>
    <n v="0"/>
    <n v="21.598800000000001"/>
  </r>
  <r>
    <s v="Second Class"/>
    <x v="2"/>
    <s v="United States"/>
    <s v="Seattle"/>
    <x v="4"/>
    <n v="98115"/>
    <x v="1"/>
    <x v="0"/>
    <x v="5"/>
    <n v="6.16"/>
    <n v="2"/>
    <n v="0"/>
    <n v="2.9567999999999999"/>
  </r>
  <r>
    <s v="Second Class"/>
    <x v="2"/>
    <s v="United States"/>
    <s v="Seattle"/>
    <x v="4"/>
    <n v="98115"/>
    <x v="1"/>
    <x v="0"/>
    <x v="3"/>
    <n v="2348.8200000000002"/>
    <n v="9"/>
    <n v="0"/>
    <n v="399.29939999999999"/>
  </r>
  <r>
    <s v="Standard Class"/>
    <x v="1"/>
    <s v="United States"/>
    <s v="Miami"/>
    <x v="2"/>
    <n v="33180"/>
    <x v="0"/>
    <x v="1"/>
    <x v="2"/>
    <n v="13.872"/>
    <n v="6"/>
    <n v="0.2"/>
    <n v="4.6818"/>
  </r>
  <r>
    <s v="Standard Class"/>
    <x v="1"/>
    <s v="United States"/>
    <s v="Miami"/>
    <x v="2"/>
    <n v="33180"/>
    <x v="0"/>
    <x v="0"/>
    <x v="1"/>
    <n v="273.55200000000002"/>
    <n v="3"/>
    <n v="0.2"/>
    <n v="-13.6776"/>
  </r>
  <r>
    <s v="Second Class"/>
    <x v="2"/>
    <s v="United States"/>
    <s v="Philadelphia"/>
    <x v="9"/>
    <n v="19143"/>
    <x v="3"/>
    <x v="0"/>
    <x v="3"/>
    <n v="815.29200000000003"/>
    <n v="9"/>
    <n v="0.4"/>
    <n v="-339.70499999999998"/>
  </r>
  <r>
    <s v="Standard Class"/>
    <x v="0"/>
    <s v="United States"/>
    <s v="Chesapeake"/>
    <x v="17"/>
    <n v="23320"/>
    <x v="0"/>
    <x v="2"/>
    <x v="11"/>
    <n v="234.45"/>
    <n v="3"/>
    <n v="0"/>
    <n v="103.158"/>
  </r>
  <r>
    <s v="Standard Class"/>
    <x v="0"/>
    <s v="United States"/>
    <s v="Chesapeake"/>
    <x v="17"/>
    <n v="23320"/>
    <x v="0"/>
    <x v="0"/>
    <x v="3"/>
    <n v="1256.22"/>
    <n v="6"/>
    <n v="0"/>
    <n v="75.373199999999997"/>
  </r>
  <r>
    <s v="Standard Class"/>
    <x v="0"/>
    <s v="United States"/>
    <s v="Chesapeake"/>
    <x v="17"/>
    <n v="23320"/>
    <x v="0"/>
    <x v="1"/>
    <x v="8"/>
    <n v="17.46"/>
    <n v="2"/>
    <n v="0"/>
    <n v="8.2062000000000008"/>
  </r>
  <r>
    <s v="Second Class"/>
    <x v="2"/>
    <s v="United States"/>
    <s v="New York City"/>
    <x v="15"/>
    <n v="10009"/>
    <x v="3"/>
    <x v="1"/>
    <x v="8"/>
    <n v="10.528"/>
    <n v="7"/>
    <n v="0.2"/>
    <n v="3.6848000000000001"/>
  </r>
  <r>
    <s v="First Class"/>
    <x v="2"/>
    <s v="United States"/>
    <s v="Ann Arbor"/>
    <x v="12"/>
    <n v="48104"/>
    <x v="2"/>
    <x v="1"/>
    <x v="8"/>
    <n v="152.80000000000001"/>
    <n v="5"/>
    <n v="0"/>
    <n v="76.400000000000006"/>
  </r>
  <r>
    <s v="Standard Class"/>
    <x v="2"/>
    <s v="United States"/>
    <s v="La Mesa"/>
    <x v="1"/>
    <n v="91941"/>
    <x v="1"/>
    <x v="1"/>
    <x v="8"/>
    <n v="82.56"/>
    <n v="5"/>
    <n v="0.2"/>
    <n v="28.896000000000001"/>
  </r>
  <r>
    <s v="Standard Class"/>
    <x v="2"/>
    <s v="United States"/>
    <s v="La Mesa"/>
    <x v="1"/>
    <n v="91941"/>
    <x v="1"/>
    <x v="2"/>
    <x v="11"/>
    <n v="284.97000000000003"/>
    <n v="3"/>
    <n v="0"/>
    <n v="85.491"/>
  </r>
  <r>
    <s v="Standard Class"/>
    <x v="1"/>
    <s v="United States"/>
    <s v="Dearborn"/>
    <x v="12"/>
    <n v="48126"/>
    <x v="2"/>
    <x v="0"/>
    <x v="5"/>
    <n v="60.84"/>
    <n v="3"/>
    <n v="0"/>
    <n v="23.119199999999999"/>
  </r>
  <r>
    <s v="Standard Class"/>
    <x v="0"/>
    <s v="United States"/>
    <s v="San Diego"/>
    <x v="1"/>
    <n v="92024"/>
    <x v="1"/>
    <x v="0"/>
    <x v="1"/>
    <n v="1325.76"/>
    <n v="6"/>
    <n v="0.2"/>
    <n v="149.148"/>
  </r>
  <r>
    <s v="Standard Class"/>
    <x v="0"/>
    <s v="United States"/>
    <s v="San Diego"/>
    <x v="1"/>
    <n v="92024"/>
    <x v="1"/>
    <x v="0"/>
    <x v="1"/>
    <n v="572.16"/>
    <n v="3"/>
    <n v="0.2"/>
    <n v="35.76"/>
  </r>
  <r>
    <s v="Standard Class"/>
    <x v="2"/>
    <s v="United States"/>
    <s v="Lakewood"/>
    <x v="24"/>
    <n v="44107"/>
    <x v="3"/>
    <x v="1"/>
    <x v="10"/>
    <n v="28.8"/>
    <n v="9"/>
    <n v="0.2"/>
    <n v="10.08"/>
  </r>
  <r>
    <s v="First Class"/>
    <x v="2"/>
    <s v="United States"/>
    <s v="Meriden"/>
    <x v="29"/>
    <n v="6450"/>
    <x v="3"/>
    <x v="1"/>
    <x v="6"/>
    <n v="11.12"/>
    <n v="4"/>
    <n v="0"/>
    <n v="2.8912"/>
  </r>
  <r>
    <s v="Second Class"/>
    <x v="2"/>
    <s v="United States"/>
    <s v="Columbus"/>
    <x v="32"/>
    <n v="31907"/>
    <x v="0"/>
    <x v="0"/>
    <x v="5"/>
    <n v="7.04"/>
    <n v="4"/>
    <n v="0"/>
    <n v="3.0975999999999999"/>
  </r>
  <r>
    <s v="Second Class"/>
    <x v="1"/>
    <s v="United States"/>
    <s v="Roswell"/>
    <x v="32"/>
    <n v="30076"/>
    <x v="0"/>
    <x v="1"/>
    <x v="12"/>
    <n v="17.940000000000001"/>
    <n v="3"/>
    <n v="0"/>
    <n v="8.7905999999999995"/>
  </r>
  <r>
    <s v="First Class"/>
    <x v="2"/>
    <s v="United States"/>
    <s v="Seattle"/>
    <x v="4"/>
    <n v="98105"/>
    <x v="1"/>
    <x v="1"/>
    <x v="8"/>
    <n v="34.76"/>
    <n v="5"/>
    <n v="0.2"/>
    <n v="11.297000000000001"/>
  </r>
  <r>
    <s v="Standard Class"/>
    <x v="1"/>
    <s v="United States"/>
    <s v="Morristown"/>
    <x v="30"/>
    <n v="7960"/>
    <x v="3"/>
    <x v="0"/>
    <x v="5"/>
    <n v="74.45"/>
    <n v="5"/>
    <n v="0"/>
    <n v="20.101500000000001"/>
  </r>
  <r>
    <s v="Standard Class"/>
    <x v="1"/>
    <s v="United States"/>
    <s v="Alexandria"/>
    <x v="17"/>
    <n v="22304"/>
    <x v="0"/>
    <x v="0"/>
    <x v="5"/>
    <n v="192.22"/>
    <n v="14"/>
    <n v="0"/>
    <n v="69.199200000000005"/>
  </r>
  <r>
    <s v="Standard Class"/>
    <x v="0"/>
    <s v="United States"/>
    <s v="Salt Lake City"/>
    <x v="7"/>
    <n v="84106"/>
    <x v="1"/>
    <x v="1"/>
    <x v="10"/>
    <n v="19.440000000000001"/>
    <n v="3"/>
    <n v="0"/>
    <n v="9.3312000000000008"/>
  </r>
  <r>
    <s v="Second Class"/>
    <x v="1"/>
    <s v="United States"/>
    <s v="Apple Valley"/>
    <x v="1"/>
    <n v="92307"/>
    <x v="1"/>
    <x v="1"/>
    <x v="10"/>
    <n v="32.4"/>
    <n v="5"/>
    <n v="0"/>
    <n v="15.552"/>
  </r>
  <r>
    <s v="Second Class"/>
    <x v="1"/>
    <s v="United States"/>
    <s v="Apple Valley"/>
    <x v="1"/>
    <n v="92307"/>
    <x v="1"/>
    <x v="1"/>
    <x v="12"/>
    <n v="57.9"/>
    <n v="5"/>
    <n v="0"/>
    <n v="28.95"/>
  </r>
  <r>
    <s v="Second Class"/>
    <x v="1"/>
    <s v="United States"/>
    <s v="Apple Valley"/>
    <x v="1"/>
    <n v="92307"/>
    <x v="1"/>
    <x v="1"/>
    <x v="4"/>
    <n v="10.56"/>
    <n v="2"/>
    <n v="0"/>
    <n v="0"/>
  </r>
  <r>
    <s v="Second Class"/>
    <x v="1"/>
    <s v="United States"/>
    <s v="Apple Valley"/>
    <x v="1"/>
    <n v="92307"/>
    <x v="1"/>
    <x v="0"/>
    <x v="0"/>
    <n v="1194.165"/>
    <n v="5"/>
    <n v="0.15"/>
    <n v="210.73500000000001"/>
  </r>
  <r>
    <s v="Standard Class"/>
    <x v="1"/>
    <s v="United States"/>
    <s v="New York City"/>
    <x v="15"/>
    <n v="10009"/>
    <x v="3"/>
    <x v="1"/>
    <x v="10"/>
    <n v="40.99"/>
    <n v="1"/>
    <n v="0"/>
    <n v="20.085100000000001"/>
  </r>
  <r>
    <s v="Standard Class"/>
    <x v="1"/>
    <s v="United States"/>
    <s v="Long Beach"/>
    <x v="1"/>
    <n v="90805"/>
    <x v="1"/>
    <x v="1"/>
    <x v="6"/>
    <n v="2.94"/>
    <n v="1"/>
    <n v="0"/>
    <n v="0.79379999999999995"/>
  </r>
  <r>
    <s v="First Class"/>
    <x v="2"/>
    <s v="United States"/>
    <s v="Salem"/>
    <x v="21"/>
    <n v="97301"/>
    <x v="1"/>
    <x v="1"/>
    <x v="8"/>
    <n v="45.24"/>
    <n v="4"/>
    <n v="0.7"/>
    <n v="-30.16"/>
  </r>
  <r>
    <s v="First Class"/>
    <x v="2"/>
    <s v="United States"/>
    <s v="Salem"/>
    <x v="21"/>
    <n v="97301"/>
    <x v="1"/>
    <x v="1"/>
    <x v="6"/>
    <n v="18.687999999999999"/>
    <n v="4"/>
    <n v="0.2"/>
    <n v="2.3359999999999999"/>
  </r>
  <r>
    <s v="First Class"/>
    <x v="2"/>
    <s v="United States"/>
    <s v="Salem"/>
    <x v="21"/>
    <n v="97301"/>
    <x v="1"/>
    <x v="1"/>
    <x v="10"/>
    <n v="11.648"/>
    <n v="2"/>
    <n v="0.2"/>
    <n v="3.7856000000000001"/>
  </r>
  <r>
    <s v="First Class"/>
    <x v="2"/>
    <s v="United States"/>
    <s v="Salem"/>
    <x v="21"/>
    <n v="97301"/>
    <x v="1"/>
    <x v="2"/>
    <x v="11"/>
    <n v="112.776"/>
    <n v="3"/>
    <n v="0.2"/>
    <n v="-8.4581999999999997"/>
  </r>
  <r>
    <s v="First Class"/>
    <x v="2"/>
    <s v="United States"/>
    <s v="Salem"/>
    <x v="21"/>
    <n v="97301"/>
    <x v="1"/>
    <x v="0"/>
    <x v="3"/>
    <n v="377.45"/>
    <n v="5"/>
    <n v="0.5"/>
    <n v="-264.21499999999997"/>
  </r>
  <r>
    <s v="First Class"/>
    <x v="2"/>
    <s v="United States"/>
    <s v="Salem"/>
    <x v="21"/>
    <n v="97301"/>
    <x v="1"/>
    <x v="1"/>
    <x v="2"/>
    <n v="15.936"/>
    <n v="4"/>
    <n v="0.2"/>
    <n v="5.1791999999999998"/>
  </r>
  <r>
    <s v="First Class"/>
    <x v="2"/>
    <s v="United States"/>
    <s v="Salem"/>
    <x v="21"/>
    <n v="97301"/>
    <x v="1"/>
    <x v="2"/>
    <x v="7"/>
    <n v="28.68"/>
    <n v="3"/>
    <n v="0.2"/>
    <n v="-7.17"/>
  </r>
  <r>
    <s v="Standard Class"/>
    <x v="2"/>
    <s v="United States"/>
    <s v="Aurora"/>
    <x v="22"/>
    <n v="80013"/>
    <x v="1"/>
    <x v="0"/>
    <x v="5"/>
    <n v="21.44"/>
    <n v="2"/>
    <n v="0.2"/>
    <n v="7.5039999999999996"/>
  </r>
  <r>
    <s v="Standard Class"/>
    <x v="2"/>
    <s v="United States"/>
    <s v="Aurora"/>
    <x v="22"/>
    <n v="80013"/>
    <x v="1"/>
    <x v="1"/>
    <x v="4"/>
    <n v="511.05599999999998"/>
    <n v="9"/>
    <n v="0.2"/>
    <n v="-95.822999999999993"/>
  </r>
  <r>
    <s v="Same Day"/>
    <x v="1"/>
    <s v="United States"/>
    <s v="Newark"/>
    <x v="24"/>
    <n v="43055"/>
    <x v="3"/>
    <x v="1"/>
    <x v="6"/>
    <n v="18.655999999999999"/>
    <n v="2"/>
    <n v="0.2"/>
    <n v="1.3992"/>
  </r>
  <r>
    <s v="Same Day"/>
    <x v="1"/>
    <s v="United States"/>
    <s v="Newark"/>
    <x v="24"/>
    <n v="43055"/>
    <x v="3"/>
    <x v="1"/>
    <x v="8"/>
    <n v="11.087999999999999"/>
    <n v="7"/>
    <n v="0.7"/>
    <n v="-8.1311999999999998"/>
  </r>
  <r>
    <s v="Same Day"/>
    <x v="1"/>
    <s v="United States"/>
    <s v="Newark"/>
    <x v="24"/>
    <n v="43055"/>
    <x v="3"/>
    <x v="1"/>
    <x v="4"/>
    <n v="66.688000000000002"/>
    <n v="1"/>
    <n v="0.2"/>
    <n v="4.1680000000000001"/>
  </r>
  <r>
    <s v="Same Day"/>
    <x v="1"/>
    <s v="United States"/>
    <s v="Newark"/>
    <x v="24"/>
    <n v="43055"/>
    <x v="3"/>
    <x v="1"/>
    <x v="4"/>
    <n v="99.488"/>
    <n v="2"/>
    <n v="0.2"/>
    <n v="8.7051999999999996"/>
  </r>
  <r>
    <s v="Standard Class"/>
    <x v="0"/>
    <s v="United States"/>
    <s v="Seattle"/>
    <x v="4"/>
    <n v="98103"/>
    <x v="1"/>
    <x v="1"/>
    <x v="2"/>
    <n v="14.62"/>
    <n v="2"/>
    <n v="0"/>
    <n v="6.8714000000000004"/>
  </r>
  <r>
    <s v="Standard Class"/>
    <x v="0"/>
    <s v="United States"/>
    <s v="Seattle"/>
    <x v="4"/>
    <n v="98103"/>
    <x v="1"/>
    <x v="1"/>
    <x v="8"/>
    <n v="53.984000000000002"/>
    <n v="14"/>
    <n v="0.2"/>
    <n v="17.544799999999999"/>
  </r>
  <r>
    <s v="Standard Class"/>
    <x v="0"/>
    <s v="United States"/>
    <s v="Seattle"/>
    <x v="4"/>
    <n v="98103"/>
    <x v="1"/>
    <x v="2"/>
    <x v="11"/>
    <n v="389.97"/>
    <n v="3"/>
    <n v="0"/>
    <n v="132.5898"/>
  </r>
  <r>
    <s v="Second Class"/>
    <x v="0"/>
    <s v="United States"/>
    <s v="Pocatello"/>
    <x v="45"/>
    <n v="83201"/>
    <x v="1"/>
    <x v="0"/>
    <x v="5"/>
    <n v="355.36"/>
    <n v="4"/>
    <n v="0"/>
    <n v="92.393600000000006"/>
  </r>
  <r>
    <s v="Second Class"/>
    <x v="0"/>
    <s v="United States"/>
    <s v="Pocatello"/>
    <x v="45"/>
    <n v="83201"/>
    <x v="1"/>
    <x v="2"/>
    <x v="7"/>
    <n v="140.376"/>
    <n v="3"/>
    <n v="0.2"/>
    <n v="8.7735000000000003"/>
  </r>
  <r>
    <s v="Standard Class"/>
    <x v="1"/>
    <s v="United States"/>
    <s v="Dallas"/>
    <x v="5"/>
    <n v="75081"/>
    <x v="2"/>
    <x v="1"/>
    <x v="12"/>
    <n v="15.84"/>
    <n v="2"/>
    <n v="0.2"/>
    <n v="5.5439999999999996"/>
  </r>
  <r>
    <s v="Standard Class"/>
    <x v="1"/>
    <s v="United States"/>
    <s v="Dallas"/>
    <x v="5"/>
    <n v="75081"/>
    <x v="2"/>
    <x v="1"/>
    <x v="10"/>
    <n v="8.4480000000000004"/>
    <n v="2"/>
    <n v="0.2"/>
    <n v="2.64"/>
  </r>
  <r>
    <s v="Standard Class"/>
    <x v="0"/>
    <s v="United States"/>
    <s v="Seattle"/>
    <x v="4"/>
    <n v="98105"/>
    <x v="1"/>
    <x v="1"/>
    <x v="10"/>
    <n v="12.96"/>
    <n v="2"/>
    <n v="0"/>
    <n v="6.2207999999999997"/>
  </r>
  <r>
    <s v="Standard Class"/>
    <x v="1"/>
    <s v="United States"/>
    <s v="Seattle"/>
    <x v="4"/>
    <n v="98115"/>
    <x v="1"/>
    <x v="2"/>
    <x v="7"/>
    <n v="57.408000000000001"/>
    <n v="6"/>
    <n v="0.2"/>
    <n v="5.7408000000000001"/>
  </r>
  <r>
    <s v="Standard Class"/>
    <x v="1"/>
    <s v="United States"/>
    <s v="Seattle"/>
    <x v="4"/>
    <n v="98115"/>
    <x v="1"/>
    <x v="2"/>
    <x v="11"/>
    <n v="27.6"/>
    <n v="4"/>
    <n v="0"/>
    <n v="2.2080000000000002"/>
  </r>
  <r>
    <s v="Standard Class"/>
    <x v="0"/>
    <s v="United States"/>
    <s v="Chicago"/>
    <x v="10"/>
    <n v="60610"/>
    <x v="2"/>
    <x v="0"/>
    <x v="5"/>
    <n v="38.975999999999999"/>
    <n v="3"/>
    <n v="0.6"/>
    <n v="-50.668799999999997"/>
  </r>
  <r>
    <s v="Standard Class"/>
    <x v="2"/>
    <s v="United States"/>
    <s v="Holland"/>
    <x v="12"/>
    <n v="49423"/>
    <x v="2"/>
    <x v="1"/>
    <x v="13"/>
    <n v="20.440000000000001"/>
    <n v="7"/>
    <n v="0"/>
    <n v="9.1980000000000004"/>
  </r>
  <r>
    <s v="Standard Class"/>
    <x v="2"/>
    <s v="United States"/>
    <s v="Holland"/>
    <x v="12"/>
    <n v="49423"/>
    <x v="2"/>
    <x v="1"/>
    <x v="10"/>
    <n v="109.92"/>
    <n v="2"/>
    <n v="0"/>
    <n v="53.860799999999998"/>
  </r>
  <r>
    <s v="Standard Class"/>
    <x v="0"/>
    <s v="United States"/>
    <s v="Broken Arrow"/>
    <x v="26"/>
    <n v="74012"/>
    <x v="2"/>
    <x v="1"/>
    <x v="8"/>
    <n v="6.38"/>
    <n v="1"/>
    <n v="0"/>
    <n v="2.9348000000000001"/>
  </r>
  <r>
    <s v="Standard Class"/>
    <x v="0"/>
    <s v="United States"/>
    <s v="Broken Arrow"/>
    <x v="26"/>
    <n v="74012"/>
    <x v="2"/>
    <x v="1"/>
    <x v="10"/>
    <n v="6.48"/>
    <n v="1"/>
    <n v="0"/>
    <n v="3.1103999999999998"/>
  </r>
  <r>
    <s v="Standard Class"/>
    <x v="0"/>
    <s v="United States"/>
    <s v="Athens"/>
    <x v="32"/>
    <n v="30605"/>
    <x v="0"/>
    <x v="1"/>
    <x v="10"/>
    <n v="15.84"/>
    <n v="3"/>
    <n v="0"/>
    <n v="7.1280000000000001"/>
  </r>
  <r>
    <s v="Standard Class"/>
    <x v="0"/>
    <s v="United States"/>
    <s v="Athens"/>
    <x v="32"/>
    <n v="30605"/>
    <x v="0"/>
    <x v="2"/>
    <x v="7"/>
    <n v="1049.93"/>
    <n v="7"/>
    <n v="0"/>
    <n v="293.98039999999997"/>
  </r>
  <r>
    <s v="Standard Class"/>
    <x v="0"/>
    <s v="United States"/>
    <s v="Athens"/>
    <x v="32"/>
    <n v="30605"/>
    <x v="0"/>
    <x v="1"/>
    <x v="9"/>
    <n v="154.9"/>
    <n v="5"/>
    <n v="0"/>
    <n v="40.274000000000001"/>
  </r>
  <r>
    <s v="Same Day"/>
    <x v="0"/>
    <s v="United States"/>
    <s v="Seattle"/>
    <x v="4"/>
    <n v="98105"/>
    <x v="1"/>
    <x v="1"/>
    <x v="8"/>
    <n v="98.352000000000004"/>
    <n v="3"/>
    <n v="0.2"/>
    <n v="35.6526"/>
  </r>
  <r>
    <s v="Same Day"/>
    <x v="0"/>
    <s v="United States"/>
    <s v="Apopka"/>
    <x v="2"/>
    <n v="32712"/>
    <x v="0"/>
    <x v="1"/>
    <x v="13"/>
    <n v="14.32"/>
    <n v="5"/>
    <n v="0.2"/>
    <n v="5.1909999999999998"/>
  </r>
  <r>
    <s v="Same Day"/>
    <x v="0"/>
    <s v="United States"/>
    <s v="Apopka"/>
    <x v="2"/>
    <n v="32712"/>
    <x v="0"/>
    <x v="0"/>
    <x v="5"/>
    <n v="129.88800000000001"/>
    <n v="6"/>
    <n v="0.2"/>
    <n v="12.988799999999999"/>
  </r>
  <r>
    <s v="Same Day"/>
    <x v="0"/>
    <s v="United States"/>
    <s v="Apopka"/>
    <x v="2"/>
    <n v="32712"/>
    <x v="0"/>
    <x v="1"/>
    <x v="12"/>
    <n v="48.944000000000003"/>
    <n v="7"/>
    <n v="0.2"/>
    <n v="16.518599999999999"/>
  </r>
  <r>
    <s v="Standard Class"/>
    <x v="2"/>
    <s v="United States"/>
    <s v="Houston"/>
    <x v="5"/>
    <n v="77070"/>
    <x v="2"/>
    <x v="0"/>
    <x v="1"/>
    <n v="275.05799999999999"/>
    <n v="3"/>
    <n v="0.3"/>
    <n v="-90.376199999999997"/>
  </r>
  <r>
    <s v="Standard Class"/>
    <x v="1"/>
    <s v="United States"/>
    <s v="Baltimore"/>
    <x v="39"/>
    <n v="21215"/>
    <x v="3"/>
    <x v="1"/>
    <x v="6"/>
    <n v="27.36"/>
    <n v="9"/>
    <n v="0"/>
    <n v="9.3024000000000004"/>
  </r>
  <r>
    <s v="Standard Class"/>
    <x v="1"/>
    <s v="United States"/>
    <s v="Baltimore"/>
    <x v="39"/>
    <n v="21215"/>
    <x v="3"/>
    <x v="1"/>
    <x v="10"/>
    <n v="44.75"/>
    <n v="5"/>
    <n v="0"/>
    <n v="20.585000000000001"/>
  </r>
  <r>
    <s v="Standard Class"/>
    <x v="1"/>
    <s v="United States"/>
    <s v="Baltimore"/>
    <x v="39"/>
    <n v="21215"/>
    <x v="3"/>
    <x v="2"/>
    <x v="7"/>
    <n v="134.99"/>
    <n v="1"/>
    <n v="0"/>
    <n v="36.447299999999998"/>
  </r>
  <r>
    <s v="Standard Class"/>
    <x v="1"/>
    <s v="United States"/>
    <s v="Baltimore"/>
    <x v="39"/>
    <n v="21215"/>
    <x v="3"/>
    <x v="1"/>
    <x v="10"/>
    <n v="26.4"/>
    <n v="5"/>
    <n v="0"/>
    <n v="12.672000000000001"/>
  </r>
  <r>
    <s v="Standard Class"/>
    <x v="1"/>
    <s v="United States"/>
    <s v="Baltimore"/>
    <x v="39"/>
    <n v="21215"/>
    <x v="3"/>
    <x v="0"/>
    <x v="1"/>
    <n v="542.94000000000005"/>
    <n v="3"/>
    <n v="0"/>
    <n v="141.1644"/>
  </r>
  <r>
    <s v="Second Class"/>
    <x v="0"/>
    <s v="United States"/>
    <s v="San Francisco"/>
    <x v="1"/>
    <n v="94109"/>
    <x v="1"/>
    <x v="0"/>
    <x v="3"/>
    <n v="71.087999999999994"/>
    <n v="2"/>
    <n v="0.2"/>
    <n v="-1.7771999999999999"/>
  </r>
  <r>
    <s v="Standard Class"/>
    <x v="2"/>
    <s v="United States"/>
    <s v="Chicago"/>
    <x v="10"/>
    <n v="60623"/>
    <x v="2"/>
    <x v="1"/>
    <x v="8"/>
    <n v="27.396000000000001"/>
    <n v="9"/>
    <n v="0.8"/>
    <n v="-42.463799999999999"/>
  </r>
  <r>
    <s v="Standard Class"/>
    <x v="2"/>
    <s v="United States"/>
    <s v="Chicago"/>
    <x v="10"/>
    <n v="60623"/>
    <x v="2"/>
    <x v="1"/>
    <x v="8"/>
    <n v="13.456"/>
    <n v="1"/>
    <n v="0.8"/>
    <n v="-23.547999999999998"/>
  </r>
  <r>
    <s v="Same Day"/>
    <x v="0"/>
    <s v="United States"/>
    <s v="Laredo"/>
    <x v="5"/>
    <n v="78041"/>
    <x v="2"/>
    <x v="1"/>
    <x v="2"/>
    <n v="11.84"/>
    <n v="1"/>
    <n v="0.2"/>
    <n v="4.4400000000000004"/>
  </r>
  <r>
    <s v="Standard Class"/>
    <x v="0"/>
    <s v="United States"/>
    <s v="San Francisco"/>
    <x v="1"/>
    <n v="94109"/>
    <x v="1"/>
    <x v="1"/>
    <x v="10"/>
    <n v="35.880000000000003"/>
    <n v="6"/>
    <n v="0"/>
    <n v="17.581199999999999"/>
  </r>
  <r>
    <s v="First Class"/>
    <x v="2"/>
    <s v="United States"/>
    <s v="Cleveland"/>
    <x v="24"/>
    <n v="44105"/>
    <x v="3"/>
    <x v="1"/>
    <x v="12"/>
    <n v="40.752000000000002"/>
    <n v="3"/>
    <n v="0.2"/>
    <n v="15.282"/>
  </r>
  <r>
    <s v="First Class"/>
    <x v="2"/>
    <s v="United States"/>
    <s v="Cleveland"/>
    <x v="24"/>
    <n v="44105"/>
    <x v="3"/>
    <x v="2"/>
    <x v="11"/>
    <n v="139.96"/>
    <n v="5"/>
    <n v="0.2"/>
    <n v="-22.743500000000001"/>
  </r>
  <r>
    <s v="Standard Class"/>
    <x v="0"/>
    <s v="United States"/>
    <s v="Marion"/>
    <x v="24"/>
    <n v="43302"/>
    <x v="3"/>
    <x v="1"/>
    <x v="6"/>
    <n v="2.6240000000000001"/>
    <n v="1"/>
    <n v="0.2"/>
    <n v="0.29520000000000002"/>
  </r>
  <r>
    <s v="Standard Class"/>
    <x v="0"/>
    <s v="United States"/>
    <s v="Marion"/>
    <x v="24"/>
    <n v="43302"/>
    <x v="3"/>
    <x v="0"/>
    <x v="3"/>
    <n v="136.53"/>
    <n v="1"/>
    <n v="0.4"/>
    <n v="-52.336500000000001"/>
  </r>
  <r>
    <s v="Standard Class"/>
    <x v="0"/>
    <s v="United States"/>
    <s v="Marion"/>
    <x v="24"/>
    <n v="43302"/>
    <x v="3"/>
    <x v="2"/>
    <x v="11"/>
    <n v="263.95999999999998"/>
    <n v="1"/>
    <n v="0.2"/>
    <n v="42.893500000000003"/>
  </r>
  <r>
    <s v="Standard Class"/>
    <x v="0"/>
    <s v="United States"/>
    <s v="Fairfield"/>
    <x v="29"/>
    <n v="6824"/>
    <x v="3"/>
    <x v="1"/>
    <x v="14"/>
    <n v="11.64"/>
    <n v="3"/>
    <n v="0"/>
    <n v="3.3755999999999999"/>
  </r>
  <r>
    <s v="Second Class"/>
    <x v="1"/>
    <s v="United States"/>
    <s v="New York City"/>
    <x v="15"/>
    <n v="10009"/>
    <x v="3"/>
    <x v="1"/>
    <x v="8"/>
    <n v="40.176000000000002"/>
    <n v="3"/>
    <n v="0.2"/>
    <n v="14.563800000000001"/>
  </r>
  <r>
    <s v="Standard Class"/>
    <x v="0"/>
    <s v="United States"/>
    <s v="New York City"/>
    <x v="15"/>
    <n v="10024"/>
    <x v="3"/>
    <x v="0"/>
    <x v="5"/>
    <n v="79.44"/>
    <n v="3"/>
    <n v="0"/>
    <n v="30.187200000000001"/>
  </r>
  <r>
    <s v="Standard Class"/>
    <x v="0"/>
    <s v="United States"/>
    <s v="New York City"/>
    <x v="15"/>
    <n v="10024"/>
    <x v="3"/>
    <x v="1"/>
    <x v="14"/>
    <n v="357.93"/>
    <n v="3"/>
    <n v="0"/>
    <n v="7.1585999999999999"/>
  </r>
  <r>
    <s v="Standard Class"/>
    <x v="0"/>
    <s v="United States"/>
    <s v="New York City"/>
    <x v="15"/>
    <n v="10024"/>
    <x v="3"/>
    <x v="0"/>
    <x v="1"/>
    <n v="127.764"/>
    <n v="2"/>
    <n v="0.1"/>
    <n v="21.294"/>
  </r>
  <r>
    <s v="Standard Class"/>
    <x v="0"/>
    <s v="United States"/>
    <s v="New York City"/>
    <x v="15"/>
    <n v="10024"/>
    <x v="3"/>
    <x v="2"/>
    <x v="16"/>
    <n v="2799.944"/>
    <n v="7"/>
    <n v="0.2"/>
    <n v="1014.9797"/>
  </r>
  <r>
    <s v="Standard Class"/>
    <x v="0"/>
    <s v="United States"/>
    <s v="New York City"/>
    <x v="15"/>
    <n v="10024"/>
    <x v="3"/>
    <x v="1"/>
    <x v="10"/>
    <n v="19.440000000000001"/>
    <n v="3"/>
    <n v="0"/>
    <n v="9.3312000000000008"/>
  </r>
  <r>
    <s v="Same Day"/>
    <x v="0"/>
    <s v="United States"/>
    <s v="Chicago"/>
    <x v="10"/>
    <n v="60653"/>
    <x v="2"/>
    <x v="2"/>
    <x v="7"/>
    <n v="36.792000000000002"/>
    <n v="1"/>
    <n v="0.2"/>
    <n v="4.1391"/>
  </r>
  <r>
    <s v="Standard Class"/>
    <x v="2"/>
    <s v="United States"/>
    <s v="New York City"/>
    <x v="15"/>
    <n v="10035"/>
    <x v="3"/>
    <x v="2"/>
    <x v="7"/>
    <n v="5.94"/>
    <n v="3"/>
    <n v="0"/>
    <n v="1.6037999999999999"/>
  </r>
  <r>
    <s v="Standard Class"/>
    <x v="0"/>
    <s v="United States"/>
    <s v="Richmond"/>
    <x v="17"/>
    <n v="23223"/>
    <x v="0"/>
    <x v="1"/>
    <x v="4"/>
    <n v="177.55"/>
    <n v="5"/>
    <n v="0"/>
    <n v="47.938499999999998"/>
  </r>
  <r>
    <s v="Second Class"/>
    <x v="1"/>
    <s v="United States"/>
    <s v="Ann Arbor"/>
    <x v="12"/>
    <n v="48104"/>
    <x v="2"/>
    <x v="2"/>
    <x v="11"/>
    <n v="619.95000000000005"/>
    <n v="5"/>
    <n v="0"/>
    <n v="111.59099999999999"/>
  </r>
  <r>
    <s v="Second Class"/>
    <x v="1"/>
    <s v="United States"/>
    <s v="Ann Arbor"/>
    <x v="12"/>
    <n v="48104"/>
    <x v="2"/>
    <x v="2"/>
    <x v="7"/>
    <n v="29.16"/>
    <n v="3"/>
    <n v="0"/>
    <n v="8.4564000000000004"/>
  </r>
  <r>
    <s v="Second Class"/>
    <x v="1"/>
    <s v="United States"/>
    <s v="Ann Arbor"/>
    <x v="12"/>
    <n v="48104"/>
    <x v="2"/>
    <x v="1"/>
    <x v="12"/>
    <n v="57.96"/>
    <n v="7"/>
    <n v="0"/>
    <n v="27.241199999999999"/>
  </r>
  <r>
    <s v="Second Class"/>
    <x v="1"/>
    <s v="United States"/>
    <s v="Ann Arbor"/>
    <x v="12"/>
    <n v="48104"/>
    <x v="2"/>
    <x v="1"/>
    <x v="9"/>
    <n v="29.402999999999999"/>
    <n v="3"/>
    <n v="0.1"/>
    <n v="5.2271999999999998"/>
  </r>
  <r>
    <s v="Second Class"/>
    <x v="0"/>
    <s v="United States"/>
    <s v="Lafayette"/>
    <x v="14"/>
    <n v="47905"/>
    <x v="2"/>
    <x v="1"/>
    <x v="4"/>
    <n v="81.400000000000006"/>
    <n v="5"/>
    <n v="0"/>
    <n v="21.164000000000001"/>
  </r>
  <r>
    <s v="First Class"/>
    <x v="1"/>
    <s v="United States"/>
    <s v="Springfield"/>
    <x v="21"/>
    <n v="97477"/>
    <x v="1"/>
    <x v="1"/>
    <x v="13"/>
    <n v="8.7200000000000006"/>
    <n v="5"/>
    <n v="0.2"/>
    <n v="2.2890000000000001"/>
  </r>
  <r>
    <s v="First Class"/>
    <x v="1"/>
    <s v="United States"/>
    <s v="Springfield"/>
    <x v="21"/>
    <n v="97477"/>
    <x v="1"/>
    <x v="2"/>
    <x v="11"/>
    <n v="91.176000000000002"/>
    <n v="3"/>
    <n v="0.2"/>
    <n v="4.5587999999999997"/>
  </r>
  <r>
    <s v="First Class"/>
    <x v="1"/>
    <s v="United States"/>
    <s v="Springfield"/>
    <x v="21"/>
    <n v="97477"/>
    <x v="1"/>
    <x v="2"/>
    <x v="11"/>
    <n v="159.96799999999999"/>
    <n v="4"/>
    <n v="0.2"/>
    <n v="29.994"/>
  </r>
  <r>
    <s v="Standard Class"/>
    <x v="1"/>
    <s v="United States"/>
    <s v="San Francisco"/>
    <x v="1"/>
    <n v="94109"/>
    <x v="1"/>
    <x v="1"/>
    <x v="10"/>
    <n v="12.96"/>
    <n v="2"/>
    <n v="0"/>
    <n v="6.2207999999999997"/>
  </r>
  <r>
    <s v="Standard Class"/>
    <x v="1"/>
    <s v="United States"/>
    <s v="Chicago"/>
    <x v="10"/>
    <n v="60653"/>
    <x v="2"/>
    <x v="1"/>
    <x v="4"/>
    <n v="331.536"/>
    <n v="3"/>
    <n v="0.2"/>
    <n v="-82.884"/>
  </r>
  <r>
    <s v="First Class"/>
    <x v="1"/>
    <s v="United States"/>
    <s v="New York City"/>
    <x v="15"/>
    <n v="10011"/>
    <x v="3"/>
    <x v="2"/>
    <x v="11"/>
    <n v="899.91"/>
    <n v="9"/>
    <n v="0"/>
    <n v="395.96039999999999"/>
  </r>
  <r>
    <s v="Standard Class"/>
    <x v="1"/>
    <s v="United States"/>
    <s v="Houston"/>
    <x v="5"/>
    <n v="77095"/>
    <x v="2"/>
    <x v="2"/>
    <x v="7"/>
    <n v="946.34400000000005"/>
    <n v="7"/>
    <n v="0.2"/>
    <n v="118.29300000000001"/>
  </r>
  <r>
    <s v="Standard Class"/>
    <x v="0"/>
    <s v="United States"/>
    <s v="Madison"/>
    <x v="6"/>
    <n v="53711"/>
    <x v="2"/>
    <x v="2"/>
    <x v="11"/>
    <n v="178.11"/>
    <n v="3"/>
    <n v="0"/>
    <n v="32.059800000000003"/>
  </r>
  <r>
    <s v="Standard Class"/>
    <x v="0"/>
    <s v="United States"/>
    <s v="Madison"/>
    <x v="6"/>
    <n v="53711"/>
    <x v="2"/>
    <x v="1"/>
    <x v="9"/>
    <n v="1089.75"/>
    <n v="3"/>
    <n v="0"/>
    <n v="305.13"/>
  </r>
  <r>
    <s v="Standard Class"/>
    <x v="0"/>
    <s v="United States"/>
    <s v="Madison"/>
    <x v="6"/>
    <n v="53711"/>
    <x v="2"/>
    <x v="1"/>
    <x v="2"/>
    <n v="61.06"/>
    <n v="2"/>
    <n v="0"/>
    <n v="28.087599999999998"/>
  </r>
  <r>
    <s v="Standard Class"/>
    <x v="0"/>
    <s v="United States"/>
    <s v="Madison"/>
    <x v="6"/>
    <n v="53711"/>
    <x v="2"/>
    <x v="0"/>
    <x v="0"/>
    <n v="459.92"/>
    <n v="4"/>
    <n v="0"/>
    <n v="41.392800000000001"/>
  </r>
  <r>
    <s v="Standard Class"/>
    <x v="0"/>
    <s v="United States"/>
    <s v="Madison"/>
    <x v="6"/>
    <n v="53711"/>
    <x v="2"/>
    <x v="1"/>
    <x v="10"/>
    <n v="27.52"/>
    <n v="4"/>
    <n v="0"/>
    <n v="12.6592"/>
  </r>
  <r>
    <s v="First Class"/>
    <x v="1"/>
    <s v="United States"/>
    <s v="Milford"/>
    <x v="29"/>
    <n v="6460"/>
    <x v="3"/>
    <x v="0"/>
    <x v="0"/>
    <n v="638.82000000000005"/>
    <n v="9"/>
    <n v="0"/>
    <n v="185.2578"/>
  </r>
  <r>
    <s v="First Class"/>
    <x v="1"/>
    <s v="United States"/>
    <s v="Milford"/>
    <x v="29"/>
    <n v="6460"/>
    <x v="3"/>
    <x v="1"/>
    <x v="14"/>
    <n v="30.69"/>
    <n v="3"/>
    <n v="0"/>
    <n v="7.9794"/>
  </r>
  <r>
    <s v="First Class"/>
    <x v="1"/>
    <s v="United States"/>
    <s v="Milford"/>
    <x v="29"/>
    <n v="6460"/>
    <x v="3"/>
    <x v="0"/>
    <x v="5"/>
    <n v="25.16"/>
    <n v="2"/>
    <n v="0"/>
    <n v="8.5543999999999993"/>
  </r>
  <r>
    <s v="Standard Class"/>
    <x v="0"/>
    <s v="United States"/>
    <s v="New York City"/>
    <x v="15"/>
    <n v="10024"/>
    <x v="3"/>
    <x v="1"/>
    <x v="8"/>
    <n v="13.92"/>
    <n v="3"/>
    <n v="0.2"/>
    <n v="4.8719999999999999"/>
  </r>
  <r>
    <s v="Standard Class"/>
    <x v="0"/>
    <s v="United States"/>
    <s v="Los Angeles"/>
    <x v="1"/>
    <n v="90049"/>
    <x v="1"/>
    <x v="1"/>
    <x v="10"/>
    <n v="19.36"/>
    <n v="2"/>
    <n v="0"/>
    <n v="9.2927999999999997"/>
  </r>
  <r>
    <s v="Standard Class"/>
    <x v="0"/>
    <s v="United States"/>
    <s v="Los Angeles"/>
    <x v="1"/>
    <n v="90049"/>
    <x v="1"/>
    <x v="0"/>
    <x v="5"/>
    <n v="19.3"/>
    <n v="2"/>
    <n v="0"/>
    <n v="5.79"/>
  </r>
  <r>
    <s v="Standard Class"/>
    <x v="0"/>
    <s v="United States"/>
    <s v="San Francisco"/>
    <x v="1"/>
    <n v="94109"/>
    <x v="1"/>
    <x v="1"/>
    <x v="8"/>
    <n v="38.375999999999998"/>
    <n v="3"/>
    <n v="0.2"/>
    <n v="13.4316"/>
  </r>
  <r>
    <s v="First Class"/>
    <x v="1"/>
    <s v="United States"/>
    <s v="Fairfield"/>
    <x v="1"/>
    <n v="94533"/>
    <x v="1"/>
    <x v="1"/>
    <x v="10"/>
    <n v="12.96"/>
    <n v="2"/>
    <n v="0"/>
    <n v="6.3503999999999996"/>
  </r>
  <r>
    <s v="First Class"/>
    <x v="1"/>
    <s v="United States"/>
    <s v="Fairfield"/>
    <x v="1"/>
    <n v="94533"/>
    <x v="1"/>
    <x v="0"/>
    <x v="5"/>
    <n v="26.48"/>
    <n v="1"/>
    <n v="0"/>
    <n v="10.0624"/>
  </r>
  <r>
    <s v="First Class"/>
    <x v="1"/>
    <s v="United States"/>
    <s v="Fairfield"/>
    <x v="1"/>
    <n v="94533"/>
    <x v="1"/>
    <x v="2"/>
    <x v="15"/>
    <n v="532.72"/>
    <n v="2"/>
    <n v="0.2"/>
    <n v="53.271999999999998"/>
  </r>
  <r>
    <s v="First Class"/>
    <x v="1"/>
    <s v="United States"/>
    <s v="Fairfield"/>
    <x v="1"/>
    <n v="94533"/>
    <x v="1"/>
    <x v="1"/>
    <x v="10"/>
    <n v="26.72"/>
    <n v="4"/>
    <n v="0"/>
    <n v="12.8256"/>
  </r>
  <r>
    <s v="First Class"/>
    <x v="1"/>
    <s v="United States"/>
    <s v="Fairfield"/>
    <x v="1"/>
    <n v="94533"/>
    <x v="1"/>
    <x v="1"/>
    <x v="10"/>
    <n v="20.04"/>
    <n v="3"/>
    <n v="0"/>
    <n v="9.6191999999999993"/>
  </r>
  <r>
    <s v="First Class"/>
    <x v="1"/>
    <s v="United States"/>
    <s v="Fairfield"/>
    <x v="1"/>
    <n v="94533"/>
    <x v="1"/>
    <x v="1"/>
    <x v="4"/>
    <n v="795.48"/>
    <n v="7"/>
    <n v="0"/>
    <n v="7.9547999999999996"/>
  </r>
  <r>
    <s v="First Class"/>
    <x v="1"/>
    <s v="United States"/>
    <s v="Fairfield"/>
    <x v="1"/>
    <n v="94533"/>
    <x v="1"/>
    <x v="0"/>
    <x v="5"/>
    <n v="21.56"/>
    <n v="7"/>
    <n v="0"/>
    <n v="6.8992000000000004"/>
  </r>
  <r>
    <s v="Standard Class"/>
    <x v="0"/>
    <s v="United States"/>
    <s v="Greenville"/>
    <x v="3"/>
    <n v="27834"/>
    <x v="0"/>
    <x v="2"/>
    <x v="7"/>
    <n v="249.584"/>
    <n v="2"/>
    <n v="0.2"/>
    <n v="31.198"/>
  </r>
  <r>
    <s v="Standard Class"/>
    <x v="0"/>
    <s v="United States"/>
    <s v="Greenville"/>
    <x v="3"/>
    <n v="27834"/>
    <x v="0"/>
    <x v="2"/>
    <x v="11"/>
    <n v="68.111999999999995"/>
    <n v="3"/>
    <n v="0.2"/>
    <n v="17.8794"/>
  </r>
  <r>
    <s v="Standard Class"/>
    <x v="0"/>
    <s v="United States"/>
    <s v="Greenville"/>
    <x v="3"/>
    <n v="27834"/>
    <x v="0"/>
    <x v="2"/>
    <x v="11"/>
    <n v="16.559999999999999"/>
    <n v="3"/>
    <n v="0.2"/>
    <n v="-2.484"/>
  </r>
  <r>
    <s v="Standard Class"/>
    <x v="0"/>
    <s v="United States"/>
    <s v="Long Beach"/>
    <x v="15"/>
    <n v="11561"/>
    <x v="3"/>
    <x v="2"/>
    <x v="7"/>
    <n v="74.95"/>
    <n v="5"/>
    <n v="0"/>
    <n v="36.725499999999997"/>
  </r>
  <r>
    <s v="Standard Class"/>
    <x v="0"/>
    <s v="United States"/>
    <s v="Buffalo Grove"/>
    <x v="10"/>
    <n v="60089"/>
    <x v="2"/>
    <x v="0"/>
    <x v="3"/>
    <n v="355.45499999999998"/>
    <n v="3"/>
    <n v="0.5"/>
    <n v="-184.8366"/>
  </r>
  <r>
    <s v="Standard Class"/>
    <x v="0"/>
    <s v="United States"/>
    <s v="San Diego"/>
    <x v="1"/>
    <n v="92037"/>
    <x v="1"/>
    <x v="1"/>
    <x v="2"/>
    <n v="44.4"/>
    <n v="3"/>
    <n v="0"/>
    <n v="22.2"/>
  </r>
  <r>
    <s v="Standard Class"/>
    <x v="0"/>
    <s v="United States"/>
    <s v="San Diego"/>
    <x v="1"/>
    <n v="92037"/>
    <x v="1"/>
    <x v="1"/>
    <x v="2"/>
    <n v="20.65"/>
    <n v="5"/>
    <n v="0"/>
    <n v="9.4990000000000006"/>
  </r>
  <r>
    <s v="Standard Class"/>
    <x v="0"/>
    <s v="United States"/>
    <s v="Richmond"/>
    <x v="0"/>
    <n v="40475"/>
    <x v="0"/>
    <x v="0"/>
    <x v="1"/>
    <n v="866.4"/>
    <n v="4"/>
    <n v="0"/>
    <n v="225.26400000000001"/>
  </r>
  <r>
    <s v="Second Class"/>
    <x v="0"/>
    <s v="United States"/>
    <s v="Springfield"/>
    <x v="17"/>
    <n v="22153"/>
    <x v="0"/>
    <x v="1"/>
    <x v="6"/>
    <n v="5.56"/>
    <n v="2"/>
    <n v="0"/>
    <n v="1.4456"/>
  </r>
  <r>
    <s v="Standard Class"/>
    <x v="0"/>
    <s v="United States"/>
    <s v="Fort Worth"/>
    <x v="5"/>
    <n v="76106"/>
    <x v="2"/>
    <x v="1"/>
    <x v="9"/>
    <n v="3.16"/>
    <n v="4"/>
    <n v="0.8"/>
    <n v="-8.532"/>
  </r>
  <r>
    <s v="Standard Class"/>
    <x v="0"/>
    <s v="United States"/>
    <s v="Fort Worth"/>
    <x v="5"/>
    <n v="76106"/>
    <x v="2"/>
    <x v="2"/>
    <x v="16"/>
    <n v="1999.96"/>
    <n v="5"/>
    <n v="0.2"/>
    <n v="624.98749999999995"/>
  </r>
  <r>
    <s v="Standard Class"/>
    <x v="0"/>
    <s v="United States"/>
    <s v="Raleigh"/>
    <x v="3"/>
    <n v="27604"/>
    <x v="0"/>
    <x v="0"/>
    <x v="5"/>
    <n v="46.152000000000001"/>
    <n v="3"/>
    <n v="0.2"/>
    <n v="12.1149"/>
  </r>
  <r>
    <s v="First Class"/>
    <x v="0"/>
    <s v="United States"/>
    <s v="Hialeah"/>
    <x v="2"/>
    <n v="33012"/>
    <x v="0"/>
    <x v="2"/>
    <x v="15"/>
    <n v="32.984999999999999"/>
    <n v="3"/>
    <n v="0.5"/>
    <n v="-1.9791000000000001"/>
  </r>
  <r>
    <s v="Same Day"/>
    <x v="2"/>
    <s v="United States"/>
    <s v="Los Angeles"/>
    <x v="1"/>
    <n v="90032"/>
    <x v="1"/>
    <x v="1"/>
    <x v="4"/>
    <n v="481.32"/>
    <n v="4"/>
    <n v="0"/>
    <n v="125.14319999999999"/>
  </r>
  <r>
    <s v="Same Day"/>
    <x v="2"/>
    <s v="United States"/>
    <s v="Los Angeles"/>
    <x v="1"/>
    <n v="90032"/>
    <x v="1"/>
    <x v="1"/>
    <x v="8"/>
    <n v="6.3840000000000003"/>
    <n v="1"/>
    <n v="0.2"/>
    <n v="2.1545999999999998"/>
  </r>
  <r>
    <s v="First Class"/>
    <x v="0"/>
    <s v="United States"/>
    <s v="Lake Forest"/>
    <x v="1"/>
    <n v="92630"/>
    <x v="1"/>
    <x v="1"/>
    <x v="9"/>
    <n v="542.94000000000005"/>
    <n v="3"/>
    <n v="0"/>
    <n v="152.0232"/>
  </r>
  <r>
    <s v="First Class"/>
    <x v="0"/>
    <s v="United States"/>
    <s v="Lake Forest"/>
    <x v="1"/>
    <n v="92630"/>
    <x v="1"/>
    <x v="0"/>
    <x v="5"/>
    <n v="54.92"/>
    <n v="4"/>
    <n v="0"/>
    <n v="19.7712"/>
  </r>
  <r>
    <s v="First Class"/>
    <x v="1"/>
    <s v="United States"/>
    <s v="Long Beach"/>
    <x v="15"/>
    <n v="11561"/>
    <x v="3"/>
    <x v="0"/>
    <x v="1"/>
    <n v="1448.82"/>
    <n v="10"/>
    <n v="0.1"/>
    <n v="209.274"/>
  </r>
  <r>
    <s v="Second Class"/>
    <x v="0"/>
    <s v="United States"/>
    <s v="Seattle"/>
    <x v="4"/>
    <n v="98103"/>
    <x v="1"/>
    <x v="1"/>
    <x v="4"/>
    <n v="353.88"/>
    <n v="6"/>
    <n v="0"/>
    <n v="17.693999999999999"/>
  </r>
  <r>
    <s v="Standard Class"/>
    <x v="0"/>
    <s v="United States"/>
    <s v="Redding"/>
    <x v="1"/>
    <n v="96003"/>
    <x v="1"/>
    <x v="2"/>
    <x v="7"/>
    <n v="333.57600000000002"/>
    <n v="3"/>
    <n v="0.2"/>
    <n v="25.0182"/>
  </r>
  <r>
    <s v="Standard Class"/>
    <x v="2"/>
    <s v="United States"/>
    <s v="San Antonio"/>
    <x v="5"/>
    <n v="78207"/>
    <x v="2"/>
    <x v="1"/>
    <x v="2"/>
    <n v="60.143999999999998"/>
    <n v="6"/>
    <n v="0.2"/>
    <n v="20.2986"/>
  </r>
  <r>
    <s v="Second Class"/>
    <x v="1"/>
    <s v="United States"/>
    <s v="Houston"/>
    <x v="5"/>
    <n v="77070"/>
    <x v="2"/>
    <x v="2"/>
    <x v="11"/>
    <n v="85.2"/>
    <n v="6"/>
    <n v="0.2"/>
    <n v="20.234999999999999"/>
  </r>
  <r>
    <s v="Standard Class"/>
    <x v="0"/>
    <s v="United States"/>
    <s v="Leominster"/>
    <x v="31"/>
    <n v="1453"/>
    <x v="3"/>
    <x v="1"/>
    <x v="2"/>
    <n v="3.15"/>
    <n v="1"/>
    <n v="0"/>
    <n v="1.512"/>
  </r>
  <r>
    <s v="Standard Class"/>
    <x v="0"/>
    <s v="United States"/>
    <s v="Leominster"/>
    <x v="31"/>
    <n v="1453"/>
    <x v="3"/>
    <x v="1"/>
    <x v="10"/>
    <n v="22.72"/>
    <n v="4"/>
    <n v="0"/>
    <n v="10.224"/>
  </r>
  <r>
    <s v="Standard Class"/>
    <x v="1"/>
    <s v="United States"/>
    <s v="Los Angeles"/>
    <x v="1"/>
    <n v="90032"/>
    <x v="1"/>
    <x v="0"/>
    <x v="5"/>
    <n v="14.91"/>
    <n v="3"/>
    <n v="0"/>
    <n v="4.6220999999999997"/>
  </r>
  <r>
    <s v="Standard Class"/>
    <x v="1"/>
    <s v="United States"/>
    <s v="Los Angeles"/>
    <x v="1"/>
    <n v="90032"/>
    <x v="1"/>
    <x v="1"/>
    <x v="9"/>
    <n v="1158.1199999999999"/>
    <n v="4"/>
    <n v="0"/>
    <n v="335.85480000000001"/>
  </r>
  <r>
    <s v="Standard Class"/>
    <x v="1"/>
    <s v="United States"/>
    <s v="Springfield"/>
    <x v="25"/>
    <n v="65807"/>
    <x v="2"/>
    <x v="2"/>
    <x v="16"/>
    <n v="599.99"/>
    <n v="1"/>
    <n v="0"/>
    <n v="233.99610000000001"/>
  </r>
  <r>
    <s v="Standard Class"/>
    <x v="0"/>
    <s v="United States"/>
    <s v="Waco"/>
    <x v="5"/>
    <n v="76706"/>
    <x v="2"/>
    <x v="1"/>
    <x v="4"/>
    <n v="23.968"/>
    <n v="2"/>
    <n v="0.2"/>
    <n v="2.3967999999999998"/>
  </r>
  <r>
    <s v="Standard Class"/>
    <x v="0"/>
    <s v="United States"/>
    <s v="Los Angeles"/>
    <x v="1"/>
    <n v="90036"/>
    <x v="1"/>
    <x v="0"/>
    <x v="1"/>
    <n v="638.28800000000001"/>
    <n v="7"/>
    <n v="0.2"/>
    <n v="-31.914400000000001"/>
  </r>
  <r>
    <s v="Standard Class"/>
    <x v="0"/>
    <s v="United States"/>
    <s v="Los Angeles"/>
    <x v="1"/>
    <n v="90036"/>
    <x v="1"/>
    <x v="1"/>
    <x v="8"/>
    <n v="13.208"/>
    <n v="1"/>
    <n v="0.2"/>
    <n v="4.6227999999999998"/>
  </r>
  <r>
    <s v="Standard Class"/>
    <x v="0"/>
    <s v="United States"/>
    <s v="Auburn"/>
    <x v="15"/>
    <n v="13021"/>
    <x v="3"/>
    <x v="1"/>
    <x v="8"/>
    <n v="15.528"/>
    <n v="3"/>
    <n v="0.2"/>
    <n v="5.8230000000000004"/>
  </r>
  <r>
    <s v="Standard Class"/>
    <x v="0"/>
    <s v="United States"/>
    <s v="San Francisco"/>
    <x v="1"/>
    <n v="94109"/>
    <x v="1"/>
    <x v="1"/>
    <x v="10"/>
    <n v="104.85"/>
    <n v="1"/>
    <n v="0"/>
    <n v="50.328000000000003"/>
  </r>
  <r>
    <s v="Standard Class"/>
    <x v="0"/>
    <s v="United States"/>
    <s v="Los Angeles"/>
    <x v="1"/>
    <n v="90008"/>
    <x v="1"/>
    <x v="1"/>
    <x v="6"/>
    <n v="30.48"/>
    <n v="3"/>
    <n v="0"/>
    <n v="7.9248000000000003"/>
  </r>
  <r>
    <s v="Standard Class"/>
    <x v="0"/>
    <s v="United States"/>
    <s v="Los Angeles"/>
    <x v="1"/>
    <n v="90008"/>
    <x v="1"/>
    <x v="0"/>
    <x v="1"/>
    <n v="112.648"/>
    <n v="1"/>
    <n v="0.2"/>
    <n v="11.264799999999999"/>
  </r>
  <r>
    <s v="Standard Class"/>
    <x v="0"/>
    <s v="United States"/>
    <s v="Los Angeles"/>
    <x v="1"/>
    <n v="90049"/>
    <x v="1"/>
    <x v="2"/>
    <x v="15"/>
    <n v="71.975999999999999"/>
    <n v="3"/>
    <n v="0.2"/>
    <n v="24.291899999999998"/>
  </r>
  <r>
    <s v="Second Class"/>
    <x v="0"/>
    <s v="United States"/>
    <s v="Chico"/>
    <x v="1"/>
    <n v="95928"/>
    <x v="1"/>
    <x v="1"/>
    <x v="6"/>
    <n v="2.21"/>
    <n v="1"/>
    <n v="0"/>
    <n v="0.59670000000000001"/>
  </r>
  <r>
    <s v="Second Class"/>
    <x v="0"/>
    <s v="United States"/>
    <s v="Chico"/>
    <x v="1"/>
    <n v="95928"/>
    <x v="1"/>
    <x v="1"/>
    <x v="12"/>
    <n v="15.52"/>
    <n v="4"/>
    <n v="0"/>
    <n v="7.4496000000000002"/>
  </r>
  <r>
    <s v="Second Class"/>
    <x v="0"/>
    <s v="United States"/>
    <s v="Chico"/>
    <x v="1"/>
    <n v="95928"/>
    <x v="1"/>
    <x v="1"/>
    <x v="10"/>
    <n v="36.44"/>
    <n v="4"/>
    <n v="0"/>
    <n v="16.398"/>
  </r>
  <r>
    <s v="Standard Class"/>
    <x v="0"/>
    <s v="United States"/>
    <s v="Springfield"/>
    <x v="21"/>
    <n v="97477"/>
    <x v="1"/>
    <x v="0"/>
    <x v="0"/>
    <n v="217.76400000000001"/>
    <n v="6"/>
    <n v="0.7"/>
    <n v="-384.71640000000002"/>
  </r>
  <r>
    <s v="Standard Class"/>
    <x v="0"/>
    <s v="United States"/>
    <s v="Springfield"/>
    <x v="21"/>
    <n v="97477"/>
    <x v="1"/>
    <x v="1"/>
    <x v="14"/>
    <n v="39.072000000000003"/>
    <n v="6"/>
    <n v="0.2"/>
    <n v="4.3956"/>
  </r>
  <r>
    <s v="Standard Class"/>
    <x v="0"/>
    <s v="United States"/>
    <s v="Springfield"/>
    <x v="21"/>
    <n v="97477"/>
    <x v="1"/>
    <x v="1"/>
    <x v="8"/>
    <n v="22.638000000000002"/>
    <n v="7"/>
    <n v="0.7"/>
    <n v="-16.601199999999999"/>
  </r>
  <r>
    <s v="Standard Class"/>
    <x v="0"/>
    <s v="United States"/>
    <s v="Springfield"/>
    <x v="21"/>
    <n v="97477"/>
    <x v="1"/>
    <x v="1"/>
    <x v="6"/>
    <n v="95.144000000000005"/>
    <n v="7"/>
    <n v="0.2"/>
    <n v="10.7037"/>
  </r>
  <r>
    <s v="Second Class"/>
    <x v="1"/>
    <s v="United States"/>
    <s v="Jacksonville"/>
    <x v="2"/>
    <n v="32216"/>
    <x v="0"/>
    <x v="0"/>
    <x v="5"/>
    <n v="12.32"/>
    <n v="5"/>
    <n v="0.2"/>
    <n v="1.8480000000000001"/>
  </r>
  <r>
    <s v="Second Class"/>
    <x v="1"/>
    <s v="United States"/>
    <s v="Jacksonville"/>
    <x v="2"/>
    <n v="32216"/>
    <x v="0"/>
    <x v="1"/>
    <x v="8"/>
    <n v="4.4189999999999996"/>
    <n v="3"/>
    <n v="0.7"/>
    <n v="-3.0933000000000002"/>
  </r>
  <r>
    <s v="First Class"/>
    <x v="0"/>
    <s v="United States"/>
    <s v="Bakersfield"/>
    <x v="1"/>
    <n v="93309"/>
    <x v="1"/>
    <x v="1"/>
    <x v="13"/>
    <n v="35"/>
    <n v="7"/>
    <n v="0"/>
    <n v="16.8"/>
  </r>
  <r>
    <s v="First Class"/>
    <x v="0"/>
    <s v="United States"/>
    <s v="Bakersfield"/>
    <x v="1"/>
    <n v="93309"/>
    <x v="1"/>
    <x v="0"/>
    <x v="1"/>
    <n v="72.784000000000006"/>
    <n v="1"/>
    <n v="0.2"/>
    <n v="0"/>
  </r>
  <r>
    <s v="First Class"/>
    <x v="0"/>
    <s v="United States"/>
    <s v="Bakersfield"/>
    <x v="1"/>
    <n v="93309"/>
    <x v="1"/>
    <x v="1"/>
    <x v="9"/>
    <n v="97.84"/>
    <n v="2"/>
    <n v="0"/>
    <n v="25.438400000000001"/>
  </r>
  <r>
    <s v="First Class"/>
    <x v="0"/>
    <s v="United States"/>
    <s v="Bakersfield"/>
    <x v="1"/>
    <n v="93309"/>
    <x v="1"/>
    <x v="0"/>
    <x v="5"/>
    <n v="51.75"/>
    <n v="1"/>
    <n v="0"/>
    <n v="15.525"/>
  </r>
  <r>
    <s v="First Class"/>
    <x v="0"/>
    <s v="United States"/>
    <s v="Bakersfield"/>
    <x v="1"/>
    <n v="93309"/>
    <x v="1"/>
    <x v="1"/>
    <x v="8"/>
    <n v="46.671999999999997"/>
    <n v="2"/>
    <n v="0.2"/>
    <n v="16.3352"/>
  </r>
  <r>
    <s v="Second Class"/>
    <x v="0"/>
    <s v="United States"/>
    <s v="New York City"/>
    <x v="15"/>
    <n v="10011"/>
    <x v="3"/>
    <x v="1"/>
    <x v="4"/>
    <n v="1395.54"/>
    <n v="9"/>
    <n v="0"/>
    <n v="362.84039999999999"/>
  </r>
  <r>
    <s v="Second Class"/>
    <x v="0"/>
    <s v="United States"/>
    <s v="New York City"/>
    <x v="15"/>
    <n v="10011"/>
    <x v="3"/>
    <x v="0"/>
    <x v="5"/>
    <n v="117.36"/>
    <n v="4"/>
    <n v="0"/>
    <n v="36.381599999999999"/>
  </r>
  <r>
    <s v="Second Class"/>
    <x v="0"/>
    <s v="United States"/>
    <s v="New York City"/>
    <x v="15"/>
    <n v="10011"/>
    <x v="3"/>
    <x v="1"/>
    <x v="2"/>
    <n v="18.899999999999999"/>
    <n v="3"/>
    <n v="0"/>
    <n v="8.6940000000000008"/>
  </r>
  <r>
    <s v="Second Class"/>
    <x v="0"/>
    <s v="United States"/>
    <s v="New York City"/>
    <x v="15"/>
    <n v="10011"/>
    <x v="3"/>
    <x v="1"/>
    <x v="10"/>
    <n v="77.52"/>
    <n v="2"/>
    <n v="0"/>
    <n v="37.9848"/>
  </r>
  <r>
    <s v="Second Class"/>
    <x v="0"/>
    <s v="United States"/>
    <s v="Chicago"/>
    <x v="10"/>
    <n v="60610"/>
    <x v="2"/>
    <x v="0"/>
    <x v="1"/>
    <n v="421.37200000000001"/>
    <n v="2"/>
    <n v="0.3"/>
    <n v="-6.0195999999999996"/>
  </r>
  <r>
    <s v="First Class"/>
    <x v="0"/>
    <s v="United States"/>
    <s v="El Paso"/>
    <x v="5"/>
    <n v="79907"/>
    <x v="2"/>
    <x v="2"/>
    <x v="7"/>
    <n v="575.96799999999996"/>
    <n v="4"/>
    <n v="0.2"/>
    <n v="43.197600000000001"/>
  </r>
  <r>
    <s v="First Class"/>
    <x v="0"/>
    <s v="United States"/>
    <s v="El Paso"/>
    <x v="5"/>
    <n v="79907"/>
    <x v="2"/>
    <x v="1"/>
    <x v="10"/>
    <n v="10.368"/>
    <n v="2"/>
    <n v="0.2"/>
    <n v="3.6288"/>
  </r>
  <r>
    <s v="First Class"/>
    <x v="0"/>
    <s v="United States"/>
    <s v="Thousand Oaks"/>
    <x v="1"/>
    <n v="91360"/>
    <x v="1"/>
    <x v="2"/>
    <x v="7"/>
    <n v="15.984"/>
    <n v="2"/>
    <n v="0.2"/>
    <n v="1.1988000000000001"/>
  </r>
  <r>
    <s v="Standard Class"/>
    <x v="2"/>
    <s v="United States"/>
    <s v="Springfield"/>
    <x v="24"/>
    <n v="45503"/>
    <x v="3"/>
    <x v="1"/>
    <x v="6"/>
    <n v="10.272"/>
    <n v="3"/>
    <n v="0.2"/>
    <n v="1.1556"/>
  </r>
  <r>
    <s v="Standard Class"/>
    <x v="1"/>
    <s v="United States"/>
    <s v="Dallas"/>
    <x v="5"/>
    <n v="75220"/>
    <x v="2"/>
    <x v="1"/>
    <x v="4"/>
    <n v="61.792000000000002"/>
    <n v="4"/>
    <n v="0.2"/>
    <n v="6.1791999999999998"/>
  </r>
  <r>
    <s v="Standard Class"/>
    <x v="1"/>
    <s v="United States"/>
    <s v="Dallas"/>
    <x v="5"/>
    <n v="75220"/>
    <x v="2"/>
    <x v="0"/>
    <x v="0"/>
    <n v="205.9992"/>
    <n v="3"/>
    <n v="0.32"/>
    <n v="-27.264600000000002"/>
  </r>
  <r>
    <s v="Second Class"/>
    <x v="0"/>
    <s v="United States"/>
    <s v="Knoxville"/>
    <x v="18"/>
    <n v="37918"/>
    <x v="0"/>
    <x v="1"/>
    <x v="10"/>
    <n v="12.192"/>
    <n v="3"/>
    <n v="0.2"/>
    <n v="4.1147999999999998"/>
  </r>
  <r>
    <s v="Second Class"/>
    <x v="0"/>
    <s v="United States"/>
    <s v="Knoxville"/>
    <x v="18"/>
    <n v="37918"/>
    <x v="0"/>
    <x v="1"/>
    <x v="9"/>
    <n v="87.168000000000006"/>
    <n v="2"/>
    <n v="0.2"/>
    <n v="8.7167999999999992"/>
  </r>
  <r>
    <s v="Second Class"/>
    <x v="0"/>
    <s v="United States"/>
    <s v="Knoxville"/>
    <x v="18"/>
    <n v="37918"/>
    <x v="0"/>
    <x v="1"/>
    <x v="6"/>
    <n v="31.744"/>
    <n v="2"/>
    <n v="0.2"/>
    <n v="8.3328000000000007"/>
  </r>
  <r>
    <s v="Standard Class"/>
    <x v="1"/>
    <s v="United States"/>
    <s v="Chattanooga"/>
    <x v="18"/>
    <n v="37421"/>
    <x v="0"/>
    <x v="0"/>
    <x v="5"/>
    <n v="132.22399999999999"/>
    <n v="4"/>
    <n v="0.2"/>
    <n v="-18.180800000000001"/>
  </r>
  <r>
    <s v="Standard Class"/>
    <x v="1"/>
    <s v="United States"/>
    <s v="San Diego"/>
    <x v="1"/>
    <n v="92037"/>
    <x v="1"/>
    <x v="1"/>
    <x v="10"/>
    <n v="105.52"/>
    <n v="4"/>
    <n v="0"/>
    <n v="48.539200000000001"/>
  </r>
  <r>
    <s v="Standard Class"/>
    <x v="1"/>
    <s v="United States"/>
    <s v="San Diego"/>
    <x v="1"/>
    <n v="92037"/>
    <x v="1"/>
    <x v="0"/>
    <x v="5"/>
    <n v="91.96"/>
    <n v="2"/>
    <n v="0"/>
    <n v="15.6332"/>
  </r>
  <r>
    <s v="Standard Class"/>
    <x v="1"/>
    <s v="United States"/>
    <s v="San Diego"/>
    <x v="1"/>
    <n v="92037"/>
    <x v="1"/>
    <x v="2"/>
    <x v="7"/>
    <n v="1487.9760000000001"/>
    <n v="3"/>
    <n v="0.2"/>
    <n v="185.99700000000001"/>
  </r>
  <r>
    <s v="First Class"/>
    <x v="2"/>
    <s v="United States"/>
    <s v="New York City"/>
    <x v="15"/>
    <n v="10024"/>
    <x v="3"/>
    <x v="1"/>
    <x v="10"/>
    <n v="19.440000000000001"/>
    <n v="3"/>
    <n v="0"/>
    <n v="9.3312000000000008"/>
  </r>
  <r>
    <s v="First Class"/>
    <x v="0"/>
    <s v="United States"/>
    <s v="Tampa"/>
    <x v="2"/>
    <n v="33614"/>
    <x v="0"/>
    <x v="2"/>
    <x v="11"/>
    <n v="11.672000000000001"/>
    <n v="1"/>
    <n v="0.2"/>
    <n v="-0.72950000000000004"/>
  </r>
  <r>
    <s v="Same Day"/>
    <x v="0"/>
    <s v="United States"/>
    <s v="Utica"/>
    <x v="15"/>
    <n v="13501"/>
    <x v="3"/>
    <x v="2"/>
    <x v="7"/>
    <n v="279.95999999999998"/>
    <n v="4"/>
    <n v="0"/>
    <n v="78.388800000000003"/>
  </r>
  <r>
    <s v="Same Day"/>
    <x v="0"/>
    <s v="United States"/>
    <s v="Utica"/>
    <x v="15"/>
    <n v="13501"/>
    <x v="3"/>
    <x v="1"/>
    <x v="8"/>
    <n v="12.912000000000001"/>
    <n v="3"/>
    <n v="0.2"/>
    <n v="4.6806000000000001"/>
  </r>
  <r>
    <s v="Same Day"/>
    <x v="0"/>
    <s v="United States"/>
    <s v="Utica"/>
    <x v="15"/>
    <n v="13501"/>
    <x v="3"/>
    <x v="1"/>
    <x v="8"/>
    <n v="17.088000000000001"/>
    <n v="4"/>
    <n v="0.2"/>
    <n v="5.7671999999999999"/>
  </r>
  <r>
    <s v="Same Day"/>
    <x v="0"/>
    <s v="United States"/>
    <s v="Utica"/>
    <x v="15"/>
    <n v="13501"/>
    <x v="3"/>
    <x v="1"/>
    <x v="2"/>
    <n v="93.15"/>
    <n v="9"/>
    <n v="0"/>
    <n v="44.712000000000003"/>
  </r>
  <r>
    <s v="Same Day"/>
    <x v="0"/>
    <s v="United States"/>
    <s v="Utica"/>
    <x v="15"/>
    <n v="13501"/>
    <x v="3"/>
    <x v="1"/>
    <x v="2"/>
    <n v="11.52"/>
    <n v="4"/>
    <n v="0"/>
    <n v="5.6448"/>
  </r>
  <r>
    <s v="Standard Class"/>
    <x v="1"/>
    <s v="United States"/>
    <s v="San Francisco"/>
    <x v="1"/>
    <n v="94122"/>
    <x v="1"/>
    <x v="1"/>
    <x v="14"/>
    <n v="238.62"/>
    <n v="2"/>
    <n v="0"/>
    <n v="4.7724000000000002"/>
  </r>
  <r>
    <s v="Standard Class"/>
    <x v="1"/>
    <s v="United States"/>
    <s v="San Francisco"/>
    <x v="1"/>
    <n v="94122"/>
    <x v="1"/>
    <x v="1"/>
    <x v="9"/>
    <n v="7.77"/>
    <n v="1"/>
    <n v="0"/>
    <n v="2.0979000000000001"/>
  </r>
  <r>
    <s v="Standard Class"/>
    <x v="1"/>
    <s v="United States"/>
    <s v="San Francisco"/>
    <x v="1"/>
    <n v="94122"/>
    <x v="1"/>
    <x v="0"/>
    <x v="3"/>
    <n v="285.48"/>
    <n v="5"/>
    <n v="0.2"/>
    <n v="-10.705500000000001"/>
  </r>
  <r>
    <s v="Standard Class"/>
    <x v="1"/>
    <s v="United States"/>
    <s v="San Francisco"/>
    <x v="1"/>
    <n v="94122"/>
    <x v="1"/>
    <x v="1"/>
    <x v="8"/>
    <n v="19.167999999999999"/>
    <n v="4"/>
    <n v="0.2"/>
    <n v="6.4691999999999998"/>
  </r>
  <r>
    <s v="Same Day"/>
    <x v="0"/>
    <s v="United States"/>
    <s v="Columbus"/>
    <x v="24"/>
    <n v="43229"/>
    <x v="3"/>
    <x v="1"/>
    <x v="9"/>
    <n v="26.135999999999999"/>
    <n v="3"/>
    <n v="0.2"/>
    <n v="1.9601999999999999"/>
  </r>
  <r>
    <s v="Second Class"/>
    <x v="2"/>
    <s v="United States"/>
    <s v="New York City"/>
    <x v="15"/>
    <n v="10035"/>
    <x v="3"/>
    <x v="1"/>
    <x v="10"/>
    <n v="419.4"/>
    <n v="4"/>
    <n v="0"/>
    <n v="201.31200000000001"/>
  </r>
  <r>
    <s v="Second Class"/>
    <x v="2"/>
    <s v="United States"/>
    <s v="New York City"/>
    <x v="15"/>
    <n v="10035"/>
    <x v="3"/>
    <x v="0"/>
    <x v="1"/>
    <n v="90.801000000000002"/>
    <n v="1"/>
    <n v="0.1"/>
    <n v="14.124599999999999"/>
  </r>
  <r>
    <s v="Second Class"/>
    <x v="2"/>
    <s v="United States"/>
    <s v="New York City"/>
    <x v="15"/>
    <n v="10035"/>
    <x v="3"/>
    <x v="0"/>
    <x v="1"/>
    <n v="181.76400000000001"/>
    <n v="2"/>
    <n v="0.1"/>
    <n v="-8.0784000000000002"/>
  </r>
  <r>
    <s v="Second Class"/>
    <x v="2"/>
    <s v="United States"/>
    <s v="New York City"/>
    <x v="15"/>
    <n v="10035"/>
    <x v="3"/>
    <x v="1"/>
    <x v="6"/>
    <n v="5.56"/>
    <n v="2"/>
    <n v="0"/>
    <n v="2.2240000000000002"/>
  </r>
  <r>
    <s v="Standard Class"/>
    <x v="0"/>
    <s v="United States"/>
    <s v="Richmond"/>
    <x v="14"/>
    <n v="47374"/>
    <x v="2"/>
    <x v="0"/>
    <x v="3"/>
    <n v="581.96"/>
    <n v="2"/>
    <n v="0"/>
    <n v="104.75279999999999"/>
  </r>
  <r>
    <s v="Standard Class"/>
    <x v="0"/>
    <s v="United States"/>
    <s v="Richmond"/>
    <x v="14"/>
    <n v="47374"/>
    <x v="2"/>
    <x v="0"/>
    <x v="1"/>
    <n v="29.98"/>
    <n v="1"/>
    <n v="0"/>
    <n v="8.0945999999999998"/>
  </r>
  <r>
    <s v="Standard Class"/>
    <x v="0"/>
    <s v="United States"/>
    <s v="San Diego"/>
    <x v="1"/>
    <n v="92105"/>
    <x v="1"/>
    <x v="2"/>
    <x v="11"/>
    <n v="519.96"/>
    <n v="4"/>
    <n v="0"/>
    <n v="176.78639999999999"/>
  </r>
  <r>
    <s v="Standard Class"/>
    <x v="0"/>
    <s v="United States"/>
    <s v="Concord"/>
    <x v="3"/>
    <n v="28027"/>
    <x v="0"/>
    <x v="1"/>
    <x v="2"/>
    <n v="6.2640000000000002"/>
    <n v="3"/>
    <n v="0.2"/>
    <n v="2.0358000000000001"/>
  </r>
  <r>
    <s v="Standard Class"/>
    <x v="0"/>
    <s v="United States"/>
    <s v="Concord"/>
    <x v="3"/>
    <n v="28027"/>
    <x v="0"/>
    <x v="0"/>
    <x v="1"/>
    <n v="363.92"/>
    <n v="5"/>
    <n v="0.2"/>
    <n v="0"/>
  </r>
  <r>
    <s v="Standard Class"/>
    <x v="0"/>
    <s v="United States"/>
    <s v="Miami"/>
    <x v="2"/>
    <n v="33178"/>
    <x v="0"/>
    <x v="1"/>
    <x v="8"/>
    <n v="64.2"/>
    <n v="5"/>
    <n v="0.7"/>
    <n v="-42.8"/>
  </r>
  <r>
    <s v="Standard Class"/>
    <x v="0"/>
    <s v="United States"/>
    <s v="Miami"/>
    <x v="2"/>
    <n v="33178"/>
    <x v="0"/>
    <x v="1"/>
    <x v="8"/>
    <n v="38.520000000000003"/>
    <n v="3"/>
    <n v="0.7"/>
    <n v="-26.963999999999999"/>
  </r>
  <r>
    <s v="Standard Class"/>
    <x v="0"/>
    <s v="United States"/>
    <s v="Miami"/>
    <x v="2"/>
    <n v="33178"/>
    <x v="0"/>
    <x v="2"/>
    <x v="11"/>
    <n v="72.599999999999994"/>
    <n v="5"/>
    <n v="0.2"/>
    <n v="-8.1675000000000004"/>
  </r>
  <r>
    <s v="Standard Class"/>
    <x v="0"/>
    <s v="United States"/>
    <s v="Los Angeles"/>
    <x v="1"/>
    <n v="90036"/>
    <x v="1"/>
    <x v="2"/>
    <x v="7"/>
    <n v="57.567999999999998"/>
    <n v="4"/>
    <n v="0.2"/>
    <n v="5.7568000000000001"/>
  </r>
  <r>
    <s v="Standard Class"/>
    <x v="0"/>
    <s v="United States"/>
    <s v="Seattle"/>
    <x v="4"/>
    <n v="98115"/>
    <x v="1"/>
    <x v="1"/>
    <x v="4"/>
    <n v="83.7"/>
    <n v="5"/>
    <n v="0"/>
    <n v="3.3479999999999999"/>
  </r>
  <r>
    <s v="Second Class"/>
    <x v="2"/>
    <s v="United States"/>
    <s v="Arlington"/>
    <x v="17"/>
    <n v="22204"/>
    <x v="0"/>
    <x v="1"/>
    <x v="10"/>
    <n v="32.4"/>
    <n v="5"/>
    <n v="0"/>
    <n v="15.552"/>
  </r>
  <r>
    <s v="Second Class"/>
    <x v="2"/>
    <s v="United States"/>
    <s v="Arlington"/>
    <x v="17"/>
    <n v="22204"/>
    <x v="0"/>
    <x v="0"/>
    <x v="5"/>
    <n v="47.98"/>
    <n v="2"/>
    <n v="0"/>
    <n v="11.035399999999999"/>
  </r>
  <r>
    <s v="Standard Class"/>
    <x v="0"/>
    <s v="United States"/>
    <s v="San Diego"/>
    <x v="1"/>
    <n v="92105"/>
    <x v="1"/>
    <x v="2"/>
    <x v="7"/>
    <n v="415.96800000000002"/>
    <n v="4"/>
    <n v="0.2"/>
    <n v="51.996000000000002"/>
  </r>
  <r>
    <s v="Standard Class"/>
    <x v="0"/>
    <s v="United States"/>
    <s v="San Diego"/>
    <x v="1"/>
    <n v="92105"/>
    <x v="1"/>
    <x v="1"/>
    <x v="4"/>
    <n v="304.89999999999998"/>
    <n v="5"/>
    <n v="0"/>
    <n v="6.0979999999999999"/>
  </r>
  <r>
    <s v="Standard Class"/>
    <x v="0"/>
    <s v="United States"/>
    <s v="San Diego"/>
    <x v="1"/>
    <n v="92105"/>
    <x v="1"/>
    <x v="0"/>
    <x v="5"/>
    <n v="80.959999999999994"/>
    <n v="4"/>
    <n v="0"/>
    <n v="29.145600000000002"/>
  </r>
  <r>
    <s v="Standard Class"/>
    <x v="0"/>
    <s v="United States"/>
    <s v="San Diego"/>
    <x v="1"/>
    <n v="92105"/>
    <x v="1"/>
    <x v="1"/>
    <x v="4"/>
    <n v="777.21"/>
    <n v="7"/>
    <n v="0"/>
    <n v="54.404699999999998"/>
  </r>
  <r>
    <s v="Standard Class"/>
    <x v="0"/>
    <s v="United States"/>
    <s v="San Diego"/>
    <x v="1"/>
    <n v="92105"/>
    <x v="1"/>
    <x v="1"/>
    <x v="10"/>
    <n v="32.4"/>
    <n v="5"/>
    <n v="0"/>
    <n v="15.552"/>
  </r>
  <r>
    <s v="Standard Class"/>
    <x v="0"/>
    <s v="United States"/>
    <s v="San Diego"/>
    <x v="1"/>
    <n v="92105"/>
    <x v="1"/>
    <x v="0"/>
    <x v="1"/>
    <n v="225.56800000000001"/>
    <n v="2"/>
    <n v="0.2"/>
    <n v="2.8195999999999999"/>
  </r>
  <r>
    <s v="Standard Class"/>
    <x v="0"/>
    <s v="United States"/>
    <s v="San Diego"/>
    <x v="1"/>
    <n v="92105"/>
    <x v="1"/>
    <x v="0"/>
    <x v="5"/>
    <n v="36.6"/>
    <n v="3"/>
    <n v="0"/>
    <n v="15.372"/>
  </r>
  <r>
    <s v="Standard Class"/>
    <x v="2"/>
    <s v="United States"/>
    <s v="Roseville"/>
    <x v="11"/>
    <n v="55113"/>
    <x v="2"/>
    <x v="1"/>
    <x v="9"/>
    <n v="715.64"/>
    <n v="2"/>
    <n v="0"/>
    <n v="178.91"/>
  </r>
  <r>
    <s v="Standard Class"/>
    <x v="2"/>
    <s v="United States"/>
    <s v="Roseville"/>
    <x v="11"/>
    <n v="55113"/>
    <x v="2"/>
    <x v="1"/>
    <x v="4"/>
    <n v="795.51"/>
    <n v="3"/>
    <n v="0"/>
    <n v="143.1918"/>
  </r>
  <r>
    <s v="Standard Class"/>
    <x v="2"/>
    <s v="United States"/>
    <s v="Roseville"/>
    <x v="11"/>
    <n v="55113"/>
    <x v="2"/>
    <x v="2"/>
    <x v="16"/>
    <n v="549.99"/>
    <n v="1"/>
    <n v="0"/>
    <n v="274.995"/>
  </r>
  <r>
    <s v="Standard Class"/>
    <x v="2"/>
    <s v="United States"/>
    <s v="Roseville"/>
    <x v="11"/>
    <n v="55113"/>
    <x v="2"/>
    <x v="1"/>
    <x v="8"/>
    <n v="74.760000000000005"/>
    <n v="3"/>
    <n v="0"/>
    <n v="34.389600000000002"/>
  </r>
  <r>
    <s v="Standard Class"/>
    <x v="2"/>
    <s v="United States"/>
    <s v="Roseville"/>
    <x v="11"/>
    <n v="55113"/>
    <x v="2"/>
    <x v="0"/>
    <x v="5"/>
    <n v="29.22"/>
    <n v="3"/>
    <n v="0"/>
    <n v="12.8568"/>
  </r>
  <r>
    <s v="Standard Class"/>
    <x v="2"/>
    <s v="United States"/>
    <s v="Virginia Beach"/>
    <x v="17"/>
    <n v="23464"/>
    <x v="0"/>
    <x v="1"/>
    <x v="8"/>
    <n v="9.64"/>
    <n v="2"/>
    <n v="0"/>
    <n v="4.7236000000000002"/>
  </r>
  <r>
    <s v="Standard Class"/>
    <x v="1"/>
    <s v="United States"/>
    <s v="Dallas"/>
    <x v="5"/>
    <n v="75220"/>
    <x v="2"/>
    <x v="1"/>
    <x v="4"/>
    <n v="33.488"/>
    <n v="7"/>
    <n v="0.2"/>
    <n v="-1.2558"/>
  </r>
  <r>
    <s v="Standard Class"/>
    <x v="1"/>
    <s v="United States"/>
    <s v="Dallas"/>
    <x v="5"/>
    <n v="75220"/>
    <x v="2"/>
    <x v="1"/>
    <x v="14"/>
    <n v="23.04"/>
    <n v="3"/>
    <n v="0.2"/>
    <n v="-4.8959999999999999"/>
  </r>
  <r>
    <s v="Standard Class"/>
    <x v="1"/>
    <s v="United States"/>
    <s v="Dallas"/>
    <x v="5"/>
    <n v="75220"/>
    <x v="2"/>
    <x v="1"/>
    <x v="8"/>
    <n v="1.3620000000000001"/>
    <n v="1"/>
    <n v="0.8"/>
    <n v="-2.1791999999999998"/>
  </r>
  <r>
    <s v="Standard Class"/>
    <x v="1"/>
    <s v="United States"/>
    <s v="Dallas"/>
    <x v="5"/>
    <n v="75220"/>
    <x v="2"/>
    <x v="0"/>
    <x v="5"/>
    <n v="14.76"/>
    <n v="5"/>
    <n v="0.6"/>
    <n v="-11.439"/>
  </r>
  <r>
    <s v="Second Class"/>
    <x v="0"/>
    <s v="United States"/>
    <s v="Concord"/>
    <x v="1"/>
    <n v="94521"/>
    <x v="1"/>
    <x v="0"/>
    <x v="0"/>
    <n v="239.666"/>
    <n v="2"/>
    <n v="0.15"/>
    <n v="14.098000000000001"/>
  </r>
  <r>
    <s v="Standard Class"/>
    <x v="0"/>
    <s v="United States"/>
    <s v="Conway"/>
    <x v="36"/>
    <n v="72032"/>
    <x v="0"/>
    <x v="0"/>
    <x v="3"/>
    <n v="301.95999999999998"/>
    <n v="2"/>
    <n v="0"/>
    <n v="45.293999999999997"/>
  </r>
  <r>
    <s v="Second Class"/>
    <x v="2"/>
    <s v="United States"/>
    <s v="Philadelphia"/>
    <x v="9"/>
    <n v="19120"/>
    <x v="3"/>
    <x v="1"/>
    <x v="10"/>
    <n v="7.968"/>
    <n v="2"/>
    <n v="0.2"/>
    <n v="2.8883999999999999"/>
  </r>
  <r>
    <s v="Second Class"/>
    <x v="0"/>
    <s v="United States"/>
    <s v="Little Rock"/>
    <x v="36"/>
    <n v="72209"/>
    <x v="0"/>
    <x v="1"/>
    <x v="10"/>
    <n v="109.92"/>
    <n v="2"/>
    <n v="0"/>
    <n v="53.860799999999998"/>
  </r>
  <r>
    <s v="Second Class"/>
    <x v="0"/>
    <s v="United States"/>
    <s v="Little Rock"/>
    <x v="36"/>
    <n v="72209"/>
    <x v="0"/>
    <x v="1"/>
    <x v="10"/>
    <n v="19.440000000000001"/>
    <n v="3"/>
    <n v="0"/>
    <n v="9.3312000000000008"/>
  </r>
  <r>
    <s v="Second Class"/>
    <x v="0"/>
    <s v="United States"/>
    <s v="Little Rock"/>
    <x v="36"/>
    <n v="72209"/>
    <x v="0"/>
    <x v="1"/>
    <x v="6"/>
    <n v="11.16"/>
    <n v="2"/>
    <n v="0"/>
    <n v="4.3524000000000003"/>
  </r>
  <r>
    <s v="Second Class"/>
    <x v="1"/>
    <s v="United States"/>
    <s v="Meriden"/>
    <x v="29"/>
    <n v="6450"/>
    <x v="3"/>
    <x v="1"/>
    <x v="9"/>
    <n v="79.47"/>
    <n v="3"/>
    <n v="0"/>
    <n v="22.2516"/>
  </r>
  <r>
    <s v="Second Class"/>
    <x v="1"/>
    <s v="United States"/>
    <s v="Meriden"/>
    <x v="29"/>
    <n v="6450"/>
    <x v="3"/>
    <x v="1"/>
    <x v="6"/>
    <n v="4.5599999999999996"/>
    <n v="2"/>
    <n v="0"/>
    <n v="2.0064000000000002"/>
  </r>
  <r>
    <s v="Second Class"/>
    <x v="1"/>
    <s v="United States"/>
    <s v="Meriden"/>
    <x v="29"/>
    <n v="6450"/>
    <x v="3"/>
    <x v="0"/>
    <x v="1"/>
    <n v="1133.3499999999999"/>
    <n v="5"/>
    <n v="0"/>
    <n v="294.67099999999999"/>
  </r>
  <r>
    <s v="Standard Class"/>
    <x v="1"/>
    <s v="United States"/>
    <s v="Philadelphia"/>
    <x v="9"/>
    <n v="19143"/>
    <x v="3"/>
    <x v="1"/>
    <x v="6"/>
    <n v="4.6719999999999997"/>
    <n v="1"/>
    <n v="0.2"/>
    <n v="0.58399999999999996"/>
  </r>
  <r>
    <s v="Standard Class"/>
    <x v="1"/>
    <s v="United States"/>
    <s v="Philadelphia"/>
    <x v="9"/>
    <n v="19143"/>
    <x v="3"/>
    <x v="1"/>
    <x v="8"/>
    <n v="104.58"/>
    <n v="6"/>
    <n v="0.7"/>
    <n v="-80.177999999999997"/>
  </r>
  <r>
    <s v="Standard Class"/>
    <x v="2"/>
    <s v="United States"/>
    <s v="Cheyenne"/>
    <x v="47"/>
    <n v="82001"/>
    <x v="1"/>
    <x v="0"/>
    <x v="1"/>
    <n v="1603.136"/>
    <n v="4"/>
    <n v="0.2"/>
    <n v="100.196"/>
  </r>
  <r>
    <s v="Same Day"/>
    <x v="1"/>
    <s v="United States"/>
    <s v="Anaheim"/>
    <x v="1"/>
    <n v="92804"/>
    <x v="1"/>
    <x v="0"/>
    <x v="3"/>
    <n v="1293.4880000000001"/>
    <n v="7"/>
    <n v="0.2"/>
    <n v="80.843000000000004"/>
  </r>
  <r>
    <s v="Standard Class"/>
    <x v="0"/>
    <s v="United States"/>
    <s v="Bloomington"/>
    <x v="14"/>
    <n v="47401"/>
    <x v="2"/>
    <x v="0"/>
    <x v="5"/>
    <n v="127.95"/>
    <n v="3"/>
    <n v="0"/>
    <n v="21.7515"/>
  </r>
  <r>
    <s v="Standard Class"/>
    <x v="2"/>
    <s v="United States"/>
    <s v="Columbus"/>
    <x v="32"/>
    <n v="31907"/>
    <x v="0"/>
    <x v="1"/>
    <x v="4"/>
    <n v="59.76"/>
    <n v="1"/>
    <n v="0"/>
    <n v="16.732800000000001"/>
  </r>
  <r>
    <s v="Same Day"/>
    <x v="2"/>
    <s v="United States"/>
    <s v="Jonesboro"/>
    <x v="36"/>
    <n v="72401"/>
    <x v="0"/>
    <x v="1"/>
    <x v="8"/>
    <n v="108.08"/>
    <n v="7"/>
    <n v="0"/>
    <n v="54.04"/>
  </r>
  <r>
    <s v="Same Day"/>
    <x v="2"/>
    <s v="United States"/>
    <s v="Jonesboro"/>
    <x v="36"/>
    <n v="72401"/>
    <x v="0"/>
    <x v="1"/>
    <x v="8"/>
    <n v="9.5399999999999991"/>
    <n v="3"/>
    <n v="0"/>
    <n v="4.3883999999999999"/>
  </r>
  <r>
    <s v="First Class"/>
    <x v="2"/>
    <s v="United States"/>
    <s v="Philadelphia"/>
    <x v="9"/>
    <n v="19140"/>
    <x v="3"/>
    <x v="1"/>
    <x v="6"/>
    <n v="11.736000000000001"/>
    <n v="3"/>
    <n v="0.2"/>
    <n v="1.0268999999999999"/>
  </r>
  <r>
    <s v="Standard Class"/>
    <x v="2"/>
    <s v="United States"/>
    <s v="Lawrence"/>
    <x v="31"/>
    <n v="1841"/>
    <x v="3"/>
    <x v="1"/>
    <x v="8"/>
    <n v="447.86"/>
    <n v="7"/>
    <n v="0"/>
    <n v="219.45140000000001"/>
  </r>
  <r>
    <s v="Standard Class"/>
    <x v="2"/>
    <s v="United States"/>
    <s v="Lawrence"/>
    <x v="31"/>
    <n v="1841"/>
    <x v="3"/>
    <x v="1"/>
    <x v="10"/>
    <n v="17.940000000000001"/>
    <n v="3"/>
    <n v="0"/>
    <n v="8.7905999999999995"/>
  </r>
  <r>
    <s v="Standard Class"/>
    <x v="2"/>
    <s v="United States"/>
    <s v="Lawrence"/>
    <x v="31"/>
    <n v="1841"/>
    <x v="3"/>
    <x v="1"/>
    <x v="9"/>
    <n v="245.88"/>
    <n v="6"/>
    <n v="0"/>
    <n v="68.846400000000003"/>
  </r>
  <r>
    <s v="Standard Class"/>
    <x v="0"/>
    <s v="United States"/>
    <s v="New York City"/>
    <x v="15"/>
    <n v="10011"/>
    <x v="3"/>
    <x v="1"/>
    <x v="10"/>
    <n v="192.16"/>
    <n v="4"/>
    <n v="0"/>
    <n v="92.236800000000002"/>
  </r>
  <r>
    <s v="Standard Class"/>
    <x v="1"/>
    <s v="United States"/>
    <s v="San Diego"/>
    <x v="1"/>
    <n v="92105"/>
    <x v="1"/>
    <x v="0"/>
    <x v="1"/>
    <n v="801.56799999999998"/>
    <n v="2"/>
    <n v="0.2"/>
    <n v="50.097999999999999"/>
  </r>
  <r>
    <s v="Standard Class"/>
    <x v="1"/>
    <s v="United States"/>
    <s v="San Diego"/>
    <x v="1"/>
    <n v="92105"/>
    <x v="1"/>
    <x v="1"/>
    <x v="10"/>
    <n v="368.91"/>
    <n v="9"/>
    <n v="0"/>
    <n v="180.76589999999999"/>
  </r>
  <r>
    <s v="Standard Class"/>
    <x v="1"/>
    <s v="United States"/>
    <s v="San Diego"/>
    <x v="1"/>
    <n v="92105"/>
    <x v="1"/>
    <x v="0"/>
    <x v="1"/>
    <n v="885.52800000000002"/>
    <n v="9"/>
    <n v="0.2"/>
    <n v="-99.621899999999997"/>
  </r>
  <r>
    <s v="Second Class"/>
    <x v="1"/>
    <s v="United States"/>
    <s v="San Francisco"/>
    <x v="1"/>
    <n v="94109"/>
    <x v="1"/>
    <x v="0"/>
    <x v="5"/>
    <n v="28.28"/>
    <n v="2"/>
    <n v="0"/>
    <n v="7.3528000000000002"/>
  </r>
  <r>
    <s v="Second Class"/>
    <x v="1"/>
    <s v="United States"/>
    <s v="San Francisco"/>
    <x v="1"/>
    <n v="94109"/>
    <x v="1"/>
    <x v="1"/>
    <x v="14"/>
    <n v="4912.59"/>
    <n v="3"/>
    <n v="0"/>
    <n v="196.50360000000001"/>
  </r>
  <r>
    <s v="Same Day"/>
    <x v="0"/>
    <s v="United States"/>
    <s v="San Francisco"/>
    <x v="1"/>
    <n v="94110"/>
    <x v="1"/>
    <x v="1"/>
    <x v="8"/>
    <n v="14.352"/>
    <n v="3"/>
    <n v="0.2"/>
    <n v="5.0232000000000001"/>
  </r>
  <r>
    <s v="Same Day"/>
    <x v="0"/>
    <s v="United States"/>
    <s v="San Francisco"/>
    <x v="1"/>
    <n v="94110"/>
    <x v="1"/>
    <x v="2"/>
    <x v="11"/>
    <n v="179.97"/>
    <n v="3"/>
    <n v="0"/>
    <n v="86.385599999999997"/>
  </r>
  <r>
    <s v="First Class"/>
    <x v="1"/>
    <s v="United States"/>
    <s v="Cranston"/>
    <x v="34"/>
    <n v="2920"/>
    <x v="3"/>
    <x v="1"/>
    <x v="4"/>
    <n v="42.76"/>
    <n v="1"/>
    <n v="0"/>
    <n v="11.117599999999999"/>
  </r>
  <r>
    <s v="Standard Class"/>
    <x v="0"/>
    <s v="United States"/>
    <s v="Owensboro"/>
    <x v="0"/>
    <n v="42301"/>
    <x v="0"/>
    <x v="1"/>
    <x v="10"/>
    <n v="45.68"/>
    <n v="2"/>
    <n v="0"/>
    <n v="21.012799999999999"/>
  </r>
  <r>
    <s v="First Class"/>
    <x v="0"/>
    <s v="United States"/>
    <s v="Baltimore"/>
    <x v="39"/>
    <n v="21215"/>
    <x v="3"/>
    <x v="1"/>
    <x v="8"/>
    <n v="25.06"/>
    <n v="2"/>
    <n v="0"/>
    <n v="11.7782"/>
  </r>
  <r>
    <s v="Standard Class"/>
    <x v="0"/>
    <s v="United States"/>
    <s v="Chicago"/>
    <x v="10"/>
    <n v="60610"/>
    <x v="2"/>
    <x v="1"/>
    <x v="10"/>
    <n v="38.432000000000002"/>
    <n v="1"/>
    <n v="0.2"/>
    <n v="13.4512"/>
  </r>
  <r>
    <s v="Standard Class"/>
    <x v="0"/>
    <s v="United States"/>
    <s v="Chicago"/>
    <x v="10"/>
    <n v="60610"/>
    <x v="2"/>
    <x v="1"/>
    <x v="4"/>
    <n v="21.568000000000001"/>
    <n v="2"/>
    <n v="0.2"/>
    <n v="1.6175999999999999"/>
  </r>
  <r>
    <s v="Standard Class"/>
    <x v="0"/>
    <s v="United States"/>
    <s v="Chicago"/>
    <x v="10"/>
    <n v="60610"/>
    <x v="2"/>
    <x v="2"/>
    <x v="11"/>
    <n v="81.575999999999993"/>
    <n v="3"/>
    <n v="0.2"/>
    <n v="2.0394000000000001"/>
  </r>
  <r>
    <s v="Standard Class"/>
    <x v="0"/>
    <s v="United States"/>
    <s v="Atlanta"/>
    <x v="32"/>
    <n v="30318"/>
    <x v="0"/>
    <x v="1"/>
    <x v="8"/>
    <n v="2.78"/>
    <n v="1"/>
    <n v="0"/>
    <n v="1.3622000000000001"/>
  </r>
  <r>
    <s v="Standard Class"/>
    <x v="1"/>
    <s v="United States"/>
    <s v="Los Angeles"/>
    <x v="1"/>
    <n v="90036"/>
    <x v="1"/>
    <x v="1"/>
    <x v="4"/>
    <n v="99.87"/>
    <n v="3"/>
    <n v="0"/>
    <n v="23.968800000000002"/>
  </r>
  <r>
    <s v="Standard Class"/>
    <x v="2"/>
    <s v="United States"/>
    <s v="Los Angeles"/>
    <x v="1"/>
    <n v="90049"/>
    <x v="1"/>
    <x v="1"/>
    <x v="2"/>
    <n v="44.4"/>
    <n v="3"/>
    <n v="0"/>
    <n v="22.2"/>
  </r>
  <r>
    <s v="Standard Class"/>
    <x v="2"/>
    <s v="United States"/>
    <s v="Los Angeles"/>
    <x v="1"/>
    <n v="90049"/>
    <x v="1"/>
    <x v="1"/>
    <x v="10"/>
    <n v="21.4"/>
    <n v="5"/>
    <n v="0"/>
    <n v="9.6300000000000008"/>
  </r>
  <r>
    <s v="Standard Class"/>
    <x v="0"/>
    <s v="United States"/>
    <s v="Richmond"/>
    <x v="14"/>
    <n v="47374"/>
    <x v="2"/>
    <x v="0"/>
    <x v="5"/>
    <n v="71.12"/>
    <n v="4"/>
    <n v="0"/>
    <n v="22.0472"/>
  </r>
  <r>
    <s v="Standard Class"/>
    <x v="0"/>
    <s v="United States"/>
    <s v="Richmond"/>
    <x v="14"/>
    <n v="47374"/>
    <x v="2"/>
    <x v="2"/>
    <x v="7"/>
    <n v="259.95999999999998"/>
    <n v="4"/>
    <n v="0"/>
    <n v="124.7808"/>
  </r>
  <r>
    <s v="Standard Class"/>
    <x v="1"/>
    <s v="United States"/>
    <s v="San Francisco"/>
    <x v="1"/>
    <n v="94110"/>
    <x v="1"/>
    <x v="1"/>
    <x v="12"/>
    <n v="9.7799999999999994"/>
    <n v="1"/>
    <n v="0"/>
    <n v="4.8899999999999997"/>
  </r>
  <r>
    <s v="Standard Class"/>
    <x v="2"/>
    <s v="United States"/>
    <s v="San Francisco"/>
    <x v="1"/>
    <n v="94122"/>
    <x v="1"/>
    <x v="1"/>
    <x v="8"/>
    <n v="24.192"/>
    <n v="9"/>
    <n v="0.2"/>
    <n v="7.56"/>
  </r>
  <r>
    <s v="Standard Class"/>
    <x v="1"/>
    <s v="United States"/>
    <s v="Westfield"/>
    <x v="30"/>
    <n v="7090"/>
    <x v="3"/>
    <x v="0"/>
    <x v="5"/>
    <n v="31.56"/>
    <n v="3"/>
    <n v="0"/>
    <n v="10.4148"/>
  </r>
  <r>
    <s v="Same Day"/>
    <x v="2"/>
    <s v="United States"/>
    <s v="San Francisco"/>
    <x v="1"/>
    <n v="94122"/>
    <x v="1"/>
    <x v="1"/>
    <x v="10"/>
    <n v="59.94"/>
    <n v="3"/>
    <n v="0"/>
    <n v="28.171800000000001"/>
  </r>
  <r>
    <s v="Same Day"/>
    <x v="2"/>
    <s v="United States"/>
    <s v="San Francisco"/>
    <x v="1"/>
    <n v="94122"/>
    <x v="1"/>
    <x v="1"/>
    <x v="10"/>
    <n v="45.36"/>
    <n v="4"/>
    <n v="0"/>
    <n v="22.226400000000002"/>
  </r>
  <r>
    <s v="Same Day"/>
    <x v="2"/>
    <s v="United States"/>
    <s v="San Francisco"/>
    <x v="1"/>
    <n v="94122"/>
    <x v="1"/>
    <x v="1"/>
    <x v="10"/>
    <n v="26.4"/>
    <n v="5"/>
    <n v="0"/>
    <n v="12.672000000000001"/>
  </r>
  <r>
    <s v="Same Day"/>
    <x v="2"/>
    <s v="United States"/>
    <s v="San Francisco"/>
    <x v="1"/>
    <n v="94122"/>
    <x v="1"/>
    <x v="1"/>
    <x v="2"/>
    <n v="41.4"/>
    <n v="4"/>
    <n v="0"/>
    <n v="19.872"/>
  </r>
  <r>
    <s v="Same Day"/>
    <x v="2"/>
    <s v="United States"/>
    <s v="San Francisco"/>
    <x v="1"/>
    <n v="94122"/>
    <x v="1"/>
    <x v="2"/>
    <x v="11"/>
    <n v="16.95"/>
    <n v="1"/>
    <n v="0"/>
    <n v="1.0169999999999999"/>
  </r>
  <r>
    <s v="Standard Class"/>
    <x v="1"/>
    <s v="United States"/>
    <s v="San Jose"/>
    <x v="1"/>
    <n v="95123"/>
    <x v="1"/>
    <x v="1"/>
    <x v="8"/>
    <n v="24.704000000000001"/>
    <n v="2"/>
    <n v="0.2"/>
    <n v="9.2639999999999993"/>
  </r>
  <r>
    <s v="Standard Class"/>
    <x v="1"/>
    <s v="United States"/>
    <s v="San Jose"/>
    <x v="1"/>
    <n v="95123"/>
    <x v="1"/>
    <x v="1"/>
    <x v="9"/>
    <n v="59.7"/>
    <n v="3"/>
    <n v="0"/>
    <n v="26.864999999999998"/>
  </r>
  <r>
    <s v="Standard Class"/>
    <x v="1"/>
    <s v="United States"/>
    <s v="San Jose"/>
    <x v="1"/>
    <n v="95123"/>
    <x v="1"/>
    <x v="0"/>
    <x v="5"/>
    <n v="14.52"/>
    <n v="3"/>
    <n v="0"/>
    <n v="5.6627999999999998"/>
  </r>
  <r>
    <s v="Standard Class"/>
    <x v="1"/>
    <s v="United States"/>
    <s v="San Jose"/>
    <x v="1"/>
    <n v="95123"/>
    <x v="1"/>
    <x v="1"/>
    <x v="8"/>
    <n v="104.184"/>
    <n v="3"/>
    <n v="0.2"/>
    <n v="33.8598"/>
  </r>
  <r>
    <s v="Standard Class"/>
    <x v="2"/>
    <s v="United States"/>
    <s v="Seattle"/>
    <x v="4"/>
    <n v="98115"/>
    <x v="1"/>
    <x v="1"/>
    <x v="4"/>
    <n v="46.53"/>
    <n v="3"/>
    <n v="0"/>
    <n v="13.0284"/>
  </r>
  <r>
    <s v="Second Class"/>
    <x v="1"/>
    <s v="United States"/>
    <s v="Owensboro"/>
    <x v="0"/>
    <n v="42301"/>
    <x v="0"/>
    <x v="1"/>
    <x v="14"/>
    <n v="25.5"/>
    <n v="3"/>
    <n v="0"/>
    <n v="6.63"/>
  </r>
  <r>
    <s v="Standard Class"/>
    <x v="0"/>
    <s v="United States"/>
    <s v="New York City"/>
    <x v="15"/>
    <n v="10035"/>
    <x v="3"/>
    <x v="1"/>
    <x v="4"/>
    <n v="14.9"/>
    <n v="5"/>
    <n v="0"/>
    <n v="1.0429999999999999"/>
  </r>
  <r>
    <s v="Standard Class"/>
    <x v="0"/>
    <s v="United States"/>
    <s v="New York City"/>
    <x v="15"/>
    <n v="10035"/>
    <x v="3"/>
    <x v="1"/>
    <x v="2"/>
    <n v="87.71"/>
    <n v="7"/>
    <n v="0"/>
    <n v="41.223700000000001"/>
  </r>
  <r>
    <s v="Standard Class"/>
    <x v="0"/>
    <s v="United States"/>
    <s v="New York City"/>
    <x v="15"/>
    <n v="10035"/>
    <x v="3"/>
    <x v="0"/>
    <x v="1"/>
    <n v="199.76400000000001"/>
    <n v="2"/>
    <n v="0.1"/>
    <n v="8.8783999999999992"/>
  </r>
  <r>
    <s v="Standard Class"/>
    <x v="0"/>
    <s v="United States"/>
    <s v="New York City"/>
    <x v="15"/>
    <n v="10035"/>
    <x v="3"/>
    <x v="1"/>
    <x v="4"/>
    <n v="94.6"/>
    <n v="4"/>
    <n v="0"/>
    <n v="27.434000000000001"/>
  </r>
  <r>
    <s v="Standard Class"/>
    <x v="0"/>
    <s v="United States"/>
    <s v="New York City"/>
    <x v="15"/>
    <n v="10035"/>
    <x v="3"/>
    <x v="0"/>
    <x v="0"/>
    <n v="4228.7039999999997"/>
    <n v="6"/>
    <n v="0.2"/>
    <n v="158.57640000000001"/>
  </r>
  <r>
    <s v="Standard Class"/>
    <x v="0"/>
    <s v="United States"/>
    <s v="New York City"/>
    <x v="15"/>
    <n v="10035"/>
    <x v="3"/>
    <x v="0"/>
    <x v="0"/>
    <n v="2003.92"/>
    <n v="5"/>
    <n v="0.2"/>
    <n v="-25.048999999999999"/>
  </r>
  <r>
    <s v="Standard Class"/>
    <x v="0"/>
    <s v="United States"/>
    <s v="New York City"/>
    <x v="15"/>
    <n v="10035"/>
    <x v="3"/>
    <x v="2"/>
    <x v="7"/>
    <n v="209.97"/>
    <n v="3"/>
    <n v="0"/>
    <n v="58.791600000000003"/>
  </r>
  <r>
    <s v="Standard Class"/>
    <x v="0"/>
    <s v="United States"/>
    <s v="New York City"/>
    <x v="15"/>
    <n v="10035"/>
    <x v="3"/>
    <x v="2"/>
    <x v="11"/>
    <n v="659.9"/>
    <n v="2"/>
    <n v="0"/>
    <n v="217.767"/>
  </r>
  <r>
    <s v="Standard Class"/>
    <x v="0"/>
    <s v="United States"/>
    <s v="New York City"/>
    <x v="15"/>
    <n v="10035"/>
    <x v="3"/>
    <x v="1"/>
    <x v="10"/>
    <n v="110.96"/>
    <n v="2"/>
    <n v="0"/>
    <n v="53.260800000000003"/>
  </r>
  <r>
    <s v="Standard Class"/>
    <x v="0"/>
    <s v="United States"/>
    <s v="New York City"/>
    <x v="15"/>
    <n v="10035"/>
    <x v="3"/>
    <x v="2"/>
    <x v="7"/>
    <n v="67.8"/>
    <n v="4"/>
    <n v="0"/>
    <n v="1.3560000000000001"/>
  </r>
  <r>
    <s v="Second Class"/>
    <x v="1"/>
    <s v="United States"/>
    <s v="New York City"/>
    <x v="15"/>
    <n v="10011"/>
    <x v="3"/>
    <x v="0"/>
    <x v="3"/>
    <n v="313.17599999999999"/>
    <n v="2"/>
    <n v="0.4"/>
    <n v="-120.0508"/>
  </r>
  <r>
    <s v="Second Class"/>
    <x v="0"/>
    <s v="United States"/>
    <s v="Springfield"/>
    <x v="17"/>
    <n v="22153"/>
    <x v="0"/>
    <x v="1"/>
    <x v="6"/>
    <n v="22.96"/>
    <n v="7"/>
    <n v="0"/>
    <n v="6.6584000000000003"/>
  </r>
  <r>
    <s v="Standard Class"/>
    <x v="1"/>
    <s v="United States"/>
    <s v="Bellingham"/>
    <x v="4"/>
    <n v="98226"/>
    <x v="1"/>
    <x v="2"/>
    <x v="11"/>
    <n v="1099.5"/>
    <n v="10"/>
    <n v="0"/>
    <n v="362.83499999999998"/>
  </r>
  <r>
    <s v="Standard Class"/>
    <x v="1"/>
    <s v="United States"/>
    <s v="Decatur"/>
    <x v="19"/>
    <n v="35601"/>
    <x v="0"/>
    <x v="0"/>
    <x v="3"/>
    <n v="1215.92"/>
    <n v="8"/>
    <n v="0"/>
    <n v="316.13920000000002"/>
  </r>
  <r>
    <s v="Standard Class"/>
    <x v="1"/>
    <s v="United States"/>
    <s v="Fayetteville"/>
    <x v="36"/>
    <n v="72701"/>
    <x v="0"/>
    <x v="1"/>
    <x v="2"/>
    <n v="7.31"/>
    <n v="1"/>
    <n v="0"/>
    <n v="3.4357000000000002"/>
  </r>
  <r>
    <s v="Standard Class"/>
    <x v="1"/>
    <s v="United States"/>
    <s v="Fayetteville"/>
    <x v="36"/>
    <n v="72701"/>
    <x v="0"/>
    <x v="0"/>
    <x v="5"/>
    <n v="8.92"/>
    <n v="4"/>
    <n v="0"/>
    <n v="3.9247999999999998"/>
  </r>
  <r>
    <s v="First Class"/>
    <x v="0"/>
    <s v="United States"/>
    <s v="Philadelphia"/>
    <x v="9"/>
    <n v="19120"/>
    <x v="3"/>
    <x v="0"/>
    <x v="0"/>
    <n v="87.21"/>
    <n v="3"/>
    <n v="0.5"/>
    <n v="-45.349200000000003"/>
  </r>
  <r>
    <s v="First Class"/>
    <x v="0"/>
    <s v="United States"/>
    <s v="Philadelphia"/>
    <x v="9"/>
    <n v="19120"/>
    <x v="3"/>
    <x v="1"/>
    <x v="10"/>
    <n v="15.552"/>
    <n v="3"/>
    <n v="0.2"/>
    <n v="5.4432"/>
  </r>
  <r>
    <s v="First Class"/>
    <x v="0"/>
    <s v="United States"/>
    <s v="Philadelphia"/>
    <x v="9"/>
    <n v="19120"/>
    <x v="3"/>
    <x v="2"/>
    <x v="7"/>
    <n v="683.98800000000006"/>
    <n v="2"/>
    <n v="0.4"/>
    <n v="-113.998"/>
  </r>
  <r>
    <s v="First Class"/>
    <x v="0"/>
    <s v="United States"/>
    <s v="Philadelphia"/>
    <x v="9"/>
    <n v="19120"/>
    <x v="3"/>
    <x v="1"/>
    <x v="4"/>
    <n v="13.391999999999999"/>
    <n v="3"/>
    <n v="0.2"/>
    <n v="1.0044"/>
  </r>
  <r>
    <s v="First Class"/>
    <x v="0"/>
    <s v="United States"/>
    <s v="Philadelphia"/>
    <x v="9"/>
    <n v="19120"/>
    <x v="3"/>
    <x v="2"/>
    <x v="11"/>
    <n v="16.776"/>
    <n v="3"/>
    <n v="0.2"/>
    <n v="4.8231000000000002"/>
  </r>
  <r>
    <s v="First Class"/>
    <x v="0"/>
    <s v="United States"/>
    <s v="Philadelphia"/>
    <x v="9"/>
    <n v="19120"/>
    <x v="3"/>
    <x v="2"/>
    <x v="11"/>
    <n v="527.91999999999996"/>
    <n v="2"/>
    <n v="0.2"/>
    <n v="85.787000000000006"/>
  </r>
  <r>
    <s v="Same Day"/>
    <x v="2"/>
    <s v="United States"/>
    <s v="Seattle"/>
    <x v="4"/>
    <n v="98103"/>
    <x v="1"/>
    <x v="0"/>
    <x v="5"/>
    <n v="25.4"/>
    <n v="5"/>
    <n v="0"/>
    <n v="8.6359999999999992"/>
  </r>
  <r>
    <s v="Same Day"/>
    <x v="2"/>
    <s v="United States"/>
    <s v="Seattle"/>
    <x v="4"/>
    <n v="98103"/>
    <x v="1"/>
    <x v="2"/>
    <x v="7"/>
    <n v="177.48"/>
    <n v="3"/>
    <n v="0.2"/>
    <n v="19.9665"/>
  </r>
  <r>
    <s v="Same Day"/>
    <x v="2"/>
    <s v="United States"/>
    <s v="Seattle"/>
    <x v="4"/>
    <n v="98103"/>
    <x v="1"/>
    <x v="2"/>
    <x v="7"/>
    <n v="71.975999999999999"/>
    <n v="3"/>
    <n v="0.2"/>
    <n v="8.9969999999999999"/>
  </r>
  <r>
    <s v="Standard Class"/>
    <x v="0"/>
    <s v="United States"/>
    <s v="Plano"/>
    <x v="5"/>
    <n v="75023"/>
    <x v="2"/>
    <x v="2"/>
    <x v="7"/>
    <n v="95.992000000000004"/>
    <n v="1"/>
    <n v="0.2"/>
    <n v="9.5991999999999997"/>
  </r>
  <r>
    <s v="Standard Class"/>
    <x v="0"/>
    <s v="United States"/>
    <s v="Plano"/>
    <x v="5"/>
    <n v="75023"/>
    <x v="2"/>
    <x v="1"/>
    <x v="2"/>
    <n v="13.215999999999999"/>
    <n v="4"/>
    <n v="0.2"/>
    <n v="4.2952000000000004"/>
  </r>
  <r>
    <s v="Second Class"/>
    <x v="0"/>
    <s v="United States"/>
    <s v="Los Angeles"/>
    <x v="1"/>
    <n v="90049"/>
    <x v="1"/>
    <x v="2"/>
    <x v="11"/>
    <n v="435.84"/>
    <n v="12"/>
    <n v="0"/>
    <n v="130.75200000000001"/>
  </r>
  <r>
    <s v="Second Class"/>
    <x v="0"/>
    <s v="United States"/>
    <s v="Los Angeles"/>
    <x v="1"/>
    <n v="90049"/>
    <x v="1"/>
    <x v="1"/>
    <x v="6"/>
    <n v="5.88"/>
    <n v="2"/>
    <n v="0"/>
    <n v="1.5875999999999999"/>
  </r>
  <r>
    <s v="Standard Class"/>
    <x v="0"/>
    <s v="United States"/>
    <s v="Los Angeles"/>
    <x v="1"/>
    <n v="90032"/>
    <x v="1"/>
    <x v="2"/>
    <x v="7"/>
    <n v="211.16800000000001"/>
    <n v="4"/>
    <n v="0.2"/>
    <n v="18.4772"/>
  </r>
  <r>
    <s v="Standard Class"/>
    <x v="1"/>
    <s v="United States"/>
    <s v="Los Angeles"/>
    <x v="1"/>
    <n v="90036"/>
    <x v="1"/>
    <x v="0"/>
    <x v="5"/>
    <n v="6.28"/>
    <n v="1"/>
    <n v="0"/>
    <n v="2.6375999999999999"/>
  </r>
  <r>
    <s v="Standard Class"/>
    <x v="1"/>
    <s v="United States"/>
    <s v="Los Angeles"/>
    <x v="1"/>
    <n v="90036"/>
    <x v="1"/>
    <x v="2"/>
    <x v="11"/>
    <n v="95.1"/>
    <n v="5"/>
    <n v="0"/>
    <n v="30.431999999999999"/>
  </r>
  <r>
    <s v="Standard Class"/>
    <x v="1"/>
    <s v="United States"/>
    <s v="Los Angeles"/>
    <x v="1"/>
    <n v="90036"/>
    <x v="1"/>
    <x v="1"/>
    <x v="10"/>
    <n v="25.92"/>
    <n v="4"/>
    <n v="0"/>
    <n v="12.441599999999999"/>
  </r>
  <r>
    <s v="Standard Class"/>
    <x v="1"/>
    <s v="United States"/>
    <s v="Los Angeles"/>
    <x v="1"/>
    <n v="90036"/>
    <x v="1"/>
    <x v="1"/>
    <x v="4"/>
    <n v="48.84"/>
    <n v="4"/>
    <n v="0"/>
    <n v="13.1868"/>
  </r>
  <r>
    <s v="Second Class"/>
    <x v="2"/>
    <s v="United States"/>
    <s v="Des Moines"/>
    <x v="23"/>
    <n v="50315"/>
    <x v="2"/>
    <x v="1"/>
    <x v="8"/>
    <n v="25.9"/>
    <n v="5"/>
    <n v="0"/>
    <n v="12.691000000000001"/>
  </r>
  <r>
    <s v="Same Day"/>
    <x v="1"/>
    <s v="United States"/>
    <s v="Southaven"/>
    <x v="35"/>
    <n v="38671"/>
    <x v="0"/>
    <x v="1"/>
    <x v="12"/>
    <n v="42.68"/>
    <n v="4"/>
    <n v="0"/>
    <n v="19.6328"/>
  </r>
  <r>
    <s v="Same Day"/>
    <x v="1"/>
    <s v="United States"/>
    <s v="Southaven"/>
    <x v="35"/>
    <n v="38671"/>
    <x v="0"/>
    <x v="2"/>
    <x v="11"/>
    <n v="299.97000000000003"/>
    <n v="3"/>
    <n v="0"/>
    <n v="125.98739999999999"/>
  </r>
  <r>
    <s v="Same Day"/>
    <x v="1"/>
    <s v="United States"/>
    <s v="Southaven"/>
    <x v="35"/>
    <n v="38671"/>
    <x v="0"/>
    <x v="1"/>
    <x v="9"/>
    <n v="262.24"/>
    <n v="2"/>
    <n v="0"/>
    <n v="78.671999999999997"/>
  </r>
  <r>
    <s v="Same Day"/>
    <x v="1"/>
    <s v="United States"/>
    <s v="Southaven"/>
    <x v="35"/>
    <n v="38671"/>
    <x v="0"/>
    <x v="1"/>
    <x v="8"/>
    <n v="234.36"/>
    <n v="6"/>
    <n v="0"/>
    <n v="112.4928"/>
  </r>
  <r>
    <s v="Standard Class"/>
    <x v="2"/>
    <s v="United States"/>
    <s v="Houston"/>
    <x v="5"/>
    <n v="77041"/>
    <x v="2"/>
    <x v="1"/>
    <x v="10"/>
    <n v="20.736000000000001"/>
    <n v="4"/>
    <n v="0.2"/>
    <n v="7.2576000000000001"/>
  </r>
  <r>
    <s v="First Class"/>
    <x v="1"/>
    <s v="United States"/>
    <s v="New York City"/>
    <x v="15"/>
    <n v="10009"/>
    <x v="3"/>
    <x v="1"/>
    <x v="6"/>
    <n v="10.5"/>
    <n v="5"/>
    <n v="0"/>
    <n v="2.94"/>
  </r>
  <r>
    <s v="Second Class"/>
    <x v="1"/>
    <s v="United States"/>
    <s v="Reading"/>
    <x v="9"/>
    <n v="19601"/>
    <x v="3"/>
    <x v="0"/>
    <x v="5"/>
    <n v="23.968"/>
    <n v="2"/>
    <n v="0.2"/>
    <n v="7.7896000000000001"/>
  </r>
  <r>
    <s v="Second Class"/>
    <x v="1"/>
    <s v="United States"/>
    <s v="Reading"/>
    <x v="9"/>
    <n v="19601"/>
    <x v="3"/>
    <x v="0"/>
    <x v="0"/>
    <n v="521.96"/>
    <n v="4"/>
    <n v="0.5"/>
    <n v="-250.54079999999999"/>
  </r>
  <r>
    <s v="Second Class"/>
    <x v="1"/>
    <s v="United States"/>
    <s v="San Francisco"/>
    <x v="1"/>
    <n v="94109"/>
    <x v="1"/>
    <x v="1"/>
    <x v="4"/>
    <n v="676.55"/>
    <n v="5"/>
    <n v="0"/>
    <n v="6.7655000000000003"/>
  </r>
  <r>
    <s v="Second Class"/>
    <x v="1"/>
    <s v="United States"/>
    <s v="San Francisco"/>
    <x v="1"/>
    <n v="94109"/>
    <x v="1"/>
    <x v="1"/>
    <x v="9"/>
    <n v="154.9"/>
    <n v="5"/>
    <n v="0"/>
    <n v="40.274000000000001"/>
  </r>
  <r>
    <s v="Second Class"/>
    <x v="1"/>
    <s v="United States"/>
    <s v="San Francisco"/>
    <x v="1"/>
    <n v="94109"/>
    <x v="1"/>
    <x v="1"/>
    <x v="12"/>
    <n v="30.56"/>
    <n v="4"/>
    <n v="0"/>
    <n v="14.974399999999999"/>
  </r>
  <r>
    <s v="Second Class"/>
    <x v="1"/>
    <s v="United States"/>
    <s v="San Francisco"/>
    <x v="1"/>
    <n v="94109"/>
    <x v="1"/>
    <x v="0"/>
    <x v="1"/>
    <n v="770.35199999999998"/>
    <n v="3"/>
    <n v="0.2"/>
    <n v="77.035200000000003"/>
  </r>
  <r>
    <s v="Second Class"/>
    <x v="1"/>
    <s v="United States"/>
    <s v="Los Angeles"/>
    <x v="1"/>
    <n v="90045"/>
    <x v="1"/>
    <x v="0"/>
    <x v="5"/>
    <n v="21.12"/>
    <n v="4"/>
    <n v="0"/>
    <n v="6.5472000000000001"/>
  </r>
  <r>
    <s v="Second Class"/>
    <x v="2"/>
    <s v="United States"/>
    <s v="Los Angeles"/>
    <x v="1"/>
    <n v="90004"/>
    <x v="1"/>
    <x v="2"/>
    <x v="7"/>
    <n v="575.928"/>
    <n v="9"/>
    <n v="0.2"/>
    <n v="57.592799999999997"/>
  </r>
  <r>
    <s v="Second Class"/>
    <x v="2"/>
    <s v="United States"/>
    <s v="Los Angeles"/>
    <x v="1"/>
    <n v="90004"/>
    <x v="1"/>
    <x v="1"/>
    <x v="9"/>
    <n v="7.78"/>
    <n v="2"/>
    <n v="0"/>
    <n v="2.0228000000000002"/>
  </r>
  <r>
    <s v="Second Class"/>
    <x v="2"/>
    <s v="United States"/>
    <s v="Los Angeles"/>
    <x v="1"/>
    <n v="90004"/>
    <x v="1"/>
    <x v="1"/>
    <x v="10"/>
    <n v="123.92"/>
    <n v="4"/>
    <n v="0"/>
    <n v="55.764000000000003"/>
  </r>
  <r>
    <s v="Standard Class"/>
    <x v="1"/>
    <s v="United States"/>
    <s v="San Francisco"/>
    <x v="1"/>
    <n v="94109"/>
    <x v="1"/>
    <x v="1"/>
    <x v="14"/>
    <n v="17.22"/>
    <n v="3"/>
    <n v="0"/>
    <n v="5.1660000000000004"/>
  </r>
  <r>
    <s v="Standard Class"/>
    <x v="1"/>
    <s v="United States"/>
    <s v="San Francisco"/>
    <x v="1"/>
    <n v="94109"/>
    <x v="1"/>
    <x v="1"/>
    <x v="4"/>
    <n v="226.56"/>
    <n v="6"/>
    <n v="0"/>
    <n v="63.436799999999998"/>
  </r>
  <r>
    <s v="Standard Class"/>
    <x v="1"/>
    <s v="United States"/>
    <s v="San Francisco"/>
    <x v="1"/>
    <n v="94109"/>
    <x v="1"/>
    <x v="2"/>
    <x v="7"/>
    <n v="107.88"/>
    <n v="3"/>
    <n v="0.2"/>
    <n v="10.788"/>
  </r>
  <r>
    <s v="First Class"/>
    <x v="2"/>
    <s v="United States"/>
    <s v="New York City"/>
    <x v="15"/>
    <n v="10009"/>
    <x v="3"/>
    <x v="1"/>
    <x v="10"/>
    <n v="81.98"/>
    <n v="2"/>
    <n v="0"/>
    <n v="40.170200000000001"/>
  </r>
  <r>
    <s v="First Class"/>
    <x v="0"/>
    <s v="United States"/>
    <s v="San Diego"/>
    <x v="1"/>
    <n v="92105"/>
    <x v="1"/>
    <x v="1"/>
    <x v="10"/>
    <n v="104.85"/>
    <n v="1"/>
    <n v="0"/>
    <n v="50.328000000000003"/>
  </r>
  <r>
    <s v="First Class"/>
    <x v="0"/>
    <s v="United States"/>
    <s v="San Diego"/>
    <x v="1"/>
    <n v="92105"/>
    <x v="1"/>
    <x v="1"/>
    <x v="8"/>
    <n v="8.7040000000000006"/>
    <n v="2"/>
    <n v="0.2"/>
    <n v="3.1551999999999998"/>
  </r>
  <r>
    <s v="First Class"/>
    <x v="0"/>
    <s v="United States"/>
    <s v="San Diego"/>
    <x v="1"/>
    <n v="92105"/>
    <x v="1"/>
    <x v="1"/>
    <x v="10"/>
    <n v="19.920000000000002"/>
    <n v="4"/>
    <n v="0"/>
    <n v="9.7607999999999997"/>
  </r>
  <r>
    <s v="First Class"/>
    <x v="0"/>
    <s v="United States"/>
    <s v="San Diego"/>
    <x v="1"/>
    <n v="92105"/>
    <x v="1"/>
    <x v="0"/>
    <x v="5"/>
    <n v="43.02"/>
    <n v="3"/>
    <n v="0"/>
    <n v="15.4872"/>
  </r>
  <r>
    <s v="Standard Class"/>
    <x v="0"/>
    <s v="United States"/>
    <s v="New York City"/>
    <x v="15"/>
    <n v="10024"/>
    <x v="3"/>
    <x v="0"/>
    <x v="0"/>
    <n v="240.78399999999999"/>
    <n v="1"/>
    <n v="0.2"/>
    <n v="30.097999999999999"/>
  </r>
  <r>
    <s v="Standard Class"/>
    <x v="2"/>
    <s v="United States"/>
    <s v="New York City"/>
    <x v="15"/>
    <n v="10011"/>
    <x v="3"/>
    <x v="1"/>
    <x v="9"/>
    <n v="414.96"/>
    <n v="2"/>
    <n v="0"/>
    <n v="124.488"/>
  </r>
  <r>
    <s v="Standard Class"/>
    <x v="0"/>
    <s v="United States"/>
    <s v="Charlotte"/>
    <x v="3"/>
    <n v="28205"/>
    <x v="0"/>
    <x v="1"/>
    <x v="4"/>
    <n v="387.72"/>
    <n v="5"/>
    <n v="0.2"/>
    <n v="-67.850999999999999"/>
  </r>
  <r>
    <s v="Standard Class"/>
    <x v="1"/>
    <s v="United States"/>
    <s v="Overland Park"/>
    <x v="41"/>
    <n v="66212"/>
    <x v="2"/>
    <x v="1"/>
    <x v="4"/>
    <n v="360.38"/>
    <n v="2"/>
    <n v="0"/>
    <n v="93.698800000000006"/>
  </r>
  <r>
    <s v="Standard Class"/>
    <x v="1"/>
    <s v="United States"/>
    <s v="Overland Park"/>
    <x v="41"/>
    <n v="66212"/>
    <x v="2"/>
    <x v="1"/>
    <x v="10"/>
    <n v="13.56"/>
    <n v="2"/>
    <n v="0"/>
    <n v="6.2375999999999996"/>
  </r>
  <r>
    <s v="First Class"/>
    <x v="0"/>
    <s v="United States"/>
    <s v="Mesa"/>
    <x v="16"/>
    <n v="85204"/>
    <x v="1"/>
    <x v="2"/>
    <x v="7"/>
    <n v="552"/>
    <n v="10"/>
    <n v="0.2"/>
    <n v="34.5"/>
  </r>
  <r>
    <s v="Standard Class"/>
    <x v="2"/>
    <s v="United States"/>
    <s v="Tulsa"/>
    <x v="26"/>
    <n v="74133"/>
    <x v="2"/>
    <x v="0"/>
    <x v="3"/>
    <n v="429.9"/>
    <n v="5"/>
    <n v="0"/>
    <n v="111.774"/>
  </r>
  <r>
    <s v="Standard Class"/>
    <x v="2"/>
    <s v="United States"/>
    <s v="Tulsa"/>
    <x v="26"/>
    <n v="74133"/>
    <x v="2"/>
    <x v="1"/>
    <x v="8"/>
    <n v="32.06"/>
    <n v="2"/>
    <n v="0"/>
    <n v="15.3888"/>
  </r>
  <r>
    <s v="Standard Class"/>
    <x v="2"/>
    <s v="United States"/>
    <s v="Tulsa"/>
    <x v="26"/>
    <n v="74133"/>
    <x v="2"/>
    <x v="0"/>
    <x v="1"/>
    <n v="161.96"/>
    <n v="2"/>
    <n v="0"/>
    <n v="45.348799999999997"/>
  </r>
  <r>
    <s v="Standard Class"/>
    <x v="2"/>
    <s v="United States"/>
    <s v="Tulsa"/>
    <x v="26"/>
    <n v="74133"/>
    <x v="2"/>
    <x v="1"/>
    <x v="4"/>
    <n v="19.86"/>
    <n v="2"/>
    <n v="0"/>
    <n v="5.7594000000000003"/>
  </r>
  <r>
    <s v="Standard Class"/>
    <x v="0"/>
    <s v="United States"/>
    <s v="New York City"/>
    <x v="15"/>
    <n v="10035"/>
    <x v="3"/>
    <x v="1"/>
    <x v="10"/>
    <n v="12.96"/>
    <n v="2"/>
    <n v="0"/>
    <n v="6.3503999999999996"/>
  </r>
  <r>
    <s v="Second Class"/>
    <x v="0"/>
    <s v="United States"/>
    <s v="Philadelphia"/>
    <x v="9"/>
    <n v="19143"/>
    <x v="3"/>
    <x v="1"/>
    <x v="10"/>
    <n v="20.544"/>
    <n v="6"/>
    <n v="0.2"/>
    <n v="6.42"/>
  </r>
  <r>
    <s v="Standard Class"/>
    <x v="0"/>
    <s v="United States"/>
    <s v="Hattiesburg"/>
    <x v="35"/>
    <n v="39401"/>
    <x v="0"/>
    <x v="0"/>
    <x v="5"/>
    <n v="185.58"/>
    <n v="6"/>
    <n v="0"/>
    <n v="76.087800000000001"/>
  </r>
  <r>
    <s v="Standard Class"/>
    <x v="0"/>
    <s v="United States"/>
    <s v="Hattiesburg"/>
    <x v="35"/>
    <n v="39401"/>
    <x v="0"/>
    <x v="1"/>
    <x v="8"/>
    <n v="77.56"/>
    <n v="2"/>
    <n v="0"/>
    <n v="35.677599999999998"/>
  </r>
  <r>
    <s v="Standard Class"/>
    <x v="0"/>
    <s v="United States"/>
    <s v="Hattiesburg"/>
    <x v="35"/>
    <n v="39401"/>
    <x v="0"/>
    <x v="1"/>
    <x v="4"/>
    <n v="87.92"/>
    <n v="4"/>
    <n v="0"/>
    <n v="0.87919999999999998"/>
  </r>
  <r>
    <s v="Standard Class"/>
    <x v="0"/>
    <s v="United States"/>
    <s v="Hattiesburg"/>
    <x v="35"/>
    <n v="39401"/>
    <x v="0"/>
    <x v="1"/>
    <x v="10"/>
    <n v="245.94"/>
    <n v="6"/>
    <n v="0"/>
    <n v="120.5106"/>
  </r>
  <r>
    <s v="Standard Class"/>
    <x v="0"/>
    <s v="United States"/>
    <s v="Hattiesburg"/>
    <x v="35"/>
    <n v="39401"/>
    <x v="0"/>
    <x v="1"/>
    <x v="8"/>
    <n v="8.6"/>
    <n v="1"/>
    <n v="0"/>
    <n v="4.0419999999999998"/>
  </r>
  <r>
    <s v="Standard Class"/>
    <x v="0"/>
    <s v="United States"/>
    <s v="Hattiesburg"/>
    <x v="35"/>
    <n v="39401"/>
    <x v="0"/>
    <x v="0"/>
    <x v="0"/>
    <n v="504.9"/>
    <n v="5"/>
    <n v="0"/>
    <n v="126.22499999999999"/>
  </r>
  <r>
    <s v="Standard Class"/>
    <x v="0"/>
    <s v="United States"/>
    <s v="Los Angeles"/>
    <x v="1"/>
    <n v="90049"/>
    <x v="1"/>
    <x v="1"/>
    <x v="8"/>
    <n v="2357.4879999999998"/>
    <n v="7"/>
    <n v="0.2"/>
    <n v="884.05799999999999"/>
  </r>
  <r>
    <s v="Standard Class"/>
    <x v="0"/>
    <s v="United States"/>
    <s v="Los Angeles"/>
    <x v="1"/>
    <n v="90049"/>
    <x v="1"/>
    <x v="2"/>
    <x v="7"/>
    <n v="369.54399999999998"/>
    <n v="7"/>
    <n v="0.2"/>
    <n v="32.335099999999997"/>
  </r>
  <r>
    <s v="Standard Class"/>
    <x v="0"/>
    <s v="United States"/>
    <s v="Los Angeles"/>
    <x v="1"/>
    <n v="90049"/>
    <x v="1"/>
    <x v="0"/>
    <x v="1"/>
    <n v="184.75200000000001"/>
    <n v="3"/>
    <n v="0.2"/>
    <n v="-20.784600000000001"/>
  </r>
  <r>
    <s v="Same Day"/>
    <x v="1"/>
    <s v="United States"/>
    <s v="Columbus"/>
    <x v="24"/>
    <n v="43229"/>
    <x v="3"/>
    <x v="1"/>
    <x v="4"/>
    <n v="64.959999999999994"/>
    <n v="5"/>
    <n v="0.2"/>
    <n v="-4.0599999999999996"/>
  </r>
  <r>
    <s v="Same Day"/>
    <x v="1"/>
    <s v="United States"/>
    <s v="Columbus"/>
    <x v="24"/>
    <n v="43229"/>
    <x v="3"/>
    <x v="1"/>
    <x v="14"/>
    <n v="13.52"/>
    <n v="2"/>
    <n v="0.2"/>
    <n v="1.69"/>
  </r>
  <r>
    <s v="Same Day"/>
    <x v="1"/>
    <s v="United States"/>
    <s v="Columbus"/>
    <x v="24"/>
    <n v="43229"/>
    <x v="3"/>
    <x v="0"/>
    <x v="1"/>
    <n v="458.43"/>
    <n v="5"/>
    <n v="0.3"/>
    <n v="-137.529"/>
  </r>
  <r>
    <s v="Same Day"/>
    <x v="1"/>
    <s v="United States"/>
    <s v="Columbus"/>
    <x v="24"/>
    <n v="43229"/>
    <x v="3"/>
    <x v="1"/>
    <x v="9"/>
    <n v="387.13600000000002"/>
    <n v="4"/>
    <n v="0.2"/>
    <n v="24.196000000000002"/>
  </r>
  <r>
    <s v="Same Day"/>
    <x v="1"/>
    <s v="United States"/>
    <s v="Columbus"/>
    <x v="24"/>
    <n v="43229"/>
    <x v="3"/>
    <x v="0"/>
    <x v="3"/>
    <n v="328.59"/>
    <n v="3"/>
    <n v="0.4"/>
    <n v="-147.8655"/>
  </r>
  <r>
    <s v="Standard Class"/>
    <x v="1"/>
    <s v="United States"/>
    <s v="Caldwell"/>
    <x v="45"/>
    <n v="83605"/>
    <x v="1"/>
    <x v="0"/>
    <x v="1"/>
    <n v="338.35199999999998"/>
    <n v="3"/>
    <n v="0.2"/>
    <n v="4.2294"/>
  </r>
  <r>
    <s v="Standard Class"/>
    <x v="1"/>
    <s v="United States"/>
    <s v="Caldwell"/>
    <x v="45"/>
    <n v="83605"/>
    <x v="1"/>
    <x v="1"/>
    <x v="10"/>
    <n v="25.92"/>
    <n v="4"/>
    <n v="0"/>
    <n v="12.441599999999999"/>
  </r>
  <r>
    <s v="Standard Class"/>
    <x v="1"/>
    <s v="United States"/>
    <s v="Caldwell"/>
    <x v="45"/>
    <n v="83605"/>
    <x v="1"/>
    <x v="1"/>
    <x v="10"/>
    <n v="91.36"/>
    <n v="4"/>
    <n v="0"/>
    <n v="42.025599999999997"/>
  </r>
  <r>
    <s v="Standard Class"/>
    <x v="1"/>
    <s v="United States"/>
    <s v="Phoenix"/>
    <x v="16"/>
    <n v="85023"/>
    <x v="1"/>
    <x v="0"/>
    <x v="5"/>
    <n v="87.96"/>
    <n v="3"/>
    <n v="0.2"/>
    <n v="7.6965000000000003"/>
  </r>
  <r>
    <s v="Standard Class"/>
    <x v="1"/>
    <s v="United States"/>
    <s v="Phoenix"/>
    <x v="16"/>
    <n v="85023"/>
    <x v="1"/>
    <x v="1"/>
    <x v="8"/>
    <n v="5.2140000000000004"/>
    <n v="2"/>
    <n v="0.7"/>
    <n v="-4.1711999999999998"/>
  </r>
  <r>
    <s v="Standard Class"/>
    <x v="0"/>
    <s v="United States"/>
    <s v="Miami"/>
    <x v="2"/>
    <n v="33142"/>
    <x v="0"/>
    <x v="1"/>
    <x v="8"/>
    <n v="12.294"/>
    <n v="1"/>
    <n v="0.7"/>
    <n v="-8.6058000000000003"/>
  </r>
  <r>
    <s v="Standard Class"/>
    <x v="0"/>
    <s v="United States"/>
    <s v="Los Angeles"/>
    <x v="1"/>
    <n v="90004"/>
    <x v="1"/>
    <x v="0"/>
    <x v="5"/>
    <n v="19.760000000000002"/>
    <n v="4"/>
    <n v="0"/>
    <n v="8.2992000000000008"/>
  </r>
  <r>
    <s v="Standard Class"/>
    <x v="0"/>
    <s v="United States"/>
    <s v="Troy"/>
    <x v="15"/>
    <n v="12180"/>
    <x v="3"/>
    <x v="0"/>
    <x v="1"/>
    <n v="109.764"/>
    <n v="2"/>
    <n v="0.1"/>
    <n v="8.5372000000000003"/>
  </r>
  <r>
    <s v="Standard Class"/>
    <x v="1"/>
    <s v="United States"/>
    <s v="New Bedford"/>
    <x v="31"/>
    <n v="2740"/>
    <x v="3"/>
    <x v="2"/>
    <x v="7"/>
    <n v="128.85"/>
    <n v="3"/>
    <n v="0"/>
    <n v="3.8654999999999999"/>
  </r>
  <r>
    <s v="First Class"/>
    <x v="1"/>
    <s v="United States"/>
    <s v="Florence"/>
    <x v="20"/>
    <n v="29501"/>
    <x v="0"/>
    <x v="0"/>
    <x v="5"/>
    <n v="127.95"/>
    <n v="3"/>
    <n v="0"/>
    <n v="21.7515"/>
  </r>
  <r>
    <s v="Standard Class"/>
    <x v="0"/>
    <s v="United States"/>
    <s v="Los Angeles"/>
    <x v="1"/>
    <n v="90049"/>
    <x v="1"/>
    <x v="1"/>
    <x v="10"/>
    <n v="68.52"/>
    <n v="3"/>
    <n v="0"/>
    <n v="31.519200000000001"/>
  </r>
  <r>
    <s v="Standard Class"/>
    <x v="0"/>
    <s v="United States"/>
    <s v="Los Angeles"/>
    <x v="1"/>
    <n v="90049"/>
    <x v="1"/>
    <x v="1"/>
    <x v="4"/>
    <n v="74.94"/>
    <n v="3"/>
    <n v="0"/>
    <n v="14.2386"/>
  </r>
  <r>
    <s v="Standard Class"/>
    <x v="0"/>
    <s v="United States"/>
    <s v="Los Angeles"/>
    <x v="1"/>
    <n v="90049"/>
    <x v="1"/>
    <x v="2"/>
    <x v="15"/>
    <n v="2548.56"/>
    <n v="6"/>
    <n v="0.2"/>
    <n v="286.71300000000002"/>
  </r>
  <r>
    <s v="Standard Class"/>
    <x v="0"/>
    <s v="United States"/>
    <s v="Los Angeles"/>
    <x v="1"/>
    <n v="90049"/>
    <x v="1"/>
    <x v="1"/>
    <x v="12"/>
    <n v="271.44"/>
    <n v="3"/>
    <n v="0"/>
    <n v="122.148"/>
  </r>
  <r>
    <s v="Standard Class"/>
    <x v="0"/>
    <s v="United States"/>
    <s v="Los Angeles"/>
    <x v="1"/>
    <n v="90049"/>
    <x v="1"/>
    <x v="2"/>
    <x v="7"/>
    <n v="287.88"/>
    <n v="3"/>
    <n v="0.2"/>
    <n v="35.984999999999999"/>
  </r>
  <r>
    <s v="First Class"/>
    <x v="2"/>
    <s v="United States"/>
    <s v="Los Angeles"/>
    <x v="1"/>
    <n v="90008"/>
    <x v="1"/>
    <x v="1"/>
    <x v="10"/>
    <n v="14.9"/>
    <n v="5"/>
    <n v="0"/>
    <n v="7.1520000000000001"/>
  </r>
  <r>
    <s v="First Class"/>
    <x v="2"/>
    <s v="United States"/>
    <s v="Los Angeles"/>
    <x v="1"/>
    <n v="90008"/>
    <x v="1"/>
    <x v="2"/>
    <x v="7"/>
    <n v="4158.9120000000003"/>
    <n v="8"/>
    <n v="0.2"/>
    <n v="363.90480000000002"/>
  </r>
  <r>
    <s v="Standard Class"/>
    <x v="1"/>
    <s v="United States"/>
    <s v="Los Angeles"/>
    <x v="1"/>
    <n v="90049"/>
    <x v="1"/>
    <x v="0"/>
    <x v="5"/>
    <n v="91.96"/>
    <n v="2"/>
    <n v="0"/>
    <n v="15.6332"/>
  </r>
  <r>
    <s v="Standard Class"/>
    <x v="1"/>
    <s v="United States"/>
    <s v="Los Angeles"/>
    <x v="1"/>
    <n v="90049"/>
    <x v="1"/>
    <x v="0"/>
    <x v="5"/>
    <n v="33.11"/>
    <n v="7"/>
    <n v="0"/>
    <n v="12.9129"/>
  </r>
  <r>
    <s v="Standard Class"/>
    <x v="1"/>
    <s v="United States"/>
    <s v="Los Angeles"/>
    <x v="1"/>
    <n v="90049"/>
    <x v="1"/>
    <x v="1"/>
    <x v="10"/>
    <n v="19.440000000000001"/>
    <n v="3"/>
    <n v="0"/>
    <n v="9.3312000000000008"/>
  </r>
  <r>
    <s v="Standard Class"/>
    <x v="1"/>
    <s v="United States"/>
    <s v="Los Angeles"/>
    <x v="1"/>
    <n v="90049"/>
    <x v="1"/>
    <x v="1"/>
    <x v="10"/>
    <n v="55.48"/>
    <n v="1"/>
    <n v="0"/>
    <n v="26.630400000000002"/>
  </r>
  <r>
    <s v="Second Class"/>
    <x v="0"/>
    <s v="United States"/>
    <s v="Columbus"/>
    <x v="24"/>
    <n v="43229"/>
    <x v="3"/>
    <x v="1"/>
    <x v="9"/>
    <n v="91.92"/>
    <n v="5"/>
    <n v="0.2"/>
    <n v="11.49"/>
  </r>
  <r>
    <s v="Same Day"/>
    <x v="0"/>
    <s v="United States"/>
    <s v="Kenner"/>
    <x v="28"/>
    <n v="70065"/>
    <x v="0"/>
    <x v="1"/>
    <x v="9"/>
    <n v="17.34"/>
    <n v="2"/>
    <n v="0"/>
    <n v="4.6818"/>
  </r>
  <r>
    <s v="Same Day"/>
    <x v="0"/>
    <s v="United States"/>
    <s v="Kenner"/>
    <x v="28"/>
    <n v="70065"/>
    <x v="0"/>
    <x v="2"/>
    <x v="11"/>
    <n v="71.98"/>
    <n v="2"/>
    <n v="0"/>
    <n v="15.1158"/>
  </r>
  <r>
    <s v="Standard Class"/>
    <x v="0"/>
    <s v="United States"/>
    <s v="Cedar Hill"/>
    <x v="5"/>
    <n v="75104"/>
    <x v="2"/>
    <x v="1"/>
    <x v="12"/>
    <n v="7.08"/>
    <n v="3"/>
    <n v="0.2"/>
    <n v="2.4780000000000002"/>
  </r>
  <r>
    <s v="First Class"/>
    <x v="1"/>
    <s v="United States"/>
    <s v="Providence"/>
    <x v="34"/>
    <n v="2908"/>
    <x v="3"/>
    <x v="2"/>
    <x v="11"/>
    <n v="69.98"/>
    <n v="2"/>
    <n v="0"/>
    <n v="4.8986000000000001"/>
  </r>
  <r>
    <s v="Second Class"/>
    <x v="0"/>
    <s v="United States"/>
    <s v="Lancaster"/>
    <x v="24"/>
    <n v="43130"/>
    <x v="3"/>
    <x v="1"/>
    <x v="9"/>
    <n v="646.27200000000005"/>
    <n v="8"/>
    <n v="0.2"/>
    <n v="64.627200000000002"/>
  </r>
  <r>
    <s v="Second Class"/>
    <x v="0"/>
    <s v="United States"/>
    <s v="Lancaster"/>
    <x v="24"/>
    <n v="43130"/>
    <x v="3"/>
    <x v="1"/>
    <x v="10"/>
    <n v="10.368"/>
    <n v="2"/>
    <n v="0.2"/>
    <n v="3.7584"/>
  </r>
  <r>
    <s v="Standard Class"/>
    <x v="1"/>
    <s v="United States"/>
    <s v="Seattle"/>
    <x v="4"/>
    <n v="98115"/>
    <x v="1"/>
    <x v="1"/>
    <x v="13"/>
    <n v="8.4"/>
    <n v="5"/>
    <n v="0"/>
    <n v="0.33600000000000002"/>
  </r>
  <r>
    <s v="Standard Class"/>
    <x v="1"/>
    <s v="United States"/>
    <s v="Seattle"/>
    <x v="4"/>
    <n v="98115"/>
    <x v="1"/>
    <x v="2"/>
    <x v="7"/>
    <n v="71.959999999999994"/>
    <n v="5"/>
    <n v="0.2"/>
    <n v="25.186"/>
  </r>
  <r>
    <s v="First Class"/>
    <x v="0"/>
    <s v="United States"/>
    <s v="Jacksonville"/>
    <x v="3"/>
    <n v="28540"/>
    <x v="0"/>
    <x v="1"/>
    <x v="6"/>
    <n v="18.48"/>
    <n v="2"/>
    <n v="0.2"/>
    <n v="6.0060000000000002"/>
  </r>
  <r>
    <s v="First Class"/>
    <x v="0"/>
    <s v="United States"/>
    <s v="Los Angeles"/>
    <x v="1"/>
    <n v="90049"/>
    <x v="1"/>
    <x v="1"/>
    <x v="6"/>
    <n v="9.84"/>
    <n v="3"/>
    <n v="0"/>
    <n v="2.8536000000000001"/>
  </r>
  <r>
    <s v="Same Day"/>
    <x v="0"/>
    <s v="United States"/>
    <s v="Miami"/>
    <x v="2"/>
    <n v="33142"/>
    <x v="0"/>
    <x v="0"/>
    <x v="1"/>
    <n v="239.24"/>
    <n v="1"/>
    <n v="0.2"/>
    <n v="23.923999999999999"/>
  </r>
  <r>
    <s v="Standard Class"/>
    <x v="1"/>
    <s v="United States"/>
    <s v="Nashua"/>
    <x v="38"/>
    <n v="3060"/>
    <x v="3"/>
    <x v="0"/>
    <x v="5"/>
    <n v="21.12"/>
    <n v="4"/>
    <n v="0"/>
    <n v="6.5472000000000001"/>
  </r>
  <r>
    <s v="First Class"/>
    <x v="0"/>
    <s v="United States"/>
    <s v="New York City"/>
    <x v="15"/>
    <n v="10011"/>
    <x v="3"/>
    <x v="1"/>
    <x v="14"/>
    <n v="54.9"/>
    <n v="5"/>
    <n v="0"/>
    <n v="15.372"/>
  </r>
  <r>
    <s v="Standard Class"/>
    <x v="2"/>
    <s v="United States"/>
    <s v="Los Angeles"/>
    <x v="1"/>
    <n v="90036"/>
    <x v="1"/>
    <x v="0"/>
    <x v="5"/>
    <n v="15.24"/>
    <n v="3"/>
    <n v="0"/>
    <n v="5.1816000000000004"/>
  </r>
  <r>
    <s v="Standard Class"/>
    <x v="0"/>
    <s v="United States"/>
    <s v="Carrollton"/>
    <x v="5"/>
    <n v="75007"/>
    <x v="2"/>
    <x v="1"/>
    <x v="9"/>
    <n v="19.568000000000001"/>
    <n v="2"/>
    <n v="0.8"/>
    <n v="-52.833599999999997"/>
  </r>
  <r>
    <s v="Standard Class"/>
    <x v="0"/>
    <s v="United States"/>
    <s v="Carrollton"/>
    <x v="5"/>
    <n v="75007"/>
    <x v="2"/>
    <x v="1"/>
    <x v="8"/>
    <n v="310.392"/>
    <n v="4"/>
    <n v="0.8"/>
    <n v="-512.14679999999998"/>
  </r>
  <r>
    <s v="Standard Class"/>
    <x v="0"/>
    <s v="United States"/>
    <s v="Georgetown"/>
    <x v="0"/>
    <n v="40324"/>
    <x v="0"/>
    <x v="0"/>
    <x v="5"/>
    <n v="42.6"/>
    <n v="3"/>
    <n v="0"/>
    <n v="16.614000000000001"/>
  </r>
  <r>
    <s v="Standard Class"/>
    <x v="0"/>
    <s v="United States"/>
    <s v="Georgetown"/>
    <x v="0"/>
    <n v="40324"/>
    <x v="0"/>
    <x v="1"/>
    <x v="8"/>
    <n v="113.94"/>
    <n v="6"/>
    <n v="0"/>
    <n v="54.691200000000002"/>
  </r>
  <r>
    <s v="Standard Class"/>
    <x v="0"/>
    <s v="United States"/>
    <s v="Georgetown"/>
    <x v="0"/>
    <n v="40324"/>
    <x v="0"/>
    <x v="1"/>
    <x v="4"/>
    <n v="129.91999999999999"/>
    <n v="4"/>
    <n v="0"/>
    <n v="5.1967999999999996"/>
  </r>
  <r>
    <s v="Standard Class"/>
    <x v="0"/>
    <s v="United States"/>
    <s v="Georgetown"/>
    <x v="0"/>
    <n v="40324"/>
    <x v="0"/>
    <x v="1"/>
    <x v="6"/>
    <n v="5.28"/>
    <n v="3"/>
    <n v="0"/>
    <n v="2.5344000000000002"/>
  </r>
  <r>
    <s v="Standard Class"/>
    <x v="1"/>
    <s v="United States"/>
    <s v="Los Angeles"/>
    <x v="1"/>
    <n v="90008"/>
    <x v="1"/>
    <x v="2"/>
    <x v="7"/>
    <n v="859.2"/>
    <n v="3"/>
    <n v="0.2"/>
    <n v="75.180000000000007"/>
  </r>
  <r>
    <s v="Standard Class"/>
    <x v="1"/>
    <s v="United States"/>
    <s v="Los Angeles"/>
    <x v="1"/>
    <n v="90008"/>
    <x v="1"/>
    <x v="2"/>
    <x v="15"/>
    <n v="506.28"/>
    <n v="3"/>
    <n v="0.2"/>
    <n v="177.19800000000001"/>
  </r>
  <r>
    <s v="Standard Class"/>
    <x v="0"/>
    <s v="United States"/>
    <s v="Sierra Vista"/>
    <x v="16"/>
    <n v="85635"/>
    <x v="1"/>
    <x v="0"/>
    <x v="5"/>
    <n v="14.368"/>
    <n v="2"/>
    <n v="0.2"/>
    <n v="3.9512"/>
  </r>
  <r>
    <s v="Second Class"/>
    <x v="1"/>
    <s v="United States"/>
    <s v="Knoxville"/>
    <x v="18"/>
    <n v="37918"/>
    <x v="0"/>
    <x v="0"/>
    <x v="1"/>
    <n v="314.35199999999998"/>
    <n v="3"/>
    <n v="0.2"/>
    <n v="-35.364600000000003"/>
  </r>
  <r>
    <s v="Second Class"/>
    <x v="1"/>
    <s v="United States"/>
    <s v="Knoxville"/>
    <x v="18"/>
    <n v="37918"/>
    <x v="0"/>
    <x v="1"/>
    <x v="10"/>
    <n v="27.888000000000002"/>
    <n v="7"/>
    <n v="0.2"/>
    <n v="10.109400000000001"/>
  </r>
  <r>
    <s v="Standard Class"/>
    <x v="1"/>
    <s v="United States"/>
    <s v="Tucson"/>
    <x v="16"/>
    <n v="85705"/>
    <x v="1"/>
    <x v="0"/>
    <x v="5"/>
    <n v="238.15199999999999"/>
    <n v="3"/>
    <n v="0.2"/>
    <n v="89.307000000000002"/>
  </r>
  <r>
    <s v="Standard Class"/>
    <x v="2"/>
    <s v="United States"/>
    <s v="Minneapolis"/>
    <x v="11"/>
    <n v="55407"/>
    <x v="2"/>
    <x v="0"/>
    <x v="3"/>
    <n v="692.94"/>
    <n v="3"/>
    <n v="0"/>
    <n v="173.23500000000001"/>
  </r>
  <r>
    <s v="Standard Class"/>
    <x v="1"/>
    <s v="United States"/>
    <s v="Miami"/>
    <x v="2"/>
    <n v="33142"/>
    <x v="0"/>
    <x v="1"/>
    <x v="8"/>
    <n v="16.146000000000001"/>
    <n v="9"/>
    <n v="0.7"/>
    <n v="-12.9168"/>
  </r>
  <r>
    <s v="Standard Class"/>
    <x v="1"/>
    <s v="United States"/>
    <s v="Miami"/>
    <x v="2"/>
    <n v="33142"/>
    <x v="0"/>
    <x v="1"/>
    <x v="8"/>
    <n v="1345.4849999999999"/>
    <n v="5"/>
    <n v="0.7"/>
    <n v="-1031.5385000000001"/>
  </r>
  <r>
    <s v="First Class"/>
    <x v="0"/>
    <s v="United States"/>
    <s v="Houston"/>
    <x v="5"/>
    <n v="77036"/>
    <x v="2"/>
    <x v="1"/>
    <x v="10"/>
    <n v="173.488"/>
    <n v="7"/>
    <n v="0.2"/>
    <n v="54.215000000000003"/>
  </r>
  <r>
    <s v="Standard Class"/>
    <x v="0"/>
    <s v="United States"/>
    <s v="Milwaukee"/>
    <x v="6"/>
    <n v="53209"/>
    <x v="2"/>
    <x v="1"/>
    <x v="6"/>
    <n v="57.75"/>
    <n v="5"/>
    <n v="0"/>
    <n v="16.170000000000002"/>
  </r>
  <r>
    <s v="Standard Class"/>
    <x v="0"/>
    <s v="United States"/>
    <s v="Milwaukee"/>
    <x v="6"/>
    <n v="53209"/>
    <x v="2"/>
    <x v="1"/>
    <x v="9"/>
    <n v="272.39999999999998"/>
    <n v="5"/>
    <n v="0"/>
    <n v="76.272000000000006"/>
  </r>
  <r>
    <s v="Second Class"/>
    <x v="2"/>
    <s v="United States"/>
    <s v="Lancaster"/>
    <x v="24"/>
    <n v="43130"/>
    <x v="3"/>
    <x v="1"/>
    <x v="10"/>
    <n v="11.952"/>
    <n v="3"/>
    <n v="0.2"/>
    <n v="4.0338000000000003"/>
  </r>
  <r>
    <s v="Second Class"/>
    <x v="2"/>
    <s v="United States"/>
    <s v="Lancaster"/>
    <x v="24"/>
    <n v="43130"/>
    <x v="3"/>
    <x v="0"/>
    <x v="5"/>
    <n v="28"/>
    <n v="4"/>
    <n v="0.2"/>
    <n v="7.7"/>
  </r>
  <r>
    <s v="Second Class"/>
    <x v="2"/>
    <s v="United States"/>
    <s v="Lancaster"/>
    <x v="24"/>
    <n v="43130"/>
    <x v="3"/>
    <x v="1"/>
    <x v="8"/>
    <n v="12.201000000000001"/>
    <n v="7"/>
    <n v="0.7"/>
    <n v="-9.7607999999999997"/>
  </r>
  <r>
    <s v="First Class"/>
    <x v="0"/>
    <s v="United States"/>
    <s v="Edinburg"/>
    <x v="5"/>
    <n v="78539"/>
    <x v="2"/>
    <x v="1"/>
    <x v="8"/>
    <n v="2.0680000000000001"/>
    <n v="1"/>
    <n v="0.8"/>
    <n v="-3.4121999999999999"/>
  </r>
  <r>
    <s v="First Class"/>
    <x v="0"/>
    <s v="United States"/>
    <s v="Edinburg"/>
    <x v="5"/>
    <n v="78539"/>
    <x v="2"/>
    <x v="1"/>
    <x v="10"/>
    <n v="83.84"/>
    <n v="8"/>
    <n v="0.2"/>
    <n v="30.391999999999999"/>
  </r>
  <r>
    <s v="Standard Class"/>
    <x v="2"/>
    <s v="United States"/>
    <s v="New York City"/>
    <x v="15"/>
    <n v="10009"/>
    <x v="3"/>
    <x v="1"/>
    <x v="12"/>
    <n v="11.36"/>
    <n v="2"/>
    <n v="0"/>
    <n v="5.3391999999999999"/>
  </r>
  <r>
    <s v="Standard Class"/>
    <x v="2"/>
    <s v="United States"/>
    <s v="New York City"/>
    <x v="15"/>
    <n v="10009"/>
    <x v="3"/>
    <x v="1"/>
    <x v="10"/>
    <n v="36.4"/>
    <n v="5"/>
    <n v="0"/>
    <n v="17.472000000000001"/>
  </r>
  <r>
    <s v="Standard Class"/>
    <x v="0"/>
    <s v="United States"/>
    <s v="Philadelphia"/>
    <x v="9"/>
    <n v="19120"/>
    <x v="3"/>
    <x v="2"/>
    <x v="11"/>
    <n v="27.968"/>
    <n v="2"/>
    <n v="0.2"/>
    <n v="6.992"/>
  </r>
  <r>
    <s v="Standard Class"/>
    <x v="2"/>
    <s v="United States"/>
    <s v="Rochester"/>
    <x v="15"/>
    <n v="14609"/>
    <x v="3"/>
    <x v="1"/>
    <x v="4"/>
    <n v="142.04"/>
    <n v="4"/>
    <n v="0"/>
    <n v="38.3508"/>
  </r>
  <r>
    <s v="Standard Class"/>
    <x v="2"/>
    <s v="United States"/>
    <s v="Rochester"/>
    <x v="15"/>
    <n v="14609"/>
    <x v="3"/>
    <x v="1"/>
    <x v="6"/>
    <n v="14.67"/>
    <n v="3"/>
    <n v="0"/>
    <n v="6.0147000000000004"/>
  </r>
  <r>
    <s v="Second Class"/>
    <x v="0"/>
    <s v="United States"/>
    <s v="San Diego"/>
    <x v="1"/>
    <n v="92037"/>
    <x v="1"/>
    <x v="2"/>
    <x v="16"/>
    <n v="1199.96"/>
    <n v="5"/>
    <n v="0.2"/>
    <n v="224.99250000000001"/>
  </r>
  <r>
    <s v="Second Class"/>
    <x v="0"/>
    <s v="United States"/>
    <s v="San Diego"/>
    <x v="1"/>
    <n v="92037"/>
    <x v="1"/>
    <x v="1"/>
    <x v="10"/>
    <n v="12.6"/>
    <n v="3"/>
    <n v="0"/>
    <n v="6.1740000000000004"/>
  </r>
  <r>
    <s v="Second Class"/>
    <x v="0"/>
    <s v="United States"/>
    <s v="San Diego"/>
    <x v="1"/>
    <n v="92037"/>
    <x v="1"/>
    <x v="1"/>
    <x v="10"/>
    <n v="17.940000000000001"/>
    <n v="3"/>
    <n v="0"/>
    <n v="8.0730000000000004"/>
  </r>
  <r>
    <s v="First Class"/>
    <x v="0"/>
    <s v="United States"/>
    <s v="Philadelphia"/>
    <x v="9"/>
    <n v="19120"/>
    <x v="3"/>
    <x v="1"/>
    <x v="2"/>
    <n v="23.904"/>
    <n v="6"/>
    <n v="0.2"/>
    <n v="7.7687999999999997"/>
  </r>
  <r>
    <s v="Standard Class"/>
    <x v="0"/>
    <s v="United States"/>
    <s v="Bartlett"/>
    <x v="18"/>
    <n v="38134"/>
    <x v="0"/>
    <x v="1"/>
    <x v="14"/>
    <n v="88.96"/>
    <n v="8"/>
    <n v="0.2"/>
    <n v="10.007999999999999"/>
  </r>
  <r>
    <s v="Standard Class"/>
    <x v="2"/>
    <s v="United States"/>
    <s v="Lakewood"/>
    <x v="1"/>
    <n v="90712"/>
    <x v="1"/>
    <x v="0"/>
    <x v="1"/>
    <n v="518.27200000000005"/>
    <n v="8"/>
    <n v="0.2"/>
    <n v="-97.176000000000002"/>
  </r>
  <r>
    <s v="Standard Class"/>
    <x v="2"/>
    <s v="United States"/>
    <s v="Lakewood"/>
    <x v="1"/>
    <n v="90712"/>
    <x v="1"/>
    <x v="0"/>
    <x v="5"/>
    <n v="6.98"/>
    <n v="1"/>
    <n v="0"/>
    <n v="3.3504"/>
  </r>
  <r>
    <s v="Standard Class"/>
    <x v="2"/>
    <s v="United States"/>
    <s v="Lakewood"/>
    <x v="1"/>
    <n v="90712"/>
    <x v="1"/>
    <x v="2"/>
    <x v="15"/>
    <n v="343.2"/>
    <n v="1"/>
    <n v="0.2"/>
    <n v="38.61"/>
  </r>
  <r>
    <s v="Standard Class"/>
    <x v="1"/>
    <s v="United States"/>
    <s v="Philadelphia"/>
    <x v="9"/>
    <n v="19120"/>
    <x v="3"/>
    <x v="1"/>
    <x v="2"/>
    <n v="17.544"/>
    <n v="3"/>
    <n v="0.2"/>
    <n v="5.9211"/>
  </r>
  <r>
    <s v="Standard Class"/>
    <x v="0"/>
    <s v="United States"/>
    <s v="Austin"/>
    <x v="5"/>
    <n v="78745"/>
    <x v="2"/>
    <x v="1"/>
    <x v="4"/>
    <n v="152.68799999999999"/>
    <n v="2"/>
    <n v="0.2"/>
    <n v="-26.720400000000001"/>
  </r>
  <r>
    <s v="Standard Class"/>
    <x v="0"/>
    <s v="United States"/>
    <s v="Austin"/>
    <x v="5"/>
    <n v="78745"/>
    <x v="2"/>
    <x v="1"/>
    <x v="13"/>
    <n v="3.488"/>
    <n v="2"/>
    <n v="0.2"/>
    <n v="0.56679999999999997"/>
  </r>
  <r>
    <s v="Standard Class"/>
    <x v="0"/>
    <s v="United States"/>
    <s v="Austin"/>
    <x v="5"/>
    <n v="78745"/>
    <x v="2"/>
    <x v="1"/>
    <x v="14"/>
    <n v="5.8879999999999999"/>
    <n v="2"/>
    <n v="0.2"/>
    <n v="-1.3248"/>
  </r>
  <r>
    <s v="Standard Class"/>
    <x v="1"/>
    <s v="United States"/>
    <s v="Los Angeles"/>
    <x v="1"/>
    <n v="90008"/>
    <x v="1"/>
    <x v="1"/>
    <x v="8"/>
    <n v="153.55199999999999"/>
    <n v="3"/>
    <n v="0.2"/>
    <n v="51.823799999999999"/>
  </r>
  <r>
    <s v="Standard Class"/>
    <x v="1"/>
    <s v="United States"/>
    <s v="Los Angeles"/>
    <x v="1"/>
    <n v="90008"/>
    <x v="1"/>
    <x v="1"/>
    <x v="4"/>
    <n v="270.62"/>
    <n v="2"/>
    <n v="0"/>
    <n v="2.7061999999999999"/>
  </r>
  <r>
    <s v="Standard Class"/>
    <x v="0"/>
    <s v="United States"/>
    <s v="New York City"/>
    <x v="15"/>
    <n v="10011"/>
    <x v="3"/>
    <x v="2"/>
    <x v="11"/>
    <n v="468.9"/>
    <n v="6"/>
    <n v="0"/>
    <n v="206.316"/>
  </r>
  <r>
    <s v="Standard Class"/>
    <x v="0"/>
    <s v="United States"/>
    <s v="New York City"/>
    <x v="15"/>
    <n v="10011"/>
    <x v="3"/>
    <x v="2"/>
    <x v="11"/>
    <n v="72.48"/>
    <n v="2"/>
    <n v="0"/>
    <n v="30.441600000000001"/>
  </r>
  <r>
    <s v="Standard Class"/>
    <x v="0"/>
    <s v="United States"/>
    <s v="New York City"/>
    <x v="15"/>
    <n v="10011"/>
    <x v="3"/>
    <x v="1"/>
    <x v="14"/>
    <n v="10.95"/>
    <n v="3"/>
    <n v="0"/>
    <n v="3.2850000000000001"/>
  </r>
  <r>
    <s v="Standard Class"/>
    <x v="0"/>
    <s v="United States"/>
    <s v="New York City"/>
    <x v="15"/>
    <n v="10011"/>
    <x v="3"/>
    <x v="0"/>
    <x v="5"/>
    <n v="191.82"/>
    <n v="3"/>
    <n v="0"/>
    <n v="61.382399999999997"/>
  </r>
  <r>
    <s v="First Class"/>
    <x v="2"/>
    <s v="United States"/>
    <s v="Houston"/>
    <x v="5"/>
    <n v="77070"/>
    <x v="2"/>
    <x v="1"/>
    <x v="4"/>
    <n v="151.05600000000001"/>
    <n v="9"/>
    <n v="0.2"/>
    <n v="7.5528000000000004"/>
  </r>
  <r>
    <s v="Same Day"/>
    <x v="0"/>
    <s v="United States"/>
    <s v="Lubbock"/>
    <x v="5"/>
    <n v="79424"/>
    <x v="2"/>
    <x v="0"/>
    <x v="5"/>
    <n v="25.16"/>
    <n v="5"/>
    <n v="0.6"/>
    <n v="-11.321999999999999"/>
  </r>
  <r>
    <s v="Standard Class"/>
    <x v="0"/>
    <s v="United States"/>
    <s v="Houston"/>
    <x v="5"/>
    <n v="77095"/>
    <x v="2"/>
    <x v="1"/>
    <x v="8"/>
    <n v="6.2160000000000002"/>
    <n v="6"/>
    <n v="0.8"/>
    <n v="-9.6348000000000003"/>
  </r>
  <r>
    <s v="Standard Class"/>
    <x v="0"/>
    <s v="United States"/>
    <s v="Houston"/>
    <x v="5"/>
    <n v="77095"/>
    <x v="2"/>
    <x v="1"/>
    <x v="6"/>
    <n v="23.616"/>
    <n v="9"/>
    <n v="0.2"/>
    <n v="2.6568000000000001"/>
  </r>
  <r>
    <s v="Standard Class"/>
    <x v="0"/>
    <s v="United States"/>
    <s v="Houston"/>
    <x v="5"/>
    <n v="77095"/>
    <x v="2"/>
    <x v="2"/>
    <x v="11"/>
    <n v="24.032"/>
    <n v="2"/>
    <n v="0.2"/>
    <n v="-0.6008"/>
  </r>
  <r>
    <s v="Standard Class"/>
    <x v="0"/>
    <s v="United States"/>
    <s v="Houston"/>
    <x v="5"/>
    <n v="77095"/>
    <x v="2"/>
    <x v="1"/>
    <x v="2"/>
    <n v="2.0880000000000001"/>
    <n v="1"/>
    <n v="0.2"/>
    <n v="0.67859999999999998"/>
  </r>
  <r>
    <s v="Standard Class"/>
    <x v="0"/>
    <s v="United States"/>
    <s v="Houston"/>
    <x v="5"/>
    <n v="77095"/>
    <x v="2"/>
    <x v="1"/>
    <x v="8"/>
    <n v="4.4880000000000004"/>
    <n v="6"/>
    <n v="0.8"/>
    <n v="-6.7320000000000002"/>
  </r>
  <r>
    <s v="Standard Class"/>
    <x v="0"/>
    <s v="United States"/>
    <s v="Costa Mesa"/>
    <x v="1"/>
    <n v="92627"/>
    <x v="1"/>
    <x v="0"/>
    <x v="5"/>
    <n v="29.22"/>
    <n v="3"/>
    <n v="0"/>
    <n v="12.8568"/>
  </r>
  <r>
    <s v="Standard Class"/>
    <x v="1"/>
    <s v="United States"/>
    <s v="Roswell"/>
    <x v="32"/>
    <n v="30076"/>
    <x v="0"/>
    <x v="1"/>
    <x v="10"/>
    <n v="6.48"/>
    <n v="1"/>
    <n v="0"/>
    <n v="3.1103999999999998"/>
  </r>
  <r>
    <s v="Second Class"/>
    <x v="1"/>
    <s v="United States"/>
    <s v="Loveland"/>
    <x v="22"/>
    <n v="80538"/>
    <x v="1"/>
    <x v="1"/>
    <x v="8"/>
    <n v="1.1879999999999999"/>
    <n v="2"/>
    <n v="0.7"/>
    <n v="-0.99"/>
  </r>
  <r>
    <s v="Standard Class"/>
    <x v="0"/>
    <s v="United States"/>
    <s v="New York City"/>
    <x v="15"/>
    <n v="10035"/>
    <x v="3"/>
    <x v="0"/>
    <x v="1"/>
    <n v="272.64600000000002"/>
    <n v="3"/>
    <n v="0.1"/>
    <n v="18.176400000000001"/>
  </r>
  <r>
    <s v="Standard Class"/>
    <x v="0"/>
    <s v="United States"/>
    <s v="New York City"/>
    <x v="15"/>
    <n v="10035"/>
    <x v="3"/>
    <x v="2"/>
    <x v="11"/>
    <n v="212.8"/>
    <n v="2"/>
    <n v="0"/>
    <n v="95.76"/>
  </r>
  <r>
    <s v="Standard Class"/>
    <x v="0"/>
    <s v="United States"/>
    <s v="New York City"/>
    <x v="15"/>
    <n v="10035"/>
    <x v="3"/>
    <x v="1"/>
    <x v="10"/>
    <n v="38.520000000000003"/>
    <n v="9"/>
    <n v="0"/>
    <n v="18.104399999999998"/>
  </r>
  <r>
    <s v="Standard Class"/>
    <x v="0"/>
    <s v="United States"/>
    <s v="New York City"/>
    <x v="15"/>
    <n v="10035"/>
    <x v="3"/>
    <x v="2"/>
    <x v="11"/>
    <n v="72.64"/>
    <n v="2"/>
    <n v="0"/>
    <n v="21.792000000000002"/>
  </r>
  <r>
    <s v="Standard Class"/>
    <x v="0"/>
    <s v="United States"/>
    <s v="New York City"/>
    <x v="15"/>
    <n v="10035"/>
    <x v="3"/>
    <x v="1"/>
    <x v="4"/>
    <n v="45.4"/>
    <n v="4"/>
    <n v="0"/>
    <n v="12.712"/>
  </r>
  <r>
    <s v="Standard Class"/>
    <x v="0"/>
    <s v="United States"/>
    <s v="New York City"/>
    <x v="15"/>
    <n v="10035"/>
    <x v="3"/>
    <x v="1"/>
    <x v="10"/>
    <n v="13.76"/>
    <n v="2"/>
    <n v="0"/>
    <n v="6.3296000000000001"/>
  </r>
  <r>
    <s v="Standard Class"/>
    <x v="0"/>
    <s v="United States"/>
    <s v="New York City"/>
    <x v="15"/>
    <n v="10035"/>
    <x v="3"/>
    <x v="0"/>
    <x v="1"/>
    <n v="80.991"/>
    <n v="1"/>
    <n v="0.1"/>
    <n v="8.0991"/>
  </r>
  <r>
    <s v="Standard Class"/>
    <x v="0"/>
    <s v="United States"/>
    <s v="New York City"/>
    <x v="15"/>
    <n v="10035"/>
    <x v="3"/>
    <x v="1"/>
    <x v="8"/>
    <n v="11.784000000000001"/>
    <n v="3"/>
    <n v="0.2"/>
    <n v="3.9771000000000001"/>
  </r>
  <r>
    <s v="Standard Class"/>
    <x v="0"/>
    <s v="United States"/>
    <s v="New York City"/>
    <x v="15"/>
    <n v="10035"/>
    <x v="3"/>
    <x v="1"/>
    <x v="13"/>
    <n v="4.3600000000000003"/>
    <n v="2"/>
    <n v="0"/>
    <n v="1.7876000000000001"/>
  </r>
  <r>
    <s v="Standard Class"/>
    <x v="0"/>
    <s v="United States"/>
    <s v="New York City"/>
    <x v="15"/>
    <n v="10035"/>
    <x v="3"/>
    <x v="0"/>
    <x v="1"/>
    <n v="2888.127"/>
    <n v="11"/>
    <n v="0.1"/>
    <n v="609.71569999999997"/>
  </r>
  <r>
    <s v="Standard Class"/>
    <x v="0"/>
    <s v="United States"/>
    <s v="New York City"/>
    <x v="15"/>
    <n v="10035"/>
    <x v="3"/>
    <x v="2"/>
    <x v="7"/>
    <n v="1299.6600000000001"/>
    <n v="2"/>
    <n v="0"/>
    <n v="350.90820000000002"/>
  </r>
  <r>
    <s v="Standard Class"/>
    <x v="0"/>
    <s v="United States"/>
    <s v="New York City"/>
    <x v="15"/>
    <n v="10035"/>
    <x v="3"/>
    <x v="0"/>
    <x v="1"/>
    <n v="2254.41"/>
    <n v="5"/>
    <n v="0.1"/>
    <n v="375.73500000000001"/>
  </r>
  <r>
    <s v="Standard Class"/>
    <x v="0"/>
    <s v="United States"/>
    <s v="New York City"/>
    <x v="15"/>
    <n v="10035"/>
    <x v="3"/>
    <x v="2"/>
    <x v="7"/>
    <n v="104.85"/>
    <n v="3"/>
    <n v="0"/>
    <n v="28.3095"/>
  </r>
  <r>
    <s v="Standard Class"/>
    <x v="0"/>
    <s v="United States"/>
    <s v="New York City"/>
    <x v="15"/>
    <n v="10035"/>
    <x v="3"/>
    <x v="2"/>
    <x v="11"/>
    <n v="59.97"/>
    <n v="3"/>
    <n v="0"/>
    <n v="20.389800000000001"/>
  </r>
  <r>
    <s v="First Class"/>
    <x v="2"/>
    <s v="United States"/>
    <s v="Philadelphia"/>
    <x v="9"/>
    <n v="19143"/>
    <x v="3"/>
    <x v="0"/>
    <x v="3"/>
    <n v="314.53199999999998"/>
    <n v="2"/>
    <n v="0.4"/>
    <n v="-83.875200000000007"/>
  </r>
  <r>
    <s v="Standard Class"/>
    <x v="1"/>
    <s v="United States"/>
    <s v="Miami"/>
    <x v="2"/>
    <n v="33178"/>
    <x v="0"/>
    <x v="1"/>
    <x v="6"/>
    <n v="13.632"/>
    <n v="4"/>
    <n v="0.2"/>
    <n v="3.5783999999999998"/>
  </r>
  <r>
    <s v="Standard Class"/>
    <x v="0"/>
    <s v="United States"/>
    <s v="Grand Prairie"/>
    <x v="5"/>
    <n v="75051"/>
    <x v="2"/>
    <x v="1"/>
    <x v="9"/>
    <n v="19.431999999999999"/>
    <n v="2"/>
    <n v="0.8"/>
    <n v="-49.551600000000001"/>
  </r>
  <r>
    <s v="Standard Class"/>
    <x v="0"/>
    <s v="United States"/>
    <s v="Grand Prairie"/>
    <x v="5"/>
    <n v="75051"/>
    <x v="2"/>
    <x v="2"/>
    <x v="11"/>
    <n v="65.44"/>
    <n v="5"/>
    <n v="0.2"/>
    <n v="-8.18"/>
  </r>
  <r>
    <s v="Standard Class"/>
    <x v="0"/>
    <s v="United States"/>
    <s v="Chicago"/>
    <x v="10"/>
    <n v="60653"/>
    <x v="2"/>
    <x v="1"/>
    <x v="2"/>
    <n v="6"/>
    <n v="2"/>
    <n v="0.2"/>
    <n v="2.1"/>
  </r>
  <r>
    <s v="Standard Class"/>
    <x v="0"/>
    <s v="United States"/>
    <s v="Chicago"/>
    <x v="10"/>
    <n v="60653"/>
    <x v="2"/>
    <x v="1"/>
    <x v="8"/>
    <n v="1.9079999999999999"/>
    <n v="3"/>
    <n v="0.8"/>
    <n v="-3.2435999999999998"/>
  </r>
  <r>
    <s v="Standard Class"/>
    <x v="0"/>
    <s v="United States"/>
    <s v="Parma"/>
    <x v="24"/>
    <n v="44134"/>
    <x v="3"/>
    <x v="0"/>
    <x v="1"/>
    <n v="1474.8019999999999"/>
    <n v="7"/>
    <n v="0.3"/>
    <n v="-21.0686"/>
  </r>
  <r>
    <s v="Standard Class"/>
    <x v="0"/>
    <s v="United States"/>
    <s v="Parma"/>
    <x v="24"/>
    <n v="44134"/>
    <x v="3"/>
    <x v="1"/>
    <x v="9"/>
    <n v="110.096"/>
    <n v="2"/>
    <n v="0.2"/>
    <n v="33.028799999999997"/>
  </r>
  <r>
    <s v="Standard Class"/>
    <x v="0"/>
    <s v="United States"/>
    <s v="Parma"/>
    <x v="24"/>
    <n v="44134"/>
    <x v="3"/>
    <x v="1"/>
    <x v="13"/>
    <n v="16.751999999999999"/>
    <n v="6"/>
    <n v="0.2"/>
    <n v="5.4443999999999999"/>
  </r>
  <r>
    <s v="Standard Class"/>
    <x v="0"/>
    <s v="United States"/>
    <s v="Parma"/>
    <x v="24"/>
    <n v="44134"/>
    <x v="3"/>
    <x v="0"/>
    <x v="1"/>
    <n v="1537.0740000000001"/>
    <n v="9"/>
    <n v="0.3"/>
    <n v="0"/>
  </r>
  <r>
    <s v="Standard Class"/>
    <x v="0"/>
    <s v="United States"/>
    <s v="Parma"/>
    <x v="24"/>
    <n v="44134"/>
    <x v="3"/>
    <x v="0"/>
    <x v="1"/>
    <n v="449.37200000000001"/>
    <n v="2"/>
    <n v="0.3"/>
    <n v="-12.8392"/>
  </r>
  <r>
    <s v="Standard Class"/>
    <x v="1"/>
    <s v="United States"/>
    <s v="Redwood City"/>
    <x v="1"/>
    <n v="94061"/>
    <x v="1"/>
    <x v="1"/>
    <x v="8"/>
    <n v="41.904000000000003"/>
    <n v="6"/>
    <n v="0.2"/>
    <n v="14.1426"/>
  </r>
  <r>
    <s v="Standard Class"/>
    <x v="2"/>
    <s v="United States"/>
    <s v="New York City"/>
    <x v="15"/>
    <n v="10011"/>
    <x v="3"/>
    <x v="2"/>
    <x v="7"/>
    <n v="2279.96"/>
    <n v="4"/>
    <n v="0"/>
    <n v="592.78959999999995"/>
  </r>
  <r>
    <s v="Standard Class"/>
    <x v="2"/>
    <s v="United States"/>
    <s v="New York City"/>
    <x v="15"/>
    <n v="10011"/>
    <x v="3"/>
    <x v="1"/>
    <x v="2"/>
    <n v="14.94"/>
    <n v="3"/>
    <n v="0"/>
    <n v="6.8723999999999998"/>
  </r>
  <r>
    <s v="Standard Class"/>
    <x v="1"/>
    <s v="United States"/>
    <s v="Springfield"/>
    <x v="21"/>
    <n v="97477"/>
    <x v="1"/>
    <x v="2"/>
    <x v="7"/>
    <n v="191.976"/>
    <n v="3"/>
    <n v="0.2"/>
    <n v="19.197600000000001"/>
  </r>
  <r>
    <s v="Standard Class"/>
    <x v="1"/>
    <s v="United States"/>
    <s v="Springfield"/>
    <x v="21"/>
    <n v="97477"/>
    <x v="1"/>
    <x v="1"/>
    <x v="6"/>
    <n v="23.832000000000001"/>
    <n v="3"/>
    <n v="0.2"/>
    <n v="6.5537999999999998"/>
  </r>
  <r>
    <s v="Standard Class"/>
    <x v="1"/>
    <s v="United States"/>
    <s v="Springfield"/>
    <x v="21"/>
    <n v="97477"/>
    <x v="1"/>
    <x v="0"/>
    <x v="5"/>
    <n v="409.21600000000001"/>
    <n v="8"/>
    <n v="0.2"/>
    <n v="61.382399999999997"/>
  </r>
  <r>
    <s v="Standard Class"/>
    <x v="1"/>
    <s v="United States"/>
    <s v="Springfield"/>
    <x v="21"/>
    <n v="97477"/>
    <x v="1"/>
    <x v="0"/>
    <x v="0"/>
    <n v="72.587999999999994"/>
    <n v="2"/>
    <n v="0.7"/>
    <n v="-128.2388"/>
  </r>
  <r>
    <s v="Standard Class"/>
    <x v="0"/>
    <s v="United States"/>
    <s v="Chicago"/>
    <x v="10"/>
    <n v="60610"/>
    <x v="2"/>
    <x v="1"/>
    <x v="4"/>
    <n v="61.567999999999998"/>
    <n v="2"/>
    <n v="0.2"/>
    <n v="4.6176000000000004"/>
  </r>
  <r>
    <s v="Standard Class"/>
    <x v="2"/>
    <s v="United States"/>
    <s v="Bedford"/>
    <x v="5"/>
    <n v="76021"/>
    <x v="2"/>
    <x v="1"/>
    <x v="10"/>
    <n v="20.96"/>
    <n v="4"/>
    <n v="0.2"/>
    <n v="6.8120000000000003"/>
  </r>
  <r>
    <s v="Standard Class"/>
    <x v="1"/>
    <s v="United States"/>
    <s v="Los Angeles"/>
    <x v="1"/>
    <n v="90036"/>
    <x v="1"/>
    <x v="2"/>
    <x v="11"/>
    <n v="44.75"/>
    <n v="5"/>
    <n v="0"/>
    <n v="8.5024999999999995"/>
  </r>
  <r>
    <s v="Standard Class"/>
    <x v="1"/>
    <s v="United States"/>
    <s v="Los Angeles"/>
    <x v="1"/>
    <n v="90036"/>
    <x v="1"/>
    <x v="1"/>
    <x v="10"/>
    <n v="11.96"/>
    <n v="2"/>
    <n v="0"/>
    <n v="5.3819999999999997"/>
  </r>
  <r>
    <s v="Standard Class"/>
    <x v="1"/>
    <s v="United States"/>
    <s v="Los Angeles"/>
    <x v="1"/>
    <n v="90036"/>
    <x v="1"/>
    <x v="1"/>
    <x v="8"/>
    <n v="3.9119999999999999"/>
    <n v="1"/>
    <n v="0.2"/>
    <n v="1.2714000000000001"/>
  </r>
  <r>
    <s v="Standard Class"/>
    <x v="0"/>
    <s v="United States"/>
    <s v="New York City"/>
    <x v="15"/>
    <n v="10009"/>
    <x v="3"/>
    <x v="0"/>
    <x v="1"/>
    <n v="327.99599999999998"/>
    <n v="6"/>
    <n v="0.1"/>
    <n v="54.665999999999997"/>
  </r>
  <r>
    <s v="First Class"/>
    <x v="1"/>
    <s v="United States"/>
    <s v="San Francisco"/>
    <x v="1"/>
    <n v="94109"/>
    <x v="1"/>
    <x v="1"/>
    <x v="8"/>
    <n v="49.408000000000001"/>
    <n v="4"/>
    <n v="0.2"/>
    <n v="18.527999999999999"/>
  </r>
  <r>
    <s v="Standard Class"/>
    <x v="2"/>
    <s v="United States"/>
    <s v="Virginia Beach"/>
    <x v="17"/>
    <n v="23464"/>
    <x v="0"/>
    <x v="2"/>
    <x v="11"/>
    <n v="53.25"/>
    <n v="3"/>
    <n v="0"/>
    <n v="20.767499999999998"/>
  </r>
  <r>
    <s v="Standard Class"/>
    <x v="2"/>
    <s v="United States"/>
    <s v="Virginia Beach"/>
    <x v="17"/>
    <n v="23464"/>
    <x v="0"/>
    <x v="1"/>
    <x v="13"/>
    <n v="3.76"/>
    <n v="2"/>
    <n v="0"/>
    <n v="1.3160000000000001"/>
  </r>
  <r>
    <s v="Standard Class"/>
    <x v="2"/>
    <s v="United States"/>
    <s v="New York City"/>
    <x v="15"/>
    <n v="10011"/>
    <x v="3"/>
    <x v="0"/>
    <x v="1"/>
    <n v="767.21400000000006"/>
    <n v="14"/>
    <n v="0.1"/>
    <n v="161.9674"/>
  </r>
  <r>
    <s v="Standard Class"/>
    <x v="0"/>
    <s v="United States"/>
    <s v="Lebanon"/>
    <x v="18"/>
    <n v="37087"/>
    <x v="0"/>
    <x v="1"/>
    <x v="10"/>
    <n v="163.96"/>
    <n v="5"/>
    <n v="0.2"/>
    <n v="59.435499999999998"/>
  </r>
  <r>
    <s v="First Class"/>
    <x v="1"/>
    <s v="United States"/>
    <s v="Los Angeles"/>
    <x v="1"/>
    <n v="90045"/>
    <x v="1"/>
    <x v="0"/>
    <x v="3"/>
    <n v="161.28"/>
    <n v="2"/>
    <n v="0.2"/>
    <n v="12.096"/>
  </r>
  <r>
    <s v="Same Day"/>
    <x v="0"/>
    <s v="United States"/>
    <s v="Chula Vista"/>
    <x v="1"/>
    <n v="91911"/>
    <x v="1"/>
    <x v="1"/>
    <x v="6"/>
    <n v="192.8"/>
    <n v="4"/>
    <n v="0"/>
    <n v="55.911999999999999"/>
  </r>
  <r>
    <s v="Standard Class"/>
    <x v="2"/>
    <s v="United States"/>
    <s v="Mcallen"/>
    <x v="5"/>
    <n v="78501"/>
    <x v="2"/>
    <x v="2"/>
    <x v="11"/>
    <n v="27.696000000000002"/>
    <n v="3"/>
    <n v="0.2"/>
    <n v="3.4620000000000002"/>
  </r>
  <r>
    <s v="Standard Class"/>
    <x v="2"/>
    <s v="United States"/>
    <s v="Mcallen"/>
    <x v="5"/>
    <n v="78501"/>
    <x v="2"/>
    <x v="1"/>
    <x v="9"/>
    <n v="73.164000000000001"/>
    <n v="6"/>
    <n v="0.8"/>
    <n v="-186.56819999999999"/>
  </r>
  <r>
    <s v="Second Class"/>
    <x v="0"/>
    <s v="United States"/>
    <s v="Hollywood"/>
    <x v="2"/>
    <n v="33021"/>
    <x v="0"/>
    <x v="1"/>
    <x v="10"/>
    <n v="32.064"/>
    <n v="6"/>
    <n v="0.2"/>
    <n v="11.2224"/>
  </r>
  <r>
    <s v="Standard Class"/>
    <x v="0"/>
    <s v="United States"/>
    <s v="San Francisco"/>
    <x v="1"/>
    <n v="94110"/>
    <x v="1"/>
    <x v="0"/>
    <x v="0"/>
    <n v="205.666"/>
    <n v="2"/>
    <n v="0.15"/>
    <n v="-12.098000000000001"/>
  </r>
  <r>
    <s v="First Class"/>
    <x v="0"/>
    <s v="United States"/>
    <s v="Santa Maria"/>
    <x v="1"/>
    <n v="93454"/>
    <x v="1"/>
    <x v="1"/>
    <x v="4"/>
    <n v="115.44"/>
    <n v="3"/>
    <n v="0"/>
    <n v="30.014399999999998"/>
  </r>
  <r>
    <s v="Standard Class"/>
    <x v="0"/>
    <s v="United States"/>
    <s v="Manchester"/>
    <x v="29"/>
    <n v="6040"/>
    <x v="3"/>
    <x v="1"/>
    <x v="10"/>
    <n v="274.8"/>
    <n v="5"/>
    <n v="0"/>
    <n v="134.65199999999999"/>
  </r>
  <r>
    <s v="Standard Class"/>
    <x v="0"/>
    <s v="United States"/>
    <s v="Manchester"/>
    <x v="29"/>
    <n v="6040"/>
    <x v="3"/>
    <x v="1"/>
    <x v="4"/>
    <n v="195.64"/>
    <n v="4"/>
    <n v="0"/>
    <n v="3.9127999999999998"/>
  </r>
  <r>
    <s v="Standard Class"/>
    <x v="0"/>
    <s v="United States"/>
    <s v="Manchester"/>
    <x v="29"/>
    <n v="6040"/>
    <x v="3"/>
    <x v="2"/>
    <x v="7"/>
    <n v="257.98"/>
    <n v="2"/>
    <n v="0"/>
    <n v="74.8142"/>
  </r>
  <r>
    <s v="Standard Class"/>
    <x v="0"/>
    <s v="United States"/>
    <s v="Manchester"/>
    <x v="29"/>
    <n v="6040"/>
    <x v="3"/>
    <x v="1"/>
    <x v="6"/>
    <n v="119.04"/>
    <n v="6"/>
    <n v="0"/>
    <n v="48.806399999999996"/>
  </r>
  <r>
    <s v="Standard Class"/>
    <x v="0"/>
    <s v="United States"/>
    <s v="Omaha"/>
    <x v="8"/>
    <n v="68104"/>
    <x v="2"/>
    <x v="1"/>
    <x v="10"/>
    <n v="20.07"/>
    <n v="3"/>
    <n v="0"/>
    <n v="9.2322000000000006"/>
  </r>
  <r>
    <s v="Standard Class"/>
    <x v="0"/>
    <s v="United States"/>
    <s v="San Jose"/>
    <x v="1"/>
    <n v="95123"/>
    <x v="1"/>
    <x v="1"/>
    <x v="6"/>
    <n v="11.76"/>
    <n v="4"/>
    <n v="0"/>
    <n v="3.1751999999999998"/>
  </r>
  <r>
    <s v="Standard Class"/>
    <x v="1"/>
    <s v="United States"/>
    <s v="San Francisco"/>
    <x v="1"/>
    <n v="94122"/>
    <x v="1"/>
    <x v="1"/>
    <x v="6"/>
    <n v="11.76"/>
    <n v="4"/>
    <n v="0"/>
    <n v="3.1751999999999998"/>
  </r>
  <r>
    <s v="Standard Class"/>
    <x v="1"/>
    <s v="United States"/>
    <s v="San Francisco"/>
    <x v="1"/>
    <n v="94122"/>
    <x v="1"/>
    <x v="1"/>
    <x v="8"/>
    <n v="40.735999999999997"/>
    <n v="2"/>
    <n v="0.2"/>
    <n v="14.7668"/>
  </r>
  <r>
    <s v="Second Class"/>
    <x v="0"/>
    <s v="United States"/>
    <s v="San Francisco"/>
    <x v="1"/>
    <n v="94109"/>
    <x v="1"/>
    <x v="2"/>
    <x v="7"/>
    <n v="201.584"/>
    <n v="2"/>
    <n v="0.2"/>
    <n v="12.599"/>
  </r>
  <r>
    <s v="First Class"/>
    <x v="1"/>
    <s v="United States"/>
    <s v="Long Beach"/>
    <x v="1"/>
    <n v="90805"/>
    <x v="1"/>
    <x v="0"/>
    <x v="1"/>
    <n v="340.70400000000001"/>
    <n v="6"/>
    <n v="0.2"/>
    <n v="-34.070399999999999"/>
  </r>
  <r>
    <s v="First Class"/>
    <x v="0"/>
    <s v="United States"/>
    <s v="Columbus"/>
    <x v="32"/>
    <n v="31907"/>
    <x v="0"/>
    <x v="0"/>
    <x v="0"/>
    <n v="354.9"/>
    <n v="5"/>
    <n v="0"/>
    <n v="88.724999999999994"/>
  </r>
  <r>
    <s v="Second Class"/>
    <x v="2"/>
    <s v="United States"/>
    <s v="San Francisco"/>
    <x v="1"/>
    <n v="94110"/>
    <x v="1"/>
    <x v="0"/>
    <x v="0"/>
    <n v="1198.33"/>
    <n v="10"/>
    <n v="0.15"/>
    <n v="70.489999999999995"/>
  </r>
  <r>
    <s v="Standard Class"/>
    <x v="0"/>
    <s v="United States"/>
    <s v="Los Angeles"/>
    <x v="1"/>
    <n v="90004"/>
    <x v="1"/>
    <x v="1"/>
    <x v="4"/>
    <n v="87.92"/>
    <n v="4"/>
    <n v="0"/>
    <n v="0.87919999999999998"/>
  </r>
  <r>
    <s v="First Class"/>
    <x v="1"/>
    <s v="United States"/>
    <s v="Philadelphia"/>
    <x v="9"/>
    <n v="19120"/>
    <x v="3"/>
    <x v="0"/>
    <x v="5"/>
    <n v="51.968000000000004"/>
    <n v="2"/>
    <n v="0.2"/>
    <n v="10.393599999999999"/>
  </r>
  <r>
    <s v="First Class"/>
    <x v="1"/>
    <s v="United States"/>
    <s v="Philadelphia"/>
    <x v="9"/>
    <n v="19120"/>
    <x v="3"/>
    <x v="1"/>
    <x v="4"/>
    <n v="51.335999999999999"/>
    <n v="3"/>
    <n v="0.2"/>
    <n v="5.7752999999999997"/>
  </r>
  <r>
    <s v="First Class"/>
    <x v="1"/>
    <s v="United States"/>
    <s v="Philadelphia"/>
    <x v="9"/>
    <n v="19120"/>
    <x v="3"/>
    <x v="1"/>
    <x v="4"/>
    <n v="332.70400000000001"/>
    <n v="1"/>
    <n v="0.2"/>
    <n v="33.270400000000002"/>
  </r>
  <r>
    <s v="First Class"/>
    <x v="1"/>
    <s v="United States"/>
    <s v="Philadelphia"/>
    <x v="9"/>
    <n v="19120"/>
    <x v="3"/>
    <x v="0"/>
    <x v="5"/>
    <n v="42.408000000000001"/>
    <n v="3"/>
    <n v="0.2"/>
    <n v="9.5418000000000003"/>
  </r>
  <r>
    <s v="Second Class"/>
    <x v="0"/>
    <s v="United States"/>
    <s v="Tulsa"/>
    <x v="26"/>
    <n v="74133"/>
    <x v="2"/>
    <x v="1"/>
    <x v="12"/>
    <n v="81.540000000000006"/>
    <n v="3"/>
    <n v="0"/>
    <n v="38.323799999999999"/>
  </r>
  <r>
    <s v="Second Class"/>
    <x v="0"/>
    <s v="United States"/>
    <s v="Tulsa"/>
    <x v="26"/>
    <n v="74133"/>
    <x v="2"/>
    <x v="2"/>
    <x v="11"/>
    <n v="167.28"/>
    <n v="12"/>
    <n v="0"/>
    <n v="23.4192"/>
  </r>
  <r>
    <s v="Standard Class"/>
    <x v="0"/>
    <s v="United States"/>
    <s v="Los Angeles"/>
    <x v="1"/>
    <n v="90049"/>
    <x v="1"/>
    <x v="1"/>
    <x v="4"/>
    <n v="772.68"/>
    <n v="4"/>
    <n v="0"/>
    <n v="108.1752"/>
  </r>
  <r>
    <s v="First Class"/>
    <x v="1"/>
    <s v="United States"/>
    <s v="Lakeland"/>
    <x v="2"/>
    <n v="33801"/>
    <x v="0"/>
    <x v="2"/>
    <x v="7"/>
    <n v="323.976"/>
    <n v="3"/>
    <n v="0.2"/>
    <n v="28.347899999999999"/>
  </r>
  <r>
    <s v="First Class"/>
    <x v="1"/>
    <s v="United States"/>
    <s v="Lakeland"/>
    <x v="2"/>
    <n v="33801"/>
    <x v="0"/>
    <x v="1"/>
    <x v="2"/>
    <n v="11.808"/>
    <n v="4"/>
    <n v="0.2"/>
    <n v="3.9851999999999999"/>
  </r>
  <r>
    <s v="First Class"/>
    <x v="1"/>
    <s v="United States"/>
    <s v="Lakeland"/>
    <x v="2"/>
    <n v="33801"/>
    <x v="0"/>
    <x v="1"/>
    <x v="4"/>
    <n v="26.16"/>
    <n v="3"/>
    <n v="0.2"/>
    <n v="1.962"/>
  </r>
  <r>
    <s v="First Class"/>
    <x v="1"/>
    <s v="United States"/>
    <s v="Lakeland"/>
    <x v="2"/>
    <n v="33801"/>
    <x v="0"/>
    <x v="1"/>
    <x v="8"/>
    <n v="33.57"/>
    <n v="5"/>
    <n v="0.7"/>
    <n v="-25.736999999999998"/>
  </r>
  <r>
    <s v="First Class"/>
    <x v="1"/>
    <s v="United States"/>
    <s v="Lakeland"/>
    <x v="2"/>
    <n v="33801"/>
    <x v="0"/>
    <x v="0"/>
    <x v="5"/>
    <n v="4.992"/>
    <n v="3"/>
    <n v="0.2"/>
    <n v="1.3728"/>
  </r>
  <r>
    <s v="First Class"/>
    <x v="1"/>
    <s v="United States"/>
    <s v="Lakeland"/>
    <x v="2"/>
    <n v="33801"/>
    <x v="0"/>
    <x v="0"/>
    <x v="5"/>
    <n v="20.015999999999998"/>
    <n v="3"/>
    <n v="0.2"/>
    <n v="5.5044000000000004"/>
  </r>
  <r>
    <s v="First Class"/>
    <x v="1"/>
    <s v="United States"/>
    <s v="Lakeland"/>
    <x v="2"/>
    <n v="33801"/>
    <x v="0"/>
    <x v="2"/>
    <x v="11"/>
    <n v="170.24"/>
    <n v="2"/>
    <n v="0.2"/>
    <n v="53.2"/>
  </r>
  <r>
    <s v="Standard Class"/>
    <x v="0"/>
    <s v="United States"/>
    <s v="Houston"/>
    <x v="5"/>
    <n v="77036"/>
    <x v="2"/>
    <x v="1"/>
    <x v="10"/>
    <n v="117.456"/>
    <n v="3"/>
    <n v="0.2"/>
    <n v="44.045999999999999"/>
  </r>
  <r>
    <s v="Second Class"/>
    <x v="1"/>
    <s v="United States"/>
    <s v="Los Angeles"/>
    <x v="1"/>
    <n v="90008"/>
    <x v="1"/>
    <x v="1"/>
    <x v="10"/>
    <n v="22.96"/>
    <n v="2"/>
    <n v="0"/>
    <n v="11.250400000000001"/>
  </r>
  <r>
    <s v="Second Class"/>
    <x v="0"/>
    <s v="United States"/>
    <s v="Springfield"/>
    <x v="17"/>
    <n v="22153"/>
    <x v="0"/>
    <x v="1"/>
    <x v="10"/>
    <n v="13.36"/>
    <n v="2"/>
    <n v="0"/>
    <n v="6.4127999999999998"/>
  </r>
  <r>
    <s v="Second Class"/>
    <x v="1"/>
    <s v="United States"/>
    <s v="New York City"/>
    <x v="15"/>
    <n v="10035"/>
    <x v="3"/>
    <x v="1"/>
    <x v="8"/>
    <n v="34.247999999999998"/>
    <n v="3"/>
    <n v="0.2"/>
    <n v="11.5587"/>
  </r>
  <r>
    <s v="Second Class"/>
    <x v="1"/>
    <s v="United States"/>
    <s v="New York City"/>
    <x v="15"/>
    <n v="10035"/>
    <x v="3"/>
    <x v="1"/>
    <x v="6"/>
    <n v="3.52"/>
    <n v="2"/>
    <n v="0"/>
    <n v="1.0207999999999999"/>
  </r>
  <r>
    <s v="Standard Class"/>
    <x v="2"/>
    <s v="United States"/>
    <s v="Springfield"/>
    <x v="25"/>
    <n v="65807"/>
    <x v="2"/>
    <x v="1"/>
    <x v="8"/>
    <n v="26.7"/>
    <n v="5"/>
    <n v="0"/>
    <n v="12.548999999999999"/>
  </r>
  <r>
    <s v="Standard Class"/>
    <x v="2"/>
    <s v="United States"/>
    <s v="Springfield"/>
    <x v="25"/>
    <n v="65807"/>
    <x v="2"/>
    <x v="2"/>
    <x v="11"/>
    <n v="21.2"/>
    <n v="2"/>
    <n v="0"/>
    <n v="9.1159999999999997"/>
  </r>
  <r>
    <s v="Standard Class"/>
    <x v="2"/>
    <s v="United States"/>
    <s v="Springfield"/>
    <x v="25"/>
    <n v="65807"/>
    <x v="2"/>
    <x v="1"/>
    <x v="4"/>
    <n v="838.38"/>
    <n v="2"/>
    <n v="0"/>
    <n v="226.36259999999999"/>
  </r>
  <r>
    <s v="Standard Class"/>
    <x v="0"/>
    <s v="United States"/>
    <s v="Columbia"/>
    <x v="20"/>
    <n v="29203"/>
    <x v="0"/>
    <x v="0"/>
    <x v="1"/>
    <n v="1690.04"/>
    <n v="4"/>
    <n v="0"/>
    <n v="422.51"/>
  </r>
  <r>
    <s v="Standard Class"/>
    <x v="0"/>
    <s v="United States"/>
    <s v="Columbia"/>
    <x v="20"/>
    <n v="29203"/>
    <x v="0"/>
    <x v="1"/>
    <x v="4"/>
    <n v="85.96"/>
    <n v="7"/>
    <n v="0"/>
    <n v="24.0688"/>
  </r>
  <r>
    <s v="Standard Class"/>
    <x v="0"/>
    <s v="United States"/>
    <s v="Columbia"/>
    <x v="20"/>
    <n v="29203"/>
    <x v="0"/>
    <x v="1"/>
    <x v="12"/>
    <n v="121.96"/>
    <n v="2"/>
    <n v="0"/>
    <n v="57.321199999999997"/>
  </r>
  <r>
    <s v="Standard Class"/>
    <x v="0"/>
    <s v="United States"/>
    <s v="Columbia"/>
    <x v="20"/>
    <n v="29203"/>
    <x v="0"/>
    <x v="1"/>
    <x v="10"/>
    <n v="23.92"/>
    <n v="4"/>
    <n v="0"/>
    <n v="11.720800000000001"/>
  </r>
  <r>
    <s v="Standard Class"/>
    <x v="0"/>
    <s v="United States"/>
    <s v="Columbia"/>
    <x v="20"/>
    <n v="29203"/>
    <x v="0"/>
    <x v="1"/>
    <x v="4"/>
    <n v="63.96"/>
    <n v="2"/>
    <n v="0"/>
    <n v="6.3959999999999999"/>
  </r>
  <r>
    <s v="Standard Class"/>
    <x v="0"/>
    <s v="United States"/>
    <s v="Columbia"/>
    <x v="20"/>
    <n v="29203"/>
    <x v="0"/>
    <x v="2"/>
    <x v="7"/>
    <n v="629.95000000000005"/>
    <n v="5"/>
    <n v="0"/>
    <n v="176.386"/>
  </r>
  <r>
    <s v="Standard Class"/>
    <x v="0"/>
    <s v="United States"/>
    <s v="Columbia"/>
    <x v="20"/>
    <n v="29203"/>
    <x v="0"/>
    <x v="2"/>
    <x v="7"/>
    <n v="113.73"/>
    <n v="3"/>
    <n v="0"/>
    <n v="32.981699999999996"/>
  </r>
  <r>
    <s v="Standard Class"/>
    <x v="0"/>
    <s v="United States"/>
    <s v="Columbia"/>
    <x v="20"/>
    <n v="29203"/>
    <x v="0"/>
    <x v="1"/>
    <x v="8"/>
    <n v="14.6"/>
    <n v="2"/>
    <n v="0"/>
    <n v="6.8620000000000001"/>
  </r>
  <r>
    <s v="Standard Class"/>
    <x v="0"/>
    <s v="United States"/>
    <s v="Columbia"/>
    <x v="20"/>
    <n v="29203"/>
    <x v="0"/>
    <x v="1"/>
    <x v="4"/>
    <n v="887.84"/>
    <n v="8"/>
    <n v="0"/>
    <n v="17.756799999999998"/>
  </r>
  <r>
    <s v="First Class"/>
    <x v="2"/>
    <s v="United States"/>
    <s v="Portland"/>
    <x v="21"/>
    <n v="97206"/>
    <x v="1"/>
    <x v="0"/>
    <x v="1"/>
    <n v="403.92"/>
    <n v="5"/>
    <n v="0.2"/>
    <n v="25.245000000000001"/>
  </r>
  <r>
    <s v="Standard Class"/>
    <x v="0"/>
    <s v="United States"/>
    <s v="Philadelphia"/>
    <x v="9"/>
    <n v="19120"/>
    <x v="3"/>
    <x v="1"/>
    <x v="6"/>
    <n v="106.8"/>
    <n v="10"/>
    <n v="0.2"/>
    <n v="10.68"/>
  </r>
  <r>
    <s v="First Class"/>
    <x v="1"/>
    <s v="United States"/>
    <s v="New York City"/>
    <x v="15"/>
    <n v="10035"/>
    <x v="3"/>
    <x v="1"/>
    <x v="4"/>
    <n v="70.95"/>
    <n v="3"/>
    <n v="0"/>
    <n v="20.575500000000002"/>
  </r>
  <r>
    <s v="First Class"/>
    <x v="1"/>
    <s v="United States"/>
    <s v="New York City"/>
    <x v="15"/>
    <n v="10035"/>
    <x v="3"/>
    <x v="1"/>
    <x v="8"/>
    <n v="34.944000000000003"/>
    <n v="6"/>
    <n v="0.2"/>
    <n v="11.7936"/>
  </r>
  <r>
    <s v="First Class"/>
    <x v="1"/>
    <s v="United States"/>
    <s v="New York City"/>
    <x v="15"/>
    <n v="10035"/>
    <x v="3"/>
    <x v="1"/>
    <x v="6"/>
    <n v="119.04"/>
    <n v="6"/>
    <n v="0"/>
    <n v="35.712000000000003"/>
  </r>
  <r>
    <s v="Standard Class"/>
    <x v="0"/>
    <s v="United States"/>
    <s v="Des Plaines"/>
    <x v="10"/>
    <n v="60016"/>
    <x v="2"/>
    <x v="2"/>
    <x v="7"/>
    <n v="383.84"/>
    <n v="4"/>
    <n v="0.2"/>
    <n v="47.98"/>
  </r>
  <r>
    <s v="Standard Class"/>
    <x v="0"/>
    <s v="United States"/>
    <s v="New York City"/>
    <x v="15"/>
    <n v="10035"/>
    <x v="3"/>
    <x v="0"/>
    <x v="5"/>
    <n v="799.56"/>
    <n v="9"/>
    <n v="0"/>
    <n v="207.88560000000001"/>
  </r>
  <r>
    <s v="Same Day"/>
    <x v="0"/>
    <s v="United States"/>
    <s v="Seattle"/>
    <x v="4"/>
    <n v="98103"/>
    <x v="1"/>
    <x v="1"/>
    <x v="4"/>
    <n v="31.44"/>
    <n v="3"/>
    <n v="0"/>
    <n v="8.4887999999999995"/>
  </r>
  <r>
    <s v="Standard Class"/>
    <x v="0"/>
    <s v="United States"/>
    <s v="Houston"/>
    <x v="5"/>
    <n v="77095"/>
    <x v="2"/>
    <x v="1"/>
    <x v="10"/>
    <n v="25.92"/>
    <n v="5"/>
    <n v="0.2"/>
    <n v="9.0719999999999992"/>
  </r>
  <r>
    <s v="Standard Class"/>
    <x v="0"/>
    <s v="United States"/>
    <s v="Houston"/>
    <x v="5"/>
    <n v="77095"/>
    <x v="2"/>
    <x v="1"/>
    <x v="8"/>
    <n v="6.33"/>
    <n v="5"/>
    <n v="0.8"/>
    <n v="-9.8115000000000006"/>
  </r>
  <r>
    <s v="Standard Class"/>
    <x v="0"/>
    <s v="United States"/>
    <s v="Houston"/>
    <x v="5"/>
    <n v="77095"/>
    <x v="2"/>
    <x v="1"/>
    <x v="10"/>
    <n v="75.88"/>
    <n v="5"/>
    <n v="0.2"/>
    <n v="26.558"/>
  </r>
  <r>
    <s v="Standard Class"/>
    <x v="0"/>
    <s v="United States"/>
    <s v="Philadelphia"/>
    <x v="9"/>
    <n v="19143"/>
    <x v="3"/>
    <x v="2"/>
    <x v="7"/>
    <n v="329.988"/>
    <n v="2"/>
    <n v="0.4"/>
    <n v="-76.997200000000007"/>
  </r>
  <r>
    <s v="Standard Class"/>
    <x v="0"/>
    <s v="United States"/>
    <s v="Philadelphia"/>
    <x v="9"/>
    <n v="19143"/>
    <x v="3"/>
    <x v="1"/>
    <x v="4"/>
    <n v="71.376000000000005"/>
    <n v="3"/>
    <n v="0.2"/>
    <n v="-4.4610000000000003"/>
  </r>
  <r>
    <s v="Standard Class"/>
    <x v="0"/>
    <s v="United States"/>
    <s v="Columbus"/>
    <x v="14"/>
    <n v="47201"/>
    <x v="2"/>
    <x v="1"/>
    <x v="10"/>
    <n v="63.77"/>
    <n v="7"/>
    <n v="0"/>
    <n v="28.6965"/>
  </r>
  <r>
    <s v="Standard Class"/>
    <x v="0"/>
    <s v="United States"/>
    <s v="Columbus"/>
    <x v="14"/>
    <n v="47201"/>
    <x v="2"/>
    <x v="2"/>
    <x v="7"/>
    <n v="50.97"/>
    <n v="3"/>
    <n v="0"/>
    <n v="13.2522"/>
  </r>
  <r>
    <s v="Standard Class"/>
    <x v="0"/>
    <s v="United States"/>
    <s v="Columbus"/>
    <x v="14"/>
    <n v="47201"/>
    <x v="2"/>
    <x v="1"/>
    <x v="10"/>
    <n v="96.08"/>
    <n v="2"/>
    <n v="0"/>
    <n v="46.118400000000001"/>
  </r>
  <r>
    <s v="Standard Class"/>
    <x v="0"/>
    <s v="United States"/>
    <s v="Evanston"/>
    <x v="10"/>
    <n v="60201"/>
    <x v="2"/>
    <x v="2"/>
    <x v="16"/>
    <n v="1439.9680000000001"/>
    <n v="4"/>
    <n v="0.2"/>
    <n v="485.98919999999998"/>
  </r>
  <r>
    <s v="Standard Class"/>
    <x v="0"/>
    <s v="United States"/>
    <s v="Evanston"/>
    <x v="10"/>
    <n v="60201"/>
    <x v="2"/>
    <x v="2"/>
    <x v="11"/>
    <n v="43.56"/>
    <n v="3"/>
    <n v="0.2"/>
    <n v="-4.9005000000000001"/>
  </r>
  <r>
    <s v="Standard Class"/>
    <x v="0"/>
    <s v="United States"/>
    <s v="Apple Valley"/>
    <x v="1"/>
    <n v="92307"/>
    <x v="1"/>
    <x v="0"/>
    <x v="1"/>
    <n v="563.91999999999996"/>
    <n v="5"/>
    <n v="0.2"/>
    <n v="7.0490000000000004"/>
  </r>
  <r>
    <s v="Standard Class"/>
    <x v="0"/>
    <s v="United States"/>
    <s v="Columbus"/>
    <x v="24"/>
    <n v="43229"/>
    <x v="3"/>
    <x v="2"/>
    <x v="7"/>
    <n v="235.15199999999999"/>
    <n v="8"/>
    <n v="0.4"/>
    <n v="-47.0304"/>
  </r>
  <r>
    <s v="First Class"/>
    <x v="2"/>
    <s v="United States"/>
    <s v="Marion"/>
    <x v="24"/>
    <n v="43302"/>
    <x v="3"/>
    <x v="0"/>
    <x v="5"/>
    <n v="7.7119999999999997"/>
    <n v="2"/>
    <n v="0.2"/>
    <n v="1.7352000000000001"/>
  </r>
  <r>
    <s v="Second Class"/>
    <x v="0"/>
    <s v="United States"/>
    <s v="Houston"/>
    <x v="5"/>
    <n v="77095"/>
    <x v="2"/>
    <x v="1"/>
    <x v="10"/>
    <n v="51.015999999999998"/>
    <n v="7"/>
    <n v="0.2"/>
    <n v="15.942500000000001"/>
  </r>
  <r>
    <s v="Second Class"/>
    <x v="0"/>
    <s v="United States"/>
    <s v="Houston"/>
    <x v="5"/>
    <n v="77095"/>
    <x v="2"/>
    <x v="1"/>
    <x v="13"/>
    <n v="25.248000000000001"/>
    <n v="4"/>
    <n v="0.2"/>
    <n v="7.89"/>
  </r>
  <r>
    <s v="Second Class"/>
    <x v="0"/>
    <s v="United States"/>
    <s v="Houston"/>
    <x v="5"/>
    <n v="77095"/>
    <x v="2"/>
    <x v="0"/>
    <x v="1"/>
    <n v="56.686"/>
    <n v="1"/>
    <n v="0.3"/>
    <n v="-14.5764"/>
  </r>
  <r>
    <s v="Standard Class"/>
    <x v="1"/>
    <s v="United States"/>
    <s v="Marion"/>
    <x v="24"/>
    <n v="43302"/>
    <x v="3"/>
    <x v="1"/>
    <x v="4"/>
    <n v="51.167999999999999"/>
    <n v="2"/>
    <n v="0.2"/>
    <n v="-6.3959999999999999"/>
  </r>
  <r>
    <s v="Standard Class"/>
    <x v="1"/>
    <s v="United States"/>
    <s v="Seattle"/>
    <x v="4"/>
    <n v="98103"/>
    <x v="1"/>
    <x v="1"/>
    <x v="8"/>
    <n v="2793.5279999999998"/>
    <n v="9"/>
    <n v="0.2"/>
    <n v="942.81569999999999"/>
  </r>
  <r>
    <s v="Standard Class"/>
    <x v="1"/>
    <s v="United States"/>
    <s v="Seattle"/>
    <x v="4"/>
    <n v="98103"/>
    <x v="1"/>
    <x v="1"/>
    <x v="4"/>
    <n v="1000.02"/>
    <n v="7"/>
    <n v="0"/>
    <n v="290.00580000000002"/>
  </r>
  <r>
    <s v="Standard Class"/>
    <x v="1"/>
    <s v="United States"/>
    <s v="Seattle"/>
    <x v="4"/>
    <n v="98103"/>
    <x v="1"/>
    <x v="0"/>
    <x v="5"/>
    <n v="65.94"/>
    <n v="3"/>
    <n v="0"/>
    <n v="22.419599999999999"/>
  </r>
  <r>
    <s v="Second Class"/>
    <x v="0"/>
    <s v="United States"/>
    <s v="Longview"/>
    <x v="4"/>
    <n v="98632"/>
    <x v="1"/>
    <x v="1"/>
    <x v="13"/>
    <n v="18.239999999999998"/>
    <n v="3"/>
    <n v="0"/>
    <n v="9.1199999999999992"/>
  </r>
  <r>
    <s v="Second Class"/>
    <x v="0"/>
    <s v="United States"/>
    <s v="Longview"/>
    <x v="4"/>
    <n v="98632"/>
    <x v="1"/>
    <x v="1"/>
    <x v="9"/>
    <n v="76.12"/>
    <n v="2"/>
    <n v="0"/>
    <n v="22.0748"/>
  </r>
  <r>
    <s v="Standard Class"/>
    <x v="0"/>
    <s v="United States"/>
    <s v="Redondo Beach"/>
    <x v="1"/>
    <n v="90278"/>
    <x v="1"/>
    <x v="1"/>
    <x v="12"/>
    <n v="7.64"/>
    <n v="1"/>
    <n v="0"/>
    <n v="3.7435999999999998"/>
  </r>
  <r>
    <s v="Standard Class"/>
    <x v="1"/>
    <s v="United States"/>
    <s v="New York City"/>
    <x v="15"/>
    <n v="10035"/>
    <x v="3"/>
    <x v="0"/>
    <x v="5"/>
    <n v="68.16"/>
    <n v="3"/>
    <n v="0"/>
    <n v="27.945599999999999"/>
  </r>
  <r>
    <s v="Standard Class"/>
    <x v="1"/>
    <s v="United States"/>
    <s v="New York City"/>
    <x v="15"/>
    <n v="10035"/>
    <x v="3"/>
    <x v="1"/>
    <x v="12"/>
    <n v="62.24"/>
    <n v="8"/>
    <n v="0"/>
    <n v="29.252800000000001"/>
  </r>
  <r>
    <s v="Standard Class"/>
    <x v="0"/>
    <s v="United States"/>
    <s v="Louisville"/>
    <x v="0"/>
    <n v="40214"/>
    <x v="0"/>
    <x v="2"/>
    <x v="7"/>
    <n v="29.97"/>
    <n v="3"/>
    <n v="0"/>
    <n v="0.29970000000000002"/>
  </r>
  <r>
    <s v="Standard Class"/>
    <x v="0"/>
    <s v="United States"/>
    <s v="Trenton"/>
    <x v="12"/>
    <n v="48183"/>
    <x v="2"/>
    <x v="2"/>
    <x v="7"/>
    <n v="125.7"/>
    <n v="6"/>
    <n v="0"/>
    <n v="35.195999999999998"/>
  </r>
  <r>
    <s v="Standard Class"/>
    <x v="0"/>
    <s v="United States"/>
    <s v="Trenton"/>
    <x v="12"/>
    <n v="48183"/>
    <x v="2"/>
    <x v="2"/>
    <x v="7"/>
    <n v="191.98"/>
    <n v="2"/>
    <n v="0"/>
    <n v="51.834600000000002"/>
  </r>
  <r>
    <s v="Standard Class"/>
    <x v="0"/>
    <s v="United States"/>
    <s v="Trenton"/>
    <x v="12"/>
    <n v="48183"/>
    <x v="2"/>
    <x v="1"/>
    <x v="4"/>
    <n v="20.86"/>
    <n v="7"/>
    <n v="0"/>
    <n v="1.4601999999999999"/>
  </r>
  <r>
    <s v="Second Class"/>
    <x v="0"/>
    <s v="United States"/>
    <s v="Los Angeles"/>
    <x v="1"/>
    <n v="90045"/>
    <x v="1"/>
    <x v="1"/>
    <x v="2"/>
    <n v="56.7"/>
    <n v="9"/>
    <n v="0"/>
    <n v="26.082000000000001"/>
  </r>
  <r>
    <s v="Standard Class"/>
    <x v="0"/>
    <s v="United States"/>
    <s v="Hendersonville"/>
    <x v="18"/>
    <n v="37075"/>
    <x v="0"/>
    <x v="0"/>
    <x v="5"/>
    <n v="72.703999999999994"/>
    <n v="4"/>
    <n v="0.2"/>
    <n v="19.084800000000001"/>
  </r>
  <r>
    <s v="Standard Class"/>
    <x v="0"/>
    <s v="United States"/>
    <s v="Hendersonville"/>
    <x v="18"/>
    <n v="37075"/>
    <x v="0"/>
    <x v="1"/>
    <x v="6"/>
    <n v="12.263999999999999"/>
    <n v="7"/>
    <n v="0.2"/>
    <n v="1.0730999999999999"/>
  </r>
  <r>
    <s v="Standard Class"/>
    <x v="0"/>
    <s v="United States"/>
    <s v="Hendersonville"/>
    <x v="18"/>
    <n v="37075"/>
    <x v="0"/>
    <x v="1"/>
    <x v="4"/>
    <n v="218.352"/>
    <n v="3"/>
    <n v="0.2"/>
    <n v="-54.588000000000001"/>
  </r>
  <r>
    <s v="Standard Class"/>
    <x v="0"/>
    <s v="United States"/>
    <s v="Portland"/>
    <x v="21"/>
    <n v="97206"/>
    <x v="1"/>
    <x v="0"/>
    <x v="0"/>
    <n v="66.293999999999997"/>
    <n v="1"/>
    <n v="0.7"/>
    <n v="-103.86060000000001"/>
  </r>
  <r>
    <s v="Standard Class"/>
    <x v="0"/>
    <s v="United States"/>
    <s v="Portland"/>
    <x v="21"/>
    <n v="97206"/>
    <x v="1"/>
    <x v="0"/>
    <x v="1"/>
    <n v="291.16800000000001"/>
    <n v="4"/>
    <n v="0.2"/>
    <n v="-14.558400000000001"/>
  </r>
  <r>
    <s v="Standard Class"/>
    <x v="0"/>
    <s v="United States"/>
    <s v="Irving"/>
    <x v="5"/>
    <n v="75061"/>
    <x v="2"/>
    <x v="2"/>
    <x v="7"/>
    <n v="88.775999999999996"/>
    <n v="3"/>
    <n v="0.2"/>
    <n v="7.7679"/>
  </r>
  <r>
    <s v="Standard Class"/>
    <x v="2"/>
    <s v="United States"/>
    <s v="Cleveland"/>
    <x v="24"/>
    <n v="44105"/>
    <x v="3"/>
    <x v="2"/>
    <x v="7"/>
    <n v="110.376"/>
    <n v="4"/>
    <n v="0.4"/>
    <n v="-20.235600000000002"/>
  </r>
  <r>
    <s v="Standard Class"/>
    <x v="2"/>
    <s v="United States"/>
    <s v="Cleveland"/>
    <x v="24"/>
    <n v="44105"/>
    <x v="3"/>
    <x v="2"/>
    <x v="11"/>
    <n v="55.176000000000002"/>
    <n v="3"/>
    <n v="0.2"/>
    <n v="15.863099999999999"/>
  </r>
  <r>
    <s v="Standard Class"/>
    <x v="0"/>
    <s v="United States"/>
    <s v="Waterloo"/>
    <x v="23"/>
    <n v="50701"/>
    <x v="2"/>
    <x v="1"/>
    <x v="6"/>
    <n v="30.32"/>
    <n v="4"/>
    <n v="0"/>
    <n v="11.8248"/>
  </r>
  <r>
    <s v="Same Day"/>
    <x v="0"/>
    <s v="United States"/>
    <s v="Seattle"/>
    <x v="4"/>
    <n v="98105"/>
    <x v="1"/>
    <x v="0"/>
    <x v="1"/>
    <n v="177.56800000000001"/>
    <n v="2"/>
    <n v="0.2"/>
    <n v="8.8783999999999992"/>
  </r>
  <r>
    <s v="Same Day"/>
    <x v="0"/>
    <s v="United States"/>
    <s v="Seattle"/>
    <x v="4"/>
    <n v="98105"/>
    <x v="1"/>
    <x v="1"/>
    <x v="10"/>
    <n v="19.440000000000001"/>
    <n v="3"/>
    <n v="0"/>
    <n v="9.3312000000000008"/>
  </r>
  <r>
    <s v="Same Day"/>
    <x v="0"/>
    <s v="United States"/>
    <s v="Seattle"/>
    <x v="4"/>
    <n v="98105"/>
    <x v="1"/>
    <x v="1"/>
    <x v="10"/>
    <n v="71.28"/>
    <n v="11"/>
    <n v="0"/>
    <n v="34.214399999999998"/>
  </r>
  <r>
    <s v="Same Day"/>
    <x v="0"/>
    <s v="United States"/>
    <s v="Seattle"/>
    <x v="4"/>
    <n v="98105"/>
    <x v="1"/>
    <x v="1"/>
    <x v="8"/>
    <n v="1471.96"/>
    <n v="5"/>
    <n v="0.2"/>
    <n v="459.98750000000001"/>
  </r>
  <r>
    <s v="Same Day"/>
    <x v="0"/>
    <s v="United States"/>
    <s v="Seattle"/>
    <x v="4"/>
    <n v="98105"/>
    <x v="1"/>
    <x v="2"/>
    <x v="7"/>
    <n v="79.959999999999994"/>
    <n v="5"/>
    <n v="0.2"/>
    <n v="-17.991"/>
  </r>
  <r>
    <s v="Standard Class"/>
    <x v="1"/>
    <s v="United States"/>
    <s v="Philadelphia"/>
    <x v="9"/>
    <n v="19120"/>
    <x v="3"/>
    <x v="1"/>
    <x v="12"/>
    <n v="57.576000000000001"/>
    <n v="3"/>
    <n v="0.2"/>
    <n v="21.591000000000001"/>
  </r>
  <r>
    <s v="Standard Class"/>
    <x v="0"/>
    <s v="United States"/>
    <s v="New York City"/>
    <x v="15"/>
    <n v="10009"/>
    <x v="3"/>
    <x v="1"/>
    <x v="8"/>
    <n v="26.335999999999999"/>
    <n v="4"/>
    <n v="0.2"/>
    <n v="9.2175999999999991"/>
  </r>
  <r>
    <s v="Standard Class"/>
    <x v="0"/>
    <s v="United States"/>
    <s v="San Jose"/>
    <x v="1"/>
    <n v="95123"/>
    <x v="1"/>
    <x v="0"/>
    <x v="5"/>
    <n v="166.5"/>
    <n v="3"/>
    <n v="0"/>
    <n v="21.645"/>
  </r>
  <r>
    <s v="Standard Class"/>
    <x v="0"/>
    <s v="United States"/>
    <s v="San Jose"/>
    <x v="1"/>
    <n v="95123"/>
    <x v="1"/>
    <x v="1"/>
    <x v="4"/>
    <n v="360.38"/>
    <n v="2"/>
    <n v="0"/>
    <n v="93.698800000000006"/>
  </r>
  <r>
    <s v="Second Class"/>
    <x v="0"/>
    <s v="United States"/>
    <s v="Los Angeles"/>
    <x v="1"/>
    <n v="90008"/>
    <x v="1"/>
    <x v="1"/>
    <x v="8"/>
    <n v="11.744"/>
    <n v="1"/>
    <n v="0.2"/>
    <n v="3.8168000000000002"/>
  </r>
  <r>
    <s v="Second Class"/>
    <x v="1"/>
    <s v="United States"/>
    <s v="Concord"/>
    <x v="38"/>
    <n v="3301"/>
    <x v="3"/>
    <x v="0"/>
    <x v="5"/>
    <n v="247.44"/>
    <n v="8"/>
    <n v="0"/>
    <n v="101.4504"/>
  </r>
  <r>
    <s v="Standard Class"/>
    <x v="2"/>
    <s v="United States"/>
    <s v="Columbia"/>
    <x v="18"/>
    <n v="38401"/>
    <x v="0"/>
    <x v="1"/>
    <x v="8"/>
    <n v="18.239999999999998"/>
    <n v="2"/>
    <n v="0.7"/>
    <n v="-14.592000000000001"/>
  </r>
  <r>
    <s v="Standard Class"/>
    <x v="2"/>
    <s v="United States"/>
    <s v="Bellevue"/>
    <x v="4"/>
    <n v="98006"/>
    <x v="1"/>
    <x v="1"/>
    <x v="14"/>
    <n v="25.35"/>
    <n v="3"/>
    <n v="0"/>
    <n v="7.6050000000000004"/>
  </r>
  <r>
    <s v="Standard Class"/>
    <x v="2"/>
    <s v="United States"/>
    <s v="Seattle"/>
    <x v="4"/>
    <n v="98105"/>
    <x v="1"/>
    <x v="1"/>
    <x v="6"/>
    <n v="119.04"/>
    <n v="6"/>
    <n v="0"/>
    <n v="30.950399999999998"/>
  </r>
  <r>
    <s v="Standard Class"/>
    <x v="2"/>
    <s v="United States"/>
    <s v="Seattle"/>
    <x v="4"/>
    <n v="98105"/>
    <x v="1"/>
    <x v="0"/>
    <x v="5"/>
    <n v="22.14"/>
    <n v="3"/>
    <n v="0"/>
    <n v="6.4206000000000003"/>
  </r>
  <r>
    <s v="Standard Class"/>
    <x v="2"/>
    <s v="United States"/>
    <s v="Seattle"/>
    <x v="4"/>
    <n v="98105"/>
    <x v="1"/>
    <x v="2"/>
    <x v="11"/>
    <n v="13.98"/>
    <n v="2"/>
    <n v="0"/>
    <n v="6.0114000000000001"/>
  </r>
  <r>
    <s v="Standard Class"/>
    <x v="0"/>
    <s v="United States"/>
    <s v="Columbus"/>
    <x v="14"/>
    <n v="47201"/>
    <x v="2"/>
    <x v="1"/>
    <x v="8"/>
    <n v="43.41"/>
    <n v="1"/>
    <n v="0"/>
    <n v="19.968599999999999"/>
  </r>
  <r>
    <s v="Standard Class"/>
    <x v="0"/>
    <s v="United States"/>
    <s v="Columbus"/>
    <x v="14"/>
    <n v="47201"/>
    <x v="2"/>
    <x v="0"/>
    <x v="5"/>
    <n v="6.24"/>
    <n v="3"/>
    <n v="0"/>
    <n v="2.6208"/>
  </r>
  <r>
    <s v="Standard Class"/>
    <x v="0"/>
    <s v="United States"/>
    <s v="Columbus"/>
    <x v="14"/>
    <n v="47201"/>
    <x v="2"/>
    <x v="1"/>
    <x v="9"/>
    <n v="465.16"/>
    <n v="2"/>
    <n v="0"/>
    <n v="120.94159999999999"/>
  </r>
  <r>
    <s v="Standard Class"/>
    <x v="0"/>
    <s v="United States"/>
    <s v="Columbus"/>
    <x v="14"/>
    <n v="47201"/>
    <x v="2"/>
    <x v="1"/>
    <x v="10"/>
    <n v="7.98"/>
    <n v="1"/>
    <n v="0"/>
    <n v="3.99"/>
  </r>
  <r>
    <s v="First Class"/>
    <x v="0"/>
    <s v="United States"/>
    <s v="Chicago"/>
    <x v="10"/>
    <n v="60623"/>
    <x v="2"/>
    <x v="1"/>
    <x v="9"/>
    <n v="2.3940000000000001"/>
    <n v="1"/>
    <n v="0.8"/>
    <n v="-6.3441000000000001"/>
  </r>
  <r>
    <s v="Same Day"/>
    <x v="2"/>
    <s v="United States"/>
    <s v="Marietta"/>
    <x v="32"/>
    <n v="30062"/>
    <x v="0"/>
    <x v="1"/>
    <x v="10"/>
    <n v="58.32"/>
    <n v="9"/>
    <n v="0"/>
    <n v="27.993600000000001"/>
  </r>
  <r>
    <s v="Same Day"/>
    <x v="2"/>
    <s v="United States"/>
    <s v="Marietta"/>
    <x v="32"/>
    <n v="30062"/>
    <x v="0"/>
    <x v="2"/>
    <x v="7"/>
    <n v="200.97"/>
    <n v="3"/>
    <n v="0"/>
    <n v="50.2425"/>
  </r>
  <r>
    <s v="Standard Class"/>
    <x v="1"/>
    <s v="United States"/>
    <s v="Montgomery"/>
    <x v="19"/>
    <n v="36116"/>
    <x v="0"/>
    <x v="0"/>
    <x v="5"/>
    <n v="21.36"/>
    <n v="8"/>
    <n v="0"/>
    <n v="8.1167999999999996"/>
  </r>
  <r>
    <s v="Standard Class"/>
    <x v="1"/>
    <s v="United States"/>
    <s v="Plano"/>
    <x v="5"/>
    <n v="75023"/>
    <x v="2"/>
    <x v="1"/>
    <x v="2"/>
    <n v="9.8559999999999999"/>
    <n v="4"/>
    <n v="0.2"/>
    <n v="3.4496000000000002"/>
  </r>
  <r>
    <s v="Second Class"/>
    <x v="2"/>
    <s v="United States"/>
    <s v="Tamarac"/>
    <x v="2"/>
    <n v="33319"/>
    <x v="0"/>
    <x v="1"/>
    <x v="8"/>
    <n v="3.444"/>
    <n v="1"/>
    <n v="0.7"/>
    <n v="-2.5255999999999998"/>
  </r>
  <r>
    <s v="Second Class"/>
    <x v="1"/>
    <s v="United States"/>
    <s v="Columbus"/>
    <x v="24"/>
    <n v="43229"/>
    <x v="3"/>
    <x v="1"/>
    <x v="14"/>
    <n v="384.59199999999998"/>
    <n v="2"/>
    <n v="0.2"/>
    <n v="-81.725800000000007"/>
  </r>
  <r>
    <s v="Second Class"/>
    <x v="0"/>
    <s v="United States"/>
    <s v="New York City"/>
    <x v="15"/>
    <n v="10009"/>
    <x v="3"/>
    <x v="1"/>
    <x v="12"/>
    <n v="22.92"/>
    <n v="3"/>
    <n v="0"/>
    <n v="11.2308"/>
  </r>
  <r>
    <s v="Second Class"/>
    <x v="0"/>
    <s v="United States"/>
    <s v="Richmond"/>
    <x v="14"/>
    <n v="47374"/>
    <x v="2"/>
    <x v="1"/>
    <x v="8"/>
    <n v="11.36"/>
    <n v="4"/>
    <n v="0"/>
    <n v="5.5663999999999998"/>
  </r>
  <r>
    <s v="Standard Class"/>
    <x v="0"/>
    <s v="United States"/>
    <s v="Seattle"/>
    <x v="4"/>
    <n v="98115"/>
    <x v="1"/>
    <x v="1"/>
    <x v="8"/>
    <n v="14.592000000000001"/>
    <n v="3"/>
    <n v="0.2"/>
    <n v="4.9248000000000003"/>
  </r>
  <r>
    <s v="Standard Class"/>
    <x v="1"/>
    <s v="United States"/>
    <s v="Long Beach"/>
    <x v="15"/>
    <n v="11561"/>
    <x v="3"/>
    <x v="1"/>
    <x v="2"/>
    <n v="41.4"/>
    <n v="4"/>
    <n v="0"/>
    <n v="19.872"/>
  </r>
  <r>
    <s v="First Class"/>
    <x v="1"/>
    <s v="United States"/>
    <s v="Rockford"/>
    <x v="10"/>
    <n v="61107"/>
    <x v="2"/>
    <x v="1"/>
    <x v="8"/>
    <n v="442.37200000000001"/>
    <n v="7"/>
    <n v="0.8"/>
    <n v="-729.91380000000004"/>
  </r>
  <r>
    <s v="Standard Class"/>
    <x v="1"/>
    <s v="United States"/>
    <s v="Columbus"/>
    <x v="32"/>
    <n v="31907"/>
    <x v="0"/>
    <x v="1"/>
    <x v="8"/>
    <n v="34.5"/>
    <n v="3"/>
    <n v="0"/>
    <n v="15.525"/>
  </r>
  <r>
    <s v="Same Day"/>
    <x v="0"/>
    <s v="United States"/>
    <s v="Tulsa"/>
    <x v="26"/>
    <n v="74133"/>
    <x v="2"/>
    <x v="1"/>
    <x v="8"/>
    <n v="28.85"/>
    <n v="5"/>
    <n v="0"/>
    <n v="14.425000000000001"/>
  </r>
  <r>
    <s v="Standard Class"/>
    <x v="0"/>
    <s v="United States"/>
    <s v="Nashville"/>
    <x v="18"/>
    <n v="37211"/>
    <x v="0"/>
    <x v="1"/>
    <x v="10"/>
    <n v="3.488"/>
    <n v="2"/>
    <n v="0.2"/>
    <n v="1.1772"/>
  </r>
  <r>
    <s v="Standard Class"/>
    <x v="0"/>
    <s v="United States"/>
    <s v="Nashville"/>
    <x v="18"/>
    <n v="37211"/>
    <x v="0"/>
    <x v="1"/>
    <x v="10"/>
    <n v="143.85599999999999"/>
    <n v="9"/>
    <n v="0.2"/>
    <n v="48.551400000000001"/>
  </r>
  <r>
    <s v="Second Class"/>
    <x v="2"/>
    <s v="United States"/>
    <s v="Cambridge"/>
    <x v="31"/>
    <n v="2138"/>
    <x v="3"/>
    <x v="2"/>
    <x v="7"/>
    <n v="311.98"/>
    <n v="2"/>
    <n v="0"/>
    <n v="93.593999999999994"/>
  </r>
  <r>
    <s v="Second Class"/>
    <x v="2"/>
    <s v="United States"/>
    <s v="Cambridge"/>
    <x v="31"/>
    <n v="2138"/>
    <x v="3"/>
    <x v="1"/>
    <x v="8"/>
    <n v="22.45"/>
    <n v="5"/>
    <n v="0"/>
    <n v="10.327"/>
  </r>
  <r>
    <s v="Standard Class"/>
    <x v="1"/>
    <s v="United States"/>
    <s v="Oakland"/>
    <x v="1"/>
    <n v="94601"/>
    <x v="1"/>
    <x v="2"/>
    <x v="7"/>
    <n v="39.991999999999997"/>
    <n v="1"/>
    <n v="0.2"/>
    <n v="-7.9984000000000002"/>
  </r>
  <r>
    <s v="Standard Class"/>
    <x v="1"/>
    <s v="United States"/>
    <s v="Oakland"/>
    <x v="1"/>
    <n v="94601"/>
    <x v="1"/>
    <x v="0"/>
    <x v="1"/>
    <n v="1159.056"/>
    <n v="9"/>
    <n v="0.2"/>
    <n v="43.464599999999997"/>
  </r>
  <r>
    <s v="Standard Class"/>
    <x v="1"/>
    <s v="United States"/>
    <s v="Oakland"/>
    <x v="1"/>
    <n v="94601"/>
    <x v="1"/>
    <x v="1"/>
    <x v="6"/>
    <n v="179.9"/>
    <n v="5"/>
    <n v="0"/>
    <n v="44.975000000000001"/>
  </r>
  <r>
    <s v="First Class"/>
    <x v="1"/>
    <s v="United States"/>
    <s v="Palatine"/>
    <x v="10"/>
    <n v="60067"/>
    <x v="2"/>
    <x v="2"/>
    <x v="11"/>
    <n v="116.312"/>
    <n v="7"/>
    <n v="0.2"/>
    <n v="23.2624"/>
  </r>
  <r>
    <s v="Second Class"/>
    <x v="0"/>
    <s v="United States"/>
    <s v="Seattle"/>
    <x v="4"/>
    <n v="98105"/>
    <x v="1"/>
    <x v="0"/>
    <x v="5"/>
    <n v="12.42"/>
    <n v="3"/>
    <n v="0"/>
    <n v="4.4711999999999996"/>
  </r>
  <r>
    <s v="Second Class"/>
    <x v="0"/>
    <s v="United States"/>
    <s v="Seattle"/>
    <x v="4"/>
    <n v="98105"/>
    <x v="1"/>
    <x v="2"/>
    <x v="11"/>
    <n v="428.4"/>
    <n v="3"/>
    <n v="0"/>
    <n v="89.963999999999999"/>
  </r>
  <r>
    <s v="Second Class"/>
    <x v="0"/>
    <s v="United States"/>
    <s v="Seattle"/>
    <x v="4"/>
    <n v="98105"/>
    <x v="1"/>
    <x v="0"/>
    <x v="5"/>
    <n v="24.75"/>
    <n v="5"/>
    <n v="0"/>
    <n v="10.89"/>
  </r>
  <r>
    <s v="Second Class"/>
    <x v="0"/>
    <s v="United States"/>
    <s v="Seattle"/>
    <x v="4"/>
    <n v="98105"/>
    <x v="1"/>
    <x v="1"/>
    <x v="2"/>
    <n v="87.71"/>
    <n v="7"/>
    <n v="0"/>
    <n v="41.223700000000001"/>
  </r>
  <r>
    <s v="Second Class"/>
    <x v="0"/>
    <s v="United States"/>
    <s v="Seattle"/>
    <x v="4"/>
    <n v="98105"/>
    <x v="1"/>
    <x v="1"/>
    <x v="4"/>
    <n v="69.52"/>
    <n v="2"/>
    <n v="0"/>
    <n v="17.38"/>
  </r>
  <r>
    <s v="Second Class"/>
    <x v="0"/>
    <s v="United States"/>
    <s v="Seattle"/>
    <x v="4"/>
    <n v="98105"/>
    <x v="1"/>
    <x v="2"/>
    <x v="7"/>
    <n v="20.783999999999999"/>
    <n v="2"/>
    <n v="0.2"/>
    <n v="-4.6764000000000001"/>
  </r>
  <r>
    <s v="Second Class"/>
    <x v="0"/>
    <s v="United States"/>
    <s v="Seattle"/>
    <x v="4"/>
    <n v="98105"/>
    <x v="1"/>
    <x v="1"/>
    <x v="8"/>
    <n v="12.816000000000001"/>
    <n v="3"/>
    <n v="0.2"/>
    <n v="4.1651999999999996"/>
  </r>
  <r>
    <s v="Standard Class"/>
    <x v="0"/>
    <s v="United States"/>
    <s v="Cincinnati"/>
    <x v="24"/>
    <n v="45231"/>
    <x v="3"/>
    <x v="1"/>
    <x v="2"/>
    <n v="5.9039999999999999"/>
    <n v="2"/>
    <n v="0.2"/>
    <n v="1.9925999999999999"/>
  </r>
  <r>
    <s v="Standard Class"/>
    <x v="0"/>
    <s v="United States"/>
    <s v="Marion"/>
    <x v="24"/>
    <n v="43302"/>
    <x v="3"/>
    <x v="0"/>
    <x v="5"/>
    <n v="63.823999999999998"/>
    <n v="2"/>
    <n v="0.2"/>
    <n v="9.5736000000000008"/>
  </r>
  <r>
    <s v="Standard Class"/>
    <x v="0"/>
    <s v="United States"/>
    <s v="Marion"/>
    <x v="24"/>
    <n v="43302"/>
    <x v="3"/>
    <x v="1"/>
    <x v="4"/>
    <n v="141.55199999999999"/>
    <n v="3"/>
    <n v="0.2"/>
    <n v="-26.541"/>
  </r>
  <r>
    <s v="Standard Class"/>
    <x v="1"/>
    <s v="United States"/>
    <s v="Los Angeles"/>
    <x v="1"/>
    <n v="90049"/>
    <x v="1"/>
    <x v="1"/>
    <x v="12"/>
    <n v="304.89999999999998"/>
    <n v="5"/>
    <n v="0"/>
    <n v="143.303"/>
  </r>
  <r>
    <s v="Standard Class"/>
    <x v="1"/>
    <s v="United States"/>
    <s v="Los Angeles"/>
    <x v="1"/>
    <n v="90049"/>
    <x v="1"/>
    <x v="0"/>
    <x v="1"/>
    <n v="563.24"/>
    <n v="5"/>
    <n v="0.2"/>
    <n v="56.323999999999998"/>
  </r>
  <r>
    <s v="Standard Class"/>
    <x v="1"/>
    <s v="United States"/>
    <s v="Lakewood"/>
    <x v="24"/>
    <n v="44107"/>
    <x v="3"/>
    <x v="0"/>
    <x v="3"/>
    <n v="661.17600000000004"/>
    <n v="2"/>
    <n v="0.4"/>
    <n v="-231.41159999999999"/>
  </r>
  <r>
    <s v="Standard Class"/>
    <x v="2"/>
    <s v="United States"/>
    <s v="Lebanon"/>
    <x v="18"/>
    <n v="37087"/>
    <x v="0"/>
    <x v="2"/>
    <x v="7"/>
    <n v="239.976"/>
    <n v="3"/>
    <n v="0.2"/>
    <n v="17.998200000000001"/>
  </r>
  <r>
    <s v="Standard Class"/>
    <x v="1"/>
    <s v="United States"/>
    <s v="San Francisco"/>
    <x v="1"/>
    <n v="94122"/>
    <x v="1"/>
    <x v="0"/>
    <x v="3"/>
    <n v="502.488"/>
    <n v="3"/>
    <n v="0.2"/>
    <n v="-87.935400000000001"/>
  </r>
  <r>
    <s v="Standard Class"/>
    <x v="1"/>
    <s v="United States"/>
    <s v="San Francisco"/>
    <x v="1"/>
    <n v="94122"/>
    <x v="1"/>
    <x v="1"/>
    <x v="8"/>
    <n v="196.70400000000001"/>
    <n v="6"/>
    <n v="0.2"/>
    <n v="68.846400000000003"/>
  </r>
  <r>
    <s v="Second Class"/>
    <x v="2"/>
    <s v="United States"/>
    <s v="Chico"/>
    <x v="1"/>
    <n v="95928"/>
    <x v="1"/>
    <x v="0"/>
    <x v="1"/>
    <n v="915.13599999999997"/>
    <n v="4"/>
    <n v="0.2"/>
    <n v="102.9528"/>
  </r>
  <r>
    <s v="Second Class"/>
    <x v="2"/>
    <s v="United States"/>
    <s v="Chico"/>
    <x v="1"/>
    <n v="95928"/>
    <x v="1"/>
    <x v="0"/>
    <x v="5"/>
    <n v="327.76"/>
    <n v="8"/>
    <n v="0"/>
    <n v="91.772800000000004"/>
  </r>
  <r>
    <s v="First Class"/>
    <x v="0"/>
    <s v="United States"/>
    <s v="Salem"/>
    <x v="17"/>
    <n v="24153"/>
    <x v="0"/>
    <x v="0"/>
    <x v="1"/>
    <n v="701.96"/>
    <n v="2"/>
    <n v="0"/>
    <n v="168.47040000000001"/>
  </r>
  <r>
    <s v="Standard Class"/>
    <x v="0"/>
    <s v="United States"/>
    <s v="Los Angeles"/>
    <x v="1"/>
    <n v="90008"/>
    <x v="1"/>
    <x v="2"/>
    <x v="7"/>
    <n v="88.775999999999996"/>
    <n v="3"/>
    <n v="0.2"/>
    <n v="7.7679"/>
  </r>
  <r>
    <s v="Standard Class"/>
    <x v="0"/>
    <s v="United States"/>
    <s v="Los Angeles"/>
    <x v="1"/>
    <n v="90008"/>
    <x v="1"/>
    <x v="1"/>
    <x v="6"/>
    <n v="64.14"/>
    <n v="3"/>
    <n v="0"/>
    <n v="16.676400000000001"/>
  </r>
  <r>
    <s v="First Class"/>
    <x v="1"/>
    <s v="United States"/>
    <s v="New York City"/>
    <x v="15"/>
    <n v="10024"/>
    <x v="3"/>
    <x v="1"/>
    <x v="8"/>
    <n v="33.552"/>
    <n v="1"/>
    <n v="0.2"/>
    <n v="12.582000000000001"/>
  </r>
  <r>
    <s v="Standard Class"/>
    <x v="1"/>
    <s v="United States"/>
    <s v="Beverly"/>
    <x v="31"/>
    <n v="1915"/>
    <x v="3"/>
    <x v="1"/>
    <x v="9"/>
    <n v="1737.18"/>
    <n v="6"/>
    <n v="0"/>
    <n v="503.78219999999999"/>
  </r>
  <r>
    <s v="Standard Class"/>
    <x v="1"/>
    <s v="United States"/>
    <s v="Beverly"/>
    <x v="31"/>
    <n v="1915"/>
    <x v="3"/>
    <x v="1"/>
    <x v="4"/>
    <n v="704.25"/>
    <n v="5"/>
    <n v="0"/>
    <n v="84.51"/>
  </r>
  <r>
    <s v="Standard Class"/>
    <x v="1"/>
    <s v="United States"/>
    <s v="Beverly"/>
    <x v="31"/>
    <n v="1915"/>
    <x v="3"/>
    <x v="1"/>
    <x v="10"/>
    <n v="141.76"/>
    <n v="4"/>
    <n v="0"/>
    <n v="66.627200000000002"/>
  </r>
  <r>
    <s v="Standard Class"/>
    <x v="1"/>
    <s v="United States"/>
    <s v="San Diego"/>
    <x v="1"/>
    <n v="92024"/>
    <x v="1"/>
    <x v="1"/>
    <x v="8"/>
    <n v="36.36"/>
    <n v="3"/>
    <n v="0.2"/>
    <n v="12.2715"/>
  </r>
  <r>
    <s v="First Class"/>
    <x v="2"/>
    <s v="United States"/>
    <s v="San Francisco"/>
    <x v="1"/>
    <n v="94109"/>
    <x v="1"/>
    <x v="0"/>
    <x v="5"/>
    <n v="25.83"/>
    <n v="3"/>
    <n v="0"/>
    <n v="9.5571000000000002"/>
  </r>
  <r>
    <s v="Standard Class"/>
    <x v="0"/>
    <s v="United States"/>
    <s v="Chicago"/>
    <x v="10"/>
    <n v="60623"/>
    <x v="2"/>
    <x v="1"/>
    <x v="8"/>
    <n v="24.588000000000001"/>
    <n v="3"/>
    <n v="0.8"/>
    <n v="-38.111400000000003"/>
  </r>
  <r>
    <s v="Standard Class"/>
    <x v="0"/>
    <s v="United States"/>
    <s v="Chicago"/>
    <x v="10"/>
    <n v="60623"/>
    <x v="2"/>
    <x v="1"/>
    <x v="12"/>
    <n v="13.984"/>
    <n v="2"/>
    <n v="0.2"/>
    <n v="4.7195999999999998"/>
  </r>
  <r>
    <s v="Standard Class"/>
    <x v="0"/>
    <s v="United States"/>
    <s v="Dallas"/>
    <x v="5"/>
    <n v="75220"/>
    <x v="2"/>
    <x v="2"/>
    <x v="7"/>
    <n v="195.96"/>
    <n v="5"/>
    <n v="0.2"/>
    <n v="19.596"/>
  </r>
  <r>
    <s v="Second Class"/>
    <x v="2"/>
    <s v="United States"/>
    <s v="Corpus Christi"/>
    <x v="5"/>
    <n v="78415"/>
    <x v="2"/>
    <x v="1"/>
    <x v="10"/>
    <n v="74.352000000000004"/>
    <n v="3"/>
    <n v="0.2"/>
    <n v="23.234999999999999"/>
  </r>
  <r>
    <s v="Same Day"/>
    <x v="0"/>
    <s v="United States"/>
    <s v="New York City"/>
    <x v="15"/>
    <n v="10035"/>
    <x v="3"/>
    <x v="1"/>
    <x v="10"/>
    <n v="6.68"/>
    <n v="1"/>
    <n v="0"/>
    <n v="3.2063999999999999"/>
  </r>
  <r>
    <s v="Second Class"/>
    <x v="1"/>
    <s v="United States"/>
    <s v="Eugene"/>
    <x v="21"/>
    <n v="97405"/>
    <x v="1"/>
    <x v="1"/>
    <x v="14"/>
    <n v="17.584"/>
    <n v="7"/>
    <n v="0.2"/>
    <n v="-4.1761999999999997"/>
  </r>
  <r>
    <s v="Second Class"/>
    <x v="1"/>
    <s v="United States"/>
    <s v="Eugene"/>
    <x v="21"/>
    <n v="97405"/>
    <x v="1"/>
    <x v="0"/>
    <x v="1"/>
    <n v="104.78400000000001"/>
    <n v="1"/>
    <n v="0.2"/>
    <n v="-14.4078"/>
  </r>
  <r>
    <s v="Second Class"/>
    <x v="1"/>
    <s v="United States"/>
    <s v="Eugene"/>
    <x v="21"/>
    <n v="97405"/>
    <x v="1"/>
    <x v="1"/>
    <x v="10"/>
    <n v="47.951999999999998"/>
    <n v="3"/>
    <n v="0.2"/>
    <n v="16.783200000000001"/>
  </r>
  <r>
    <s v="Second Class"/>
    <x v="1"/>
    <s v="United States"/>
    <s v="Eugene"/>
    <x v="21"/>
    <n v="97405"/>
    <x v="1"/>
    <x v="0"/>
    <x v="1"/>
    <n v="650.35199999999998"/>
    <n v="3"/>
    <n v="0.2"/>
    <n v="-97.552800000000005"/>
  </r>
  <r>
    <s v="Second Class"/>
    <x v="1"/>
    <s v="United States"/>
    <s v="Eugene"/>
    <x v="21"/>
    <n v="97405"/>
    <x v="1"/>
    <x v="1"/>
    <x v="2"/>
    <n v="629.18399999999997"/>
    <n v="8"/>
    <n v="0.2"/>
    <n v="228.07919999999999"/>
  </r>
  <r>
    <s v="Second Class"/>
    <x v="1"/>
    <s v="United States"/>
    <s v="Eugene"/>
    <x v="21"/>
    <n v="97405"/>
    <x v="1"/>
    <x v="1"/>
    <x v="10"/>
    <n v="15.176"/>
    <n v="1"/>
    <n v="0.2"/>
    <n v="5.3116000000000003"/>
  </r>
  <r>
    <s v="Standard Class"/>
    <x v="0"/>
    <s v="United States"/>
    <s v="Oxnard"/>
    <x v="1"/>
    <n v="93030"/>
    <x v="1"/>
    <x v="0"/>
    <x v="5"/>
    <n v="127.95"/>
    <n v="3"/>
    <n v="0"/>
    <n v="21.7515"/>
  </r>
  <r>
    <s v="Standard Class"/>
    <x v="1"/>
    <s v="United States"/>
    <s v="Fairfield"/>
    <x v="29"/>
    <n v="6824"/>
    <x v="3"/>
    <x v="1"/>
    <x v="4"/>
    <n v="579.51"/>
    <n v="3"/>
    <n v="0"/>
    <n v="81.131399999999999"/>
  </r>
  <r>
    <s v="Standard Class"/>
    <x v="1"/>
    <s v="United States"/>
    <s v="Fairfield"/>
    <x v="29"/>
    <n v="6824"/>
    <x v="3"/>
    <x v="2"/>
    <x v="7"/>
    <n v="14.99"/>
    <n v="1"/>
    <n v="0"/>
    <n v="7.3451000000000004"/>
  </r>
  <r>
    <s v="Standard Class"/>
    <x v="1"/>
    <s v="United States"/>
    <s v="Jackson"/>
    <x v="12"/>
    <n v="49201"/>
    <x v="2"/>
    <x v="1"/>
    <x v="6"/>
    <n v="151.91999999999999"/>
    <n v="4"/>
    <n v="0"/>
    <n v="45.576000000000001"/>
  </r>
  <r>
    <s v="Standard Class"/>
    <x v="1"/>
    <s v="United States"/>
    <s v="Jackson"/>
    <x v="12"/>
    <n v="49201"/>
    <x v="2"/>
    <x v="1"/>
    <x v="2"/>
    <n v="196.62"/>
    <n v="2"/>
    <n v="0"/>
    <n v="96.343800000000002"/>
  </r>
  <r>
    <s v="Standard Class"/>
    <x v="1"/>
    <s v="United States"/>
    <s v="Jackson"/>
    <x v="12"/>
    <n v="49201"/>
    <x v="2"/>
    <x v="1"/>
    <x v="10"/>
    <n v="144.12"/>
    <n v="3"/>
    <n v="0"/>
    <n v="69.177599999999998"/>
  </r>
  <r>
    <s v="Standard Class"/>
    <x v="1"/>
    <s v="United States"/>
    <s v="Jackson"/>
    <x v="12"/>
    <n v="49201"/>
    <x v="2"/>
    <x v="1"/>
    <x v="10"/>
    <n v="15.96"/>
    <n v="2"/>
    <n v="0"/>
    <n v="7.98"/>
  </r>
  <r>
    <s v="Second Class"/>
    <x v="1"/>
    <s v="United States"/>
    <s v="Laguna Niguel"/>
    <x v="1"/>
    <n v="92677"/>
    <x v="1"/>
    <x v="2"/>
    <x v="7"/>
    <n v="39.96"/>
    <n v="5"/>
    <n v="0.2"/>
    <n v="3.4965000000000002"/>
  </r>
  <r>
    <s v="Second Class"/>
    <x v="1"/>
    <s v="United States"/>
    <s v="Laguna Niguel"/>
    <x v="1"/>
    <n v="92677"/>
    <x v="1"/>
    <x v="1"/>
    <x v="10"/>
    <n v="34.08"/>
    <n v="6"/>
    <n v="0"/>
    <n v="15.336"/>
  </r>
  <r>
    <s v="Standard Class"/>
    <x v="1"/>
    <s v="United States"/>
    <s v="Jacksonville"/>
    <x v="2"/>
    <n v="32216"/>
    <x v="0"/>
    <x v="1"/>
    <x v="10"/>
    <n v="10.368"/>
    <n v="2"/>
    <n v="0.2"/>
    <n v="3.6288"/>
  </r>
  <r>
    <s v="Standard Class"/>
    <x v="1"/>
    <s v="United States"/>
    <s v="Mount Vernon"/>
    <x v="15"/>
    <n v="10550"/>
    <x v="3"/>
    <x v="1"/>
    <x v="8"/>
    <n v="7.7519999999999998"/>
    <n v="3"/>
    <n v="0.2"/>
    <n v="2.8100999999999998"/>
  </r>
  <r>
    <s v="Second Class"/>
    <x v="2"/>
    <s v="United States"/>
    <s v="Midland"/>
    <x v="12"/>
    <n v="48640"/>
    <x v="2"/>
    <x v="1"/>
    <x v="12"/>
    <n v="15.28"/>
    <n v="2"/>
    <n v="0"/>
    <n v="7.4871999999999996"/>
  </r>
  <r>
    <s v="Standard Class"/>
    <x v="0"/>
    <s v="United States"/>
    <s v="Newark"/>
    <x v="13"/>
    <n v="19711"/>
    <x v="3"/>
    <x v="2"/>
    <x v="15"/>
    <n v="65.97"/>
    <n v="3"/>
    <n v="0"/>
    <n v="31.0059"/>
  </r>
  <r>
    <s v="Standard Class"/>
    <x v="1"/>
    <s v="United States"/>
    <s v="San Francisco"/>
    <x v="1"/>
    <n v="94109"/>
    <x v="1"/>
    <x v="1"/>
    <x v="10"/>
    <n v="33.4"/>
    <n v="5"/>
    <n v="0"/>
    <n v="16.032"/>
  </r>
  <r>
    <s v="Standard Class"/>
    <x v="1"/>
    <s v="United States"/>
    <s v="San Francisco"/>
    <x v="1"/>
    <n v="94109"/>
    <x v="1"/>
    <x v="1"/>
    <x v="12"/>
    <n v="210.84"/>
    <n v="4"/>
    <n v="0"/>
    <n v="103.3116"/>
  </r>
  <r>
    <s v="Standard Class"/>
    <x v="0"/>
    <s v="United States"/>
    <s v="Westland"/>
    <x v="12"/>
    <n v="48185"/>
    <x v="2"/>
    <x v="1"/>
    <x v="4"/>
    <n v="13.98"/>
    <n v="1"/>
    <n v="0"/>
    <n v="4.0541999999999998"/>
  </r>
  <r>
    <s v="Standard Class"/>
    <x v="0"/>
    <s v="United States"/>
    <s v="Westland"/>
    <x v="12"/>
    <n v="48185"/>
    <x v="2"/>
    <x v="0"/>
    <x v="5"/>
    <n v="272.94"/>
    <n v="3"/>
    <n v="0"/>
    <n v="30.023399999999999"/>
  </r>
  <r>
    <s v="Standard Class"/>
    <x v="0"/>
    <s v="United States"/>
    <s v="Westland"/>
    <x v="12"/>
    <n v="48185"/>
    <x v="2"/>
    <x v="1"/>
    <x v="8"/>
    <n v="19.05"/>
    <n v="5"/>
    <n v="0"/>
    <n v="8.9535"/>
  </r>
  <r>
    <s v="Standard Class"/>
    <x v="0"/>
    <s v="United States"/>
    <s v="Westland"/>
    <x v="12"/>
    <n v="48185"/>
    <x v="2"/>
    <x v="1"/>
    <x v="9"/>
    <n v="247.71600000000001"/>
    <n v="4"/>
    <n v="0.1"/>
    <n v="93.581599999999995"/>
  </r>
  <r>
    <s v="Standard Class"/>
    <x v="0"/>
    <s v="United States"/>
    <s v="Westland"/>
    <x v="12"/>
    <n v="48185"/>
    <x v="2"/>
    <x v="1"/>
    <x v="4"/>
    <n v="66.58"/>
    <n v="2"/>
    <n v="0"/>
    <n v="15.979200000000001"/>
  </r>
  <r>
    <s v="Standard Class"/>
    <x v="0"/>
    <s v="United States"/>
    <s v="Westland"/>
    <x v="12"/>
    <n v="48185"/>
    <x v="2"/>
    <x v="1"/>
    <x v="6"/>
    <n v="43.92"/>
    <n v="3"/>
    <n v="0"/>
    <n v="12.736800000000001"/>
  </r>
  <r>
    <s v="Standard Class"/>
    <x v="0"/>
    <s v="United States"/>
    <s v="Westland"/>
    <x v="12"/>
    <n v="48185"/>
    <x v="2"/>
    <x v="0"/>
    <x v="5"/>
    <n v="14.73"/>
    <n v="3"/>
    <n v="0"/>
    <n v="4.8609"/>
  </r>
  <r>
    <s v="Standard Class"/>
    <x v="0"/>
    <s v="United States"/>
    <s v="Westland"/>
    <x v="12"/>
    <n v="48185"/>
    <x v="2"/>
    <x v="1"/>
    <x v="8"/>
    <n v="29.7"/>
    <n v="5"/>
    <n v="0"/>
    <n v="13.365"/>
  </r>
  <r>
    <s v="Standard Class"/>
    <x v="0"/>
    <s v="United States"/>
    <s v="New York City"/>
    <x v="15"/>
    <n v="10011"/>
    <x v="3"/>
    <x v="1"/>
    <x v="10"/>
    <n v="49.12"/>
    <n v="4"/>
    <n v="0"/>
    <n v="23.086400000000001"/>
  </r>
  <r>
    <s v="Standard Class"/>
    <x v="0"/>
    <s v="United States"/>
    <s v="New York City"/>
    <x v="15"/>
    <n v="10011"/>
    <x v="3"/>
    <x v="1"/>
    <x v="8"/>
    <n v="18.28"/>
    <n v="5"/>
    <n v="0.2"/>
    <n v="6.3979999999999997"/>
  </r>
  <r>
    <s v="Standard Class"/>
    <x v="0"/>
    <s v="United States"/>
    <s v="Los Angeles"/>
    <x v="1"/>
    <n v="90008"/>
    <x v="1"/>
    <x v="0"/>
    <x v="5"/>
    <n v="47.04"/>
    <n v="4"/>
    <n v="0"/>
    <n v="15.993600000000001"/>
  </r>
  <r>
    <s v="Standard Class"/>
    <x v="0"/>
    <s v="United States"/>
    <s v="Los Angeles"/>
    <x v="1"/>
    <n v="90008"/>
    <x v="1"/>
    <x v="2"/>
    <x v="7"/>
    <n v="339.96"/>
    <n v="5"/>
    <n v="0.2"/>
    <n v="42.494999999999997"/>
  </r>
  <r>
    <s v="Standard Class"/>
    <x v="1"/>
    <s v="United States"/>
    <s v="New York City"/>
    <x v="15"/>
    <n v="10035"/>
    <x v="3"/>
    <x v="2"/>
    <x v="7"/>
    <n v="87.8"/>
    <n v="4"/>
    <n v="0"/>
    <n v="43.9"/>
  </r>
  <r>
    <s v="Standard Class"/>
    <x v="1"/>
    <s v="United States"/>
    <s v="New York City"/>
    <x v="15"/>
    <n v="10035"/>
    <x v="3"/>
    <x v="0"/>
    <x v="1"/>
    <n v="221.38200000000001"/>
    <n v="2"/>
    <n v="0.1"/>
    <n v="2.4598"/>
  </r>
  <r>
    <s v="Standard Class"/>
    <x v="1"/>
    <s v="United States"/>
    <s v="New York City"/>
    <x v="15"/>
    <n v="10035"/>
    <x v="3"/>
    <x v="2"/>
    <x v="15"/>
    <n v="5199.96"/>
    <n v="4"/>
    <n v="0"/>
    <n v="1351.9896000000001"/>
  </r>
  <r>
    <s v="First Class"/>
    <x v="0"/>
    <s v="United States"/>
    <s v="Lancaster"/>
    <x v="24"/>
    <n v="43130"/>
    <x v="3"/>
    <x v="1"/>
    <x v="4"/>
    <n v="156.512"/>
    <n v="4"/>
    <n v="0.2"/>
    <n v="-35.215200000000003"/>
  </r>
  <r>
    <s v="First Class"/>
    <x v="2"/>
    <s v="United States"/>
    <s v="Newark"/>
    <x v="13"/>
    <n v="19711"/>
    <x v="3"/>
    <x v="2"/>
    <x v="11"/>
    <n v="119.85"/>
    <n v="3"/>
    <n v="0"/>
    <n v="52.734000000000002"/>
  </r>
  <r>
    <s v="First Class"/>
    <x v="2"/>
    <s v="United States"/>
    <s v="Newark"/>
    <x v="13"/>
    <n v="19711"/>
    <x v="3"/>
    <x v="1"/>
    <x v="8"/>
    <n v="30.44"/>
    <n v="2"/>
    <n v="0"/>
    <n v="14.9156"/>
  </r>
  <r>
    <s v="First Class"/>
    <x v="2"/>
    <s v="United States"/>
    <s v="Newark"/>
    <x v="13"/>
    <n v="19711"/>
    <x v="3"/>
    <x v="1"/>
    <x v="8"/>
    <n v="69.28"/>
    <n v="2"/>
    <n v="0"/>
    <n v="33.254399999999997"/>
  </r>
  <r>
    <s v="First Class"/>
    <x v="2"/>
    <s v="United States"/>
    <s v="Newark"/>
    <x v="13"/>
    <n v="19711"/>
    <x v="3"/>
    <x v="2"/>
    <x v="7"/>
    <n v="587.97"/>
    <n v="3"/>
    <n v="0"/>
    <n v="170.51130000000001"/>
  </r>
  <r>
    <s v="Same Day"/>
    <x v="2"/>
    <s v="United States"/>
    <s v="New York City"/>
    <x v="15"/>
    <n v="10024"/>
    <x v="3"/>
    <x v="1"/>
    <x v="2"/>
    <n v="24.55"/>
    <n v="5"/>
    <n v="0"/>
    <n v="12.029500000000001"/>
  </r>
  <r>
    <s v="Standard Class"/>
    <x v="0"/>
    <s v="United States"/>
    <s v="San Francisco"/>
    <x v="1"/>
    <n v="94109"/>
    <x v="1"/>
    <x v="1"/>
    <x v="8"/>
    <n v="12.176"/>
    <n v="1"/>
    <n v="0.2"/>
    <n v="4.4138000000000002"/>
  </r>
  <r>
    <s v="Standard Class"/>
    <x v="0"/>
    <s v="United States"/>
    <s v="San Francisco"/>
    <x v="1"/>
    <n v="94109"/>
    <x v="1"/>
    <x v="1"/>
    <x v="4"/>
    <n v="37.32"/>
    <n v="3"/>
    <n v="0"/>
    <n v="10.4496"/>
  </r>
  <r>
    <s v="Standard Class"/>
    <x v="0"/>
    <s v="United States"/>
    <s v="San Francisco"/>
    <x v="1"/>
    <n v="94109"/>
    <x v="1"/>
    <x v="1"/>
    <x v="14"/>
    <n v="35.06"/>
    <n v="2"/>
    <n v="0"/>
    <n v="10.518000000000001"/>
  </r>
  <r>
    <s v="Standard Class"/>
    <x v="0"/>
    <s v="United States"/>
    <s v="Dallas"/>
    <x v="5"/>
    <n v="75217"/>
    <x v="2"/>
    <x v="0"/>
    <x v="5"/>
    <n v="108.4"/>
    <n v="5"/>
    <n v="0.6"/>
    <n v="-105.69"/>
  </r>
  <r>
    <s v="Standard Class"/>
    <x v="1"/>
    <s v="United States"/>
    <s v="Miami"/>
    <x v="2"/>
    <n v="33178"/>
    <x v="0"/>
    <x v="2"/>
    <x v="7"/>
    <n v="361.37599999999998"/>
    <n v="2"/>
    <n v="0.2"/>
    <n v="27.103200000000001"/>
  </r>
  <r>
    <s v="Standard Class"/>
    <x v="0"/>
    <s v="United States"/>
    <s v="Philadelphia"/>
    <x v="9"/>
    <n v="19120"/>
    <x v="3"/>
    <x v="1"/>
    <x v="8"/>
    <n v="2.4119999999999999"/>
    <n v="1"/>
    <n v="0.7"/>
    <n v="-2.0099999999999998"/>
  </r>
  <r>
    <s v="Standard Class"/>
    <x v="1"/>
    <s v="United States"/>
    <s v="New York City"/>
    <x v="15"/>
    <n v="10011"/>
    <x v="3"/>
    <x v="1"/>
    <x v="9"/>
    <n v="8.39"/>
    <n v="1"/>
    <n v="0"/>
    <n v="2.0975000000000001"/>
  </r>
  <r>
    <s v="Standard Class"/>
    <x v="1"/>
    <s v="United States"/>
    <s v="New York City"/>
    <x v="15"/>
    <n v="10011"/>
    <x v="3"/>
    <x v="2"/>
    <x v="7"/>
    <n v="337.98"/>
    <n v="2"/>
    <n v="0"/>
    <n v="101.39400000000001"/>
  </r>
  <r>
    <s v="Standard Class"/>
    <x v="0"/>
    <s v="United States"/>
    <s v="Philadelphia"/>
    <x v="9"/>
    <n v="19120"/>
    <x v="3"/>
    <x v="1"/>
    <x v="4"/>
    <n v="83.92"/>
    <n v="5"/>
    <n v="0.2"/>
    <n v="-13.637"/>
  </r>
  <r>
    <s v="Standard Class"/>
    <x v="1"/>
    <s v="United States"/>
    <s v="Seattle"/>
    <x v="4"/>
    <n v="98103"/>
    <x v="1"/>
    <x v="1"/>
    <x v="8"/>
    <n v="19.68"/>
    <n v="5"/>
    <n v="0.2"/>
    <n v="6.8879999999999999"/>
  </r>
  <r>
    <s v="Standard Class"/>
    <x v="1"/>
    <s v="United States"/>
    <s v="Seattle"/>
    <x v="4"/>
    <n v="98103"/>
    <x v="1"/>
    <x v="1"/>
    <x v="10"/>
    <n v="25.92"/>
    <n v="4"/>
    <n v="0"/>
    <n v="12.441599999999999"/>
  </r>
  <r>
    <s v="Standard Class"/>
    <x v="1"/>
    <s v="United States"/>
    <s v="Seattle"/>
    <x v="4"/>
    <n v="98103"/>
    <x v="1"/>
    <x v="1"/>
    <x v="10"/>
    <n v="6.48"/>
    <n v="1"/>
    <n v="0"/>
    <n v="3.1103999999999998"/>
  </r>
  <r>
    <s v="Standard Class"/>
    <x v="1"/>
    <s v="United States"/>
    <s v="Seattle"/>
    <x v="4"/>
    <n v="98103"/>
    <x v="1"/>
    <x v="2"/>
    <x v="7"/>
    <n v="86.352000000000004"/>
    <n v="6"/>
    <n v="0.2"/>
    <n v="8.6351999999999993"/>
  </r>
  <r>
    <s v="Standard Class"/>
    <x v="2"/>
    <s v="United States"/>
    <s v="Los Angeles"/>
    <x v="1"/>
    <n v="90032"/>
    <x v="1"/>
    <x v="1"/>
    <x v="6"/>
    <n v="56.3"/>
    <n v="2"/>
    <n v="0"/>
    <n v="15.763999999999999"/>
  </r>
  <r>
    <s v="Standard Class"/>
    <x v="0"/>
    <s v="United States"/>
    <s v="Springfield"/>
    <x v="21"/>
    <n v="97477"/>
    <x v="1"/>
    <x v="1"/>
    <x v="6"/>
    <n v="51.015999999999998"/>
    <n v="7"/>
    <n v="0.2"/>
    <n v="8.2901000000000007"/>
  </r>
  <r>
    <s v="Standard Class"/>
    <x v="0"/>
    <s v="United States"/>
    <s v="Renton"/>
    <x v="4"/>
    <n v="98059"/>
    <x v="1"/>
    <x v="1"/>
    <x v="8"/>
    <n v="150.80000000000001"/>
    <n v="5"/>
    <n v="0.2"/>
    <n v="56.55"/>
  </r>
  <r>
    <s v="Standard Class"/>
    <x v="0"/>
    <s v="United States"/>
    <s v="Renton"/>
    <x v="4"/>
    <n v="98059"/>
    <x v="1"/>
    <x v="2"/>
    <x v="15"/>
    <n v="1039.992"/>
    <n v="1"/>
    <n v="0.2"/>
    <n v="103.9992"/>
  </r>
  <r>
    <s v="Standard Class"/>
    <x v="0"/>
    <s v="United States"/>
    <s v="Renton"/>
    <x v="4"/>
    <n v="98059"/>
    <x v="1"/>
    <x v="1"/>
    <x v="10"/>
    <n v="51.84"/>
    <n v="8"/>
    <n v="0"/>
    <n v="24.883199999999999"/>
  </r>
  <r>
    <s v="First Class"/>
    <x v="2"/>
    <s v="United States"/>
    <s v="New York City"/>
    <x v="15"/>
    <n v="10009"/>
    <x v="3"/>
    <x v="2"/>
    <x v="7"/>
    <n v="41.22"/>
    <n v="1"/>
    <n v="0"/>
    <n v="11.1294"/>
  </r>
  <r>
    <s v="First Class"/>
    <x v="2"/>
    <s v="United States"/>
    <s v="New York City"/>
    <x v="15"/>
    <n v="10009"/>
    <x v="3"/>
    <x v="1"/>
    <x v="14"/>
    <n v="240.37"/>
    <n v="1"/>
    <n v="0"/>
    <n v="7.2111000000000001"/>
  </r>
  <r>
    <s v="First Class"/>
    <x v="2"/>
    <s v="United States"/>
    <s v="New York City"/>
    <x v="15"/>
    <n v="10009"/>
    <x v="3"/>
    <x v="2"/>
    <x v="7"/>
    <n v="119.02"/>
    <n v="2"/>
    <n v="0"/>
    <n v="33.325600000000001"/>
  </r>
  <r>
    <s v="Standard Class"/>
    <x v="0"/>
    <s v="United States"/>
    <s v="San Jose"/>
    <x v="1"/>
    <n v="95123"/>
    <x v="1"/>
    <x v="1"/>
    <x v="8"/>
    <n v="133.12"/>
    <n v="5"/>
    <n v="0.2"/>
    <n v="49.92"/>
  </r>
  <r>
    <s v="Standard Class"/>
    <x v="1"/>
    <s v="United States"/>
    <s v="Grand Prairie"/>
    <x v="5"/>
    <n v="75051"/>
    <x v="2"/>
    <x v="0"/>
    <x v="5"/>
    <n v="38.08"/>
    <n v="5"/>
    <n v="0.6"/>
    <n v="-29.512"/>
  </r>
  <r>
    <s v="Same Day"/>
    <x v="2"/>
    <s v="United States"/>
    <s v="New York City"/>
    <x v="15"/>
    <n v="10009"/>
    <x v="3"/>
    <x v="0"/>
    <x v="0"/>
    <n v="113.568"/>
    <n v="2"/>
    <n v="0.2"/>
    <n v="12.776400000000001"/>
  </r>
  <r>
    <s v="Second Class"/>
    <x v="2"/>
    <s v="United States"/>
    <s v="New York City"/>
    <x v="15"/>
    <n v="10009"/>
    <x v="3"/>
    <x v="0"/>
    <x v="5"/>
    <n v="83.92"/>
    <n v="4"/>
    <n v="0"/>
    <n v="21.819199999999999"/>
  </r>
  <r>
    <s v="Second Class"/>
    <x v="2"/>
    <s v="United States"/>
    <s v="New York City"/>
    <x v="15"/>
    <n v="10009"/>
    <x v="3"/>
    <x v="1"/>
    <x v="6"/>
    <n v="6.63"/>
    <n v="3"/>
    <n v="0"/>
    <n v="3.1160999999999999"/>
  </r>
  <r>
    <s v="Second Class"/>
    <x v="2"/>
    <s v="United States"/>
    <s v="New York City"/>
    <x v="15"/>
    <n v="10009"/>
    <x v="3"/>
    <x v="2"/>
    <x v="11"/>
    <n v="371.97"/>
    <n v="3"/>
    <n v="0"/>
    <n v="66.954599999999999"/>
  </r>
  <r>
    <s v="Standard Class"/>
    <x v="1"/>
    <s v="United States"/>
    <s v="Memphis"/>
    <x v="18"/>
    <n v="38109"/>
    <x v="0"/>
    <x v="0"/>
    <x v="1"/>
    <n v="561.58399999999995"/>
    <n v="2"/>
    <n v="0.2"/>
    <n v="70.197999999999993"/>
  </r>
  <r>
    <s v="Standard Class"/>
    <x v="1"/>
    <s v="United States"/>
    <s v="Memphis"/>
    <x v="18"/>
    <n v="38109"/>
    <x v="0"/>
    <x v="1"/>
    <x v="4"/>
    <n v="99.92"/>
    <n v="5"/>
    <n v="0.2"/>
    <n v="-1.2490000000000001"/>
  </r>
  <r>
    <s v="First Class"/>
    <x v="2"/>
    <s v="United States"/>
    <s v="Philadelphia"/>
    <x v="9"/>
    <n v="19143"/>
    <x v="3"/>
    <x v="1"/>
    <x v="2"/>
    <n v="4.9279999999999999"/>
    <n v="2"/>
    <n v="0.2"/>
    <n v="1.7248000000000001"/>
  </r>
  <r>
    <s v="Standard Class"/>
    <x v="0"/>
    <s v="United States"/>
    <s v="Los Angeles"/>
    <x v="1"/>
    <n v="90004"/>
    <x v="1"/>
    <x v="0"/>
    <x v="5"/>
    <n v="14.76"/>
    <n v="2"/>
    <n v="0"/>
    <n v="4.2804000000000002"/>
  </r>
  <r>
    <s v="Standard Class"/>
    <x v="2"/>
    <s v="United States"/>
    <s v="Waterbury"/>
    <x v="29"/>
    <n v="6708"/>
    <x v="3"/>
    <x v="2"/>
    <x v="11"/>
    <n v="99.99"/>
    <n v="1"/>
    <n v="0"/>
    <n v="41.995800000000003"/>
  </r>
  <r>
    <s v="Standard Class"/>
    <x v="2"/>
    <s v="United States"/>
    <s v="Waterbury"/>
    <x v="29"/>
    <n v="6708"/>
    <x v="3"/>
    <x v="1"/>
    <x v="4"/>
    <n v="286.14999999999998"/>
    <n v="5"/>
    <n v="0"/>
    <n v="71.537499999999994"/>
  </r>
  <r>
    <s v="Standard Class"/>
    <x v="2"/>
    <s v="United States"/>
    <s v="Chandler"/>
    <x v="16"/>
    <n v="85224"/>
    <x v="1"/>
    <x v="1"/>
    <x v="13"/>
    <n v="49.792000000000002"/>
    <n v="8"/>
    <n v="0.2"/>
    <n v="-11.8256"/>
  </r>
  <r>
    <s v="Standard Class"/>
    <x v="0"/>
    <s v="United States"/>
    <s v="Springfield"/>
    <x v="24"/>
    <n v="45503"/>
    <x v="3"/>
    <x v="0"/>
    <x v="0"/>
    <n v="299.97500000000002"/>
    <n v="5"/>
    <n v="0.5"/>
    <n v="-167.98599999999999"/>
  </r>
  <r>
    <s v="Standard Class"/>
    <x v="0"/>
    <s v="United States"/>
    <s v="Springfield"/>
    <x v="24"/>
    <n v="45503"/>
    <x v="3"/>
    <x v="2"/>
    <x v="7"/>
    <n v="158.376"/>
    <n v="4"/>
    <n v="0.4"/>
    <n v="-36.9544"/>
  </r>
  <r>
    <s v="First Class"/>
    <x v="0"/>
    <s v="United States"/>
    <s v="Austin"/>
    <x v="5"/>
    <n v="78745"/>
    <x v="2"/>
    <x v="1"/>
    <x v="8"/>
    <n v="32.783999999999999"/>
    <n v="4"/>
    <n v="0.8"/>
    <n v="-52.4544"/>
  </r>
  <r>
    <s v="First Class"/>
    <x v="0"/>
    <s v="United States"/>
    <s v="Austin"/>
    <x v="5"/>
    <n v="78745"/>
    <x v="2"/>
    <x v="2"/>
    <x v="11"/>
    <n v="47.984000000000002"/>
    <n v="2"/>
    <n v="0.2"/>
    <n v="14.395200000000001"/>
  </r>
  <r>
    <s v="First Class"/>
    <x v="0"/>
    <s v="United States"/>
    <s v="Austin"/>
    <x v="5"/>
    <n v="78745"/>
    <x v="2"/>
    <x v="2"/>
    <x v="11"/>
    <n v="62.591999999999999"/>
    <n v="8"/>
    <n v="0.2"/>
    <n v="13.300800000000001"/>
  </r>
  <r>
    <s v="First Class"/>
    <x v="0"/>
    <s v="United States"/>
    <s v="Austin"/>
    <x v="5"/>
    <n v="78745"/>
    <x v="2"/>
    <x v="1"/>
    <x v="8"/>
    <n v="4.2759999999999998"/>
    <n v="1"/>
    <n v="0.8"/>
    <n v="-6.6277999999999997"/>
  </r>
  <r>
    <s v="Standard Class"/>
    <x v="0"/>
    <s v="United States"/>
    <s v="Detroit"/>
    <x v="12"/>
    <n v="48234"/>
    <x v="2"/>
    <x v="1"/>
    <x v="10"/>
    <n v="10.56"/>
    <n v="2"/>
    <n v="0"/>
    <n v="4.7519999999999998"/>
  </r>
  <r>
    <s v="Standard Class"/>
    <x v="0"/>
    <s v="United States"/>
    <s v="Detroit"/>
    <x v="12"/>
    <n v="48234"/>
    <x v="2"/>
    <x v="1"/>
    <x v="4"/>
    <n v="229.94"/>
    <n v="2"/>
    <n v="0"/>
    <n v="6.8982000000000001"/>
  </r>
  <r>
    <s v="Standard Class"/>
    <x v="1"/>
    <s v="United States"/>
    <s v="Springfield"/>
    <x v="17"/>
    <n v="22153"/>
    <x v="0"/>
    <x v="1"/>
    <x v="12"/>
    <n v="311.14999999999998"/>
    <n v="5"/>
    <n v="0"/>
    <n v="146.2405"/>
  </r>
  <r>
    <s v="Standard Class"/>
    <x v="1"/>
    <s v="United States"/>
    <s v="Springfield"/>
    <x v="17"/>
    <n v="22153"/>
    <x v="0"/>
    <x v="1"/>
    <x v="10"/>
    <n v="12.96"/>
    <n v="2"/>
    <n v="0"/>
    <n v="6.3503999999999996"/>
  </r>
  <r>
    <s v="Standard Class"/>
    <x v="0"/>
    <s v="United States"/>
    <s v="New York City"/>
    <x v="15"/>
    <n v="10011"/>
    <x v="3"/>
    <x v="1"/>
    <x v="10"/>
    <n v="14.62"/>
    <n v="2"/>
    <n v="0"/>
    <n v="6.7252000000000001"/>
  </r>
  <r>
    <s v="Standard Class"/>
    <x v="0"/>
    <s v="United States"/>
    <s v="New York City"/>
    <x v="15"/>
    <n v="10011"/>
    <x v="3"/>
    <x v="1"/>
    <x v="2"/>
    <n v="5.76"/>
    <n v="2"/>
    <n v="0"/>
    <n v="2.8224"/>
  </r>
  <r>
    <s v="Standard Class"/>
    <x v="0"/>
    <s v="United States"/>
    <s v="New York City"/>
    <x v="15"/>
    <n v="10011"/>
    <x v="3"/>
    <x v="1"/>
    <x v="13"/>
    <n v="21.48"/>
    <n v="6"/>
    <n v="0"/>
    <n v="10.5252"/>
  </r>
  <r>
    <s v="Standard Class"/>
    <x v="0"/>
    <s v="United States"/>
    <s v="New York City"/>
    <x v="15"/>
    <n v="10011"/>
    <x v="3"/>
    <x v="0"/>
    <x v="5"/>
    <n v="396.92"/>
    <n v="4"/>
    <n v="0"/>
    <n v="198.46"/>
  </r>
  <r>
    <s v="Standard Class"/>
    <x v="0"/>
    <s v="United States"/>
    <s v="New York City"/>
    <x v="15"/>
    <n v="10011"/>
    <x v="3"/>
    <x v="1"/>
    <x v="4"/>
    <n v="17.149999999999999"/>
    <n v="1"/>
    <n v="0"/>
    <n v="4.6304999999999996"/>
  </r>
  <r>
    <s v="Standard Class"/>
    <x v="0"/>
    <s v="United States"/>
    <s v="New York City"/>
    <x v="15"/>
    <n v="10011"/>
    <x v="3"/>
    <x v="1"/>
    <x v="8"/>
    <n v="23.12"/>
    <n v="2"/>
    <n v="0.2"/>
    <n v="7.8029999999999999"/>
  </r>
  <r>
    <s v="Standard Class"/>
    <x v="2"/>
    <s v="United States"/>
    <s v="Dallas"/>
    <x v="5"/>
    <n v="75217"/>
    <x v="2"/>
    <x v="1"/>
    <x v="6"/>
    <n v="5.2480000000000002"/>
    <n v="2"/>
    <n v="0.2"/>
    <n v="0.59040000000000004"/>
  </r>
  <r>
    <s v="Standard Class"/>
    <x v="2"/>
    <s v="United States"/>
    <s v="Concord"/>
    <x v="38"/>
    <n v="3301"/>
    <x v="3"/>
    <x v="2"/>
    <x v="7"/>
    <n v="824.95"/>
    <n v="5"/>
    <n v="0"/>
    <n v="247.48500000000001"/>
  </r>
  <r>
    <s v="Standard Class"/>
    <x v="2"/>
    <s v="United States"/>
    <s v="Concord"/>
    <x v="38"/>
    <n v="3301"/>
    <x v="3"/>
    <x v="1"/>
    <x v="2"/>
    <n v="24.64"/>
    <n v="8"/>
    <n v="0"/>
    <n v="11.827199999999999"/>
  </r>
  <r>
    <s v="Standard Class"/>
    <x v="2"/>
    <s v="United States"/>
    <s v="Concord"/>
    <x v="38"/>
    <n v="3301"/>
    <x v="3"/>
    <x v="1"/>
    <x v="6"/>
    <n v="227.88"/>
    <n v="6"/>
    <n v="0"/>
    <n v="68.364000000000004"/>
  </r>
  <r>
    <s v="First Class"/>
    <x v="0"/>
    <s v="United States"/>
    <s v="Lafayette"/>
    <x v="28"/>
    <n v="70506"/>
    <x v="0"/>
    <x v="0"/>
    <x v="0"/>
    <n v="241.96"/>
    <n v="2"/>
    <n v="0"/>
    <n v="33.874400000000001"/>
  </r>
  <r>
    <s v="First Class"/>
    <x v="0"/>
    <s v="United States"/>
    <s v="Lafayette"/>
    <x v="28"/>
    <n v="70506"/>
    <x v="0"/>
    <x v="1"/>
    <x v="8"/>
    <n v="3.89"/>
    <n v="1"/>
    <n v="0"/>
    <n v="1.8672"/>
  </r>
  <r>
    <s v="First Class"/>
    <x v="0"/>
    <s v="United States"/>
    <s v="Lafayette"/>
    <x v="28"/>
    <n v="70506"/>
    <x v="0"/>
    <x v="0"/>
    <x v="5"/>
    <n v="8.01"/>
    <n v="3"/>
    <n v="0"/>
    <n v="3.0438000000000001"/>
  </r>
  <r>
    <s v="Standard Class"/>
    <x v="0"/>
    <s v="United States"/>
    <s v="Raleigh"/>
    <x v="3"/>
    <n v="27604"/>
    <x v="0"/>
    <x v="2"/>
    <x v="7"/>
    <n v="177.48"/>
    <n v="3"/>
    <n v="0.2"/>
    <n v="19.9665"/>
  </r>
  <r>
    <s v="Second Class"/>
    <x v="1"/>
    <s v="United States"/>
    <s v="Spokane"/>
    <x v="4"/>
    <n v="99207"/>
    <x v="1"/>
    <x v="0"/>
    <x v="1"/>
    <n v="569.56799999999998"/>
    <n v="2"/>
    <n v="0.2"/>
    <n v="7.1196000000000002"/>
  </r>
  <r>
    <s v="Second Class"/>
    <x v="1"/>
    <s v="United States"/>
    <s v="Spokane"/>
    <x v="4"/>
    <n v="99207"/>
    <x v="1"/>
    <x v="1"/>
    <x v="4"/>
    <n v="149.72999999999999"/>
    <n v="7"/>
    <n v="0"/>
    <n v="43.421700000000001"/>
  </r>
  <r>
    <s v="First Class"/>
    <x v="0"/>
    <s v="United States"/>
    <s v="Houston"/>
    <x v="5"/>
    <n v="77041"/>
    <x v="2"/>
    <x v="0"/>
    <x v="1"/>
    <n v="899.43"/>
    <n v="5"/>
    <n v="0.3"/>
    <n v="-12.849"/>
  </r>
  <r>
    <s v="First Class"/>
    <x v="0"/>
    <s v="United States"/>
    <s v="Houston"/>
    <x v="5"/>
    <n v="77041"/>
    <x v="2"/>
    <x v="1"/>
    <x v="6"/>
    <n v="46.2"/>
    <n v="5"/>
    <n v="0.2"/>
    <n v="5.7750000000000004"/>
  </r>
  <r>
    <s v="First Class"/>
    <x v="0"/>
    <s v="United States"/>
    <s v="Houston"/>
    <x v="5"/>
    <n v="77041"/>
    <x v="2"/>
    <x v="1"/>
    <x v="10"/>
    <n v="47.951999999999998"/>
    <n v="3"/>
    <n v="0.2"/>
    <n v="16.183800000000002"/>
  </r>
  <r>
    <s v="First Class"/>
    <x v="0"/>
    <s v="United States"/>
    <s v="Houston"/>
    <x v="5"/>
    <n v="77041"/>
    <x v="2"/>
    <x v="2"/>
    <x v="7"/>
    <n v="7.992"/>
    <n v="1"/>
    <n v="0.2"/>
    <n v="0.69930000000000003"/>
  </r>
  <r>
    <s v="First Class"/>
    <x v="0"/>
    <s v="United States"/>
    <s v="Houston"/>
    <x v="5"/>
    <n v="77041"/>
    <x v="2"/>
    <x v="1"/>
    <x v="10"/>
    <n v="76.864000000000004"/>
    <n v="2"/>
    <n v="0.2"/>
    <n v="26.9024"/>
  </r>
  <r>
    <s v="Standard Class"/>
    <x v="2"/>
    <s v="United States"/>
    <s v="Louisville"/>
    <x v="0"/>
    <n v="40214"/>
    <x v="0"/>
    <x v="1"/>
    <x v="8"/>
    <n v="102.93"/>
    <n v="3"/>
    <n v="0"/>
    <n v="48.377099999999999"/>
  </r>
  <r>
    <s v="Standard Class"/>
    <x v="2"/>
    <s v="United States"/>
    <s v="Louisville"/>
    <x v="0"/>
    <n v="40214"/>
    <x v="0"/>
    <x v="2"/>
    <x v="11"/>
    <n v="98.16"/>
    <n v="6"/>
    <n v="0"/>
    <n v="9.8160000000000007"/>
  </r>
  <r>
    <s v="Second Class"/>
    <x v="2"/>
    <s v="United States"/>
    <s v="Hollywood"/>
    <x v="2"/>
    <n v="33021"/>
    <x v="0"/>
    <x v="1"/>
    <x v="8"/>
    <n v="11.52"/>
    <n v="5"/>
    <n v="0.7"/>
    <n v="-7.68"/>
  </r>
  <r>
    <s v="Same Day"/>
    <x v="1"/>
    <s v="United States"/>
    <s v="Chandler"/>
    <x v="16"/>
    <n v="85224"/>
    <x v="1"/>
    <x v="1"/>
    <x v="10"/>
    <n v="83.88"/>
    <n v="1"/>
    <n v="0.2"/>
    <n v="29.358000000000001"/>
  </r>
  <r>
    <s v="Standard Class"/>
    <x v="0"/>
    <s v="United States"/>
    <s v="Philadelphia"/>
    <x v="9"/>
    <n v="19120"/>
    <x v="3"/>
    <x v="2"/>
    <x v="7"/>
    <n v="108.57599999999999"/>
    <n v="4"/>
    <n v="0.4"/>
    <n v="-25.334399999999999"/>
  </r>
  <r>
    <s v="Standard Class"/>
    <x v="0"/>
    <s v="United States"/>
    <s v="Philadelphia"/>
    <x v="9"/>
    <n v="19120"/>
    <x v="3"/>
    <x v="1"/>
    <x v="13"/>
    <n v="5.984"/>
    <n v="2"/>
    <n v="0.2"/>
    <n v="-1.3464"/>
  </r>
  <r>
    <s v="Standard Class"/>
    <x v="1"/>
    <s v="United States"/>
    <s v="Tulsa"/>
    <x v="26"/>
    <n v="74133"/>
    <x v="2"/>
    <x v="1"/>
    <x v="14"/>
    <n v="21.96"/>
    <n v="2"/>
    <n v="0"/>
    <n v="6.1487999999999996"/>
  </r>
  <r>
    <s v="Standard Class"/>
    <x v="1"/>
    <s v="United States"/>
    <s v="Tulsa"/>
    <x v="26"/>
    <n v="74133"/>
    <x v="2"/>
    <x v="0"/>
    <x v="1"/>
    <n v="368.97"/>
    <n v="3"/>
    <n v="0"/>
    <n v="81.173400000000001"/>
  </r>
  <r>
    <s v="Standard Class"/>
    <x v="1"/>
    <s v="United States"/>
    <s v="Tulsa"/>
    <x v="26"/>
    <n v="74133"/>
    <x v="2"/>
    <x v="1"/>
    <x v="6"/>
    <n v="12.39"/>
    <n v="3"/>
    <n v="0"/>
    <n v="3.4691999999999998"/>
  </r>
  <r>
    <s v="Standard Class"/>
    <x v="1"/>
    <s v="United States"/>
    <s v="Tulsa"/>
    <x v="26"/>
    <n v="74133"/>
    <x v="2"/>
    <x v="1"/>
    <x v="4"/>
    <n v="332.94"/>
    <n v="3"/>
    <n v="0"/>
    <n v="9.9882000000000009"/>
  </r>
  <r>
    <s v="Standard Class"/>
    <x v="1"/>
    <s v="United States"/>
    <s v="Draper"/>
    <x v="7"/>
    <n v="84020"/>
    <x v="1"/>
    <x v="2"/>
    <x v="11"/>
    <n v="111.93"/>
    <n v="7"/>
    <n v="0"/>
    <n v="34.698300000000003"/>
  </r>
  <r>
    <s v="First Class"/>
    <x v="2"/>
    <s v="United States"/>
    <s v="Oakland"/>
    <x v="1"/>
    <n v="94601"/>
    <x v="1"/>
    <x v="0"/>
    <x v="1"/>
    <n v="454.27199999999999"/>
    <n v="8"/>
    <n v="0.2"/>
    <n v="-73.819199999999995"/>
  </r>
  <r>
    <s v="Standard Class"/>
    <x v="0"/>
    <s v="United States"/>
    <s v="Lawrence"/>
    <x v="31"/>
    <n v="1841"/>
    <x v="3"/>
    <x v="1"/>
    <x v="10"/>
    <n v="19.440000000000001"/>
    <n v="3"/>
    <n v="0"/>
    <n v="9.3312000000000008"/>
  </r>
  <r>
    <s v="Standard Class"/>
    <x v="0"/>
    <s v="United States"/>
    <s v="Philadelphia"/>
    <x v="9"/>
    <n v="19120"/>
    <x v="3"/>
    <x v="2"/>
    <x v="16"/>
    <n v="8399.9760000000006"/>
    <n v="4"/>
    <n v="0.4"/>
    <n v="1119.9967999999999"/>
  </r>
  <r>
    <s v="Standard Class"/>
    <x v="0"/>
    <s v="United States"/>
    <s v="Philadelphia"/>
    <x v="9"/>
    <n v="19120"/>
    <x v="3"/>
    <x v="1"/>
    <x v="8"/>
    <n v="6.2939999999999996"/>
    <n v="1"/>
    <n v="0.7"/>
    <n v="-4.1959999999999997"/>
  </r>
  <r>
    <s v="Standard Class"/>
    <x v="0"/>
    <s v="United States"/>
    <s v="Philadelphia"/>
    <x v="9"/>
    <n v="19120"/>
    <x v="3"/>
    <x v="1"/>
    <x v="10"/>
    <n v="10.368"/>
    <n v="2"/>
    <n v="0.2"/>
    <n v="3.6288"/>
  </r>
  <r>
    <s v="Standard Class"/>
    <x v="0"/>
    <s v="United States"/>
    <s v="Philadelphia"/>
    <x v="9"/>
    <n v="19120"/>
    <x v="3"/>
    <x v="2"/>
    <x v="7"/>
    <n v="122.38200000000001"/>
    <n v="3"/>
    <n v="0.4"/>
    <n v="-24.476400000000002"/>
  </r>
  <r>
    <s v="Standard Class"/>
    <x v="0"/>
    <s v="United States"/>
    <s v="Jacksonville"/>
    <x v="3"/>
    <n v="28540"/>
    <x v="0"/>
    <x v="1"/>
    <x v="4"/>
    <n v="25.984000000000002"/>
    <n v="2"/>
    <n v="0.2"/>
    <n v="-1.6240000000000001"/>
  </r>
  <r>
    <s v="Standard Class"/>
    <x v="0"/>
    <s v="United States"/>
    <s v="Jacksonville"/>
    <x v="3"/>
    <n v="28540"/>
    <x v="0"/>
    <x v="0"/>
    <x v="3"/>
    <n v="945.03599999999994"/>
    <n v="6"/>
    <n v="0.4"/>
    <n v="-299.26139999999998"/>
  </r>
  <r>
    <s v="Standard Class"/>
    <x v="0"/>
    <s v="United States"/>
    <s v="Jacksonville"/>
    <x v="3"/>
    <n v="28540"/>
    <x v="0"/>
    <x v="1"/>
    <x v="8"/>
    <n v="14.301"/>
    <n v="7"/>
    <n v="0.7"/>
    <n v="-10.487399999999999"/>
  </r>
  <r>
    <s v="Standard Class"/>
    <x v="0"/>
    <s v="United States"/>
    <s v="Jacksonville"/>
    <x v="3"/>
    <n v="28540"/>
    <x v="0"/>
    <x v="0"/>
    <x v="5"/>
    <n v="410.35199999999998"/>
    <n v="3"/>
    <n v="0.2"/>
    <n v="-51.293999999999997"/>
  </r>
  <r>
    <s v="Standard Class"/>
    <x v="1"/>
    <s v="United States"/>
    <s v="Chicago"/>
    <x v="10"/>
    <n v="60610"/>
    <x v="2"/>
    <x v="1"/>
    <x v="10"/>
    <n v="23.52"/>
    <n v="5"/>
    <n v="0.2"/>
    <n v="8.5259999999999998"/>
  </r>
  <r>
    <s v="Standard Class"/>
    <x v="1"/>
    <s v="United States"/>
    <s v="Chicago"/>
    <x v="10"/>
    <n v="60610"/>
    <x v="2"/>
    <x v="2"/>
    <x v="7"/>
    <n v="180.96"/>
    <n v="5"/>
    <n v="0.2"/>
    <n v="13.571999999999999"/>
  </r>
  <r>
    <s v="First Class"/>
    <x v="0"/>
    <s v="United States"/>
    <s v="Pocatello"/>
    <x v="45"/>
    <n v="83201"/>
    <x v="1"/>
    <x v="0"/>
    <x v="5"/>
    <n v="35"/>
    <n v="4"/>
    <n v="0"/>
    <n v="14.7"/>
  </r>
  <r>
    <s v="First Class"/>
    <x v="0"/>
    <s v="United States"/>
    <s v="Pocatello"/>
    <x v="45"/>
    <n v="83201"/>
    <x v="1"/>
    <x v="1"/>
    <x v="4"/>
    <n v="477.15"/>
    <n v="5"/>
    <n v="0"/>
    <n v="28.629000000000001"/>
  </r>
  <r>
    <s v="First Class"/>
    <x v="0"/>
    <s v="United States"/>
    <s v="Pocatello"/>
    <x v="45"/>
    <n v="83201"/>
    <x v="1"/>
    <x v="2"/>
    <x v="7"/>
    <n v="302.37599999999998"/>
    <n v="3"/>
    <n v="0.2"/>
    <n v="22.6782"/>
  </r>
  <r>
    <s v="Standard Class"/>
    <x v="0"/>
    <s v="United States"/>
    <s v="Plano"/>
    <x v="5"/>
    <n v="75023"/>
    <x v="2"/>
    <x v="0"/>
    <x v="3"/>
    <n v="974.98800000000006"/>
    <n v="4"/>
    <n v="0.3"/>
    <n v="-97.498800000000003"/>
  </r>
  <r>
    <s v="First Class"/>
    <x v="0"/>
    <s v="United States"/>
    <s v="New York City"/>
    <x v="15"/>
    <n v="10024"/>
    <x v="3"/>
    <x v="0"/>
    <x v="1"/>
    <n v="589.41"/>
    <n v="5"/>
    <n v="0.1"/>
    <n v="-6.5490000000000004"/>
  </r>
  <r>
    <s v="Standard Class"/>
    <x v="1"/>
    <s v="United States"/>
    <s v="New York City"/>
    <x v="15"/>
    <n v="10024"/>
    <x v="3"/>
    <x v="1"/>
    <x v="6"/>
    <n v="34.700000000000003"/>
    <n v="5"/>
    <n v="0"/>
    <n v="12.492000000000001"/>
  </r>
  <r>
    <s v="Standard Class"/>
    <x v="1"/>
    <s v="United States"/>
    <s v="New York City"/>
    <x v="15"/>
    <n v="10024"/>
    <x v="3"/>
    <x v="1"/>
    <x v="4"/>
    <n v="99.87"/>
    <n v="3"/>
    <n v="0"/>
    <n v="23.968800000000002"/>
  </r>
  <r>
    <s v="Standard Class"/>
    <x v="1"/>
    <s v="United States"/>
    <s v="New York City"/>
    <x v="15"/>
    <n v="10024"/>
    <x v="3"/>
    <x v="1"/>
    <x v="10"/>
    <n v="37.94"/>
    <n v="2"/>
    <n v="0"/>
    <n v="18.211200000000002"/>
  </r>
  <r>
    <s v="Standard Class"/>
    <x v="1"/>
    <s v="United States"/>
    <s v="New York City"/>
    <x v="15"/>
    <n v="10024"/>
    <x v="3"/>
    <x v="1"/>
    <x v="2"/>
    <n v="24.9"/>
    <n v="5"/>
    <n v="0"/>
    <n v="11.454000000000001"/>
  </r>
  <r>
    <s v="Standard Class"/>
    <x v="1"/>
    <s v="United States"/>
    <s v="New York City"/>
    <x v="15"/>
    <n v="10024"/>
    <x v="3"/>
    <x v="0"/>
    <x v="5"/>
    <n v="82.26"/>
    <n v="3"/>
    <n v="0"/>
    <n v="33.726599999999998"/>
  </r>
  <r>
    <s v="Standard Class"/>
    <x v="0"/>
    <s v="United States"/>
    <s v="Chicago"/>
    <x v="10"/>
    <n v="60623"/>
    <x v="2"/>
    <x v="1"/>
    <x v="13"/>
    <n v="7.1040000000000001"/>
    <n v="6"/>
    <n v="0.2"/>
    <n v="2.4864000000000002"/>
  </r>
  <r>
    <s v="Second Class"/>
    <x v="2"/>
    <s v="United States"/>
    <s v="Houston"/>
    <x v="5"/>
    <n v="77095"/>
    <x v="2"/>
    <x v="0"/>
    <x v="5"/>
    <n v="103.5"/>
    <n v="5"/>
    <n v="0.6"/>
    <n v="-77.625"/>
  </r>
  <r>
    <s v="Second Class"/>
    <x v="2"/>
    <s v="United States"/>
    <s v="Houston"/>
    <x v="5"/>
    <n v="77095"/>
    <x v="2"/>
    <x v="1"/>
    <x v="2"/>
    <n v="2.464"/>
    <n v="1"/>
    <n v="0.2"/>
    <n v="0.86240000000000006"/>
  </r>
  <r>
    <s v="Second Class"/>
    <x v="2"/>
    <s v="United States"/>
    <s v="Houston"/>
    <x v="5"/>
    <n v="77095"/>
    <x v="2"/>
    <x v="1"/>
    <x v="4"/>
    <n v="8.7200000000000006"/>
    <n v="1"/>
    <n v="0.2"/>
    <n v="0.65400000000000003"/>
  </r>
  <r>
    <s v="Standard Class"/>
    <x v="0"/>
    <s v="United States"/>
    <s v="Meriden"/>
    <x v="29"/>
    <n v="6450"/>
    <x v="3"/>
    <x v="1"/>
    <x v="8"/>
    <n v="10.76"/>
    <n v="2"/>
    <n v="0"/>
    <n v="5.1647999999999996"/>
  </r>
  <r>
    <s v="Standard Class"/>
    <x v="0"/>
    <s v="United States"/>
    <s v="Meriden"/>
    <x v="29"/>
    <n v="6450"/>
    <x v="3"/>
    <x v="1"/>
    <x v="10"/>
    <n v="45.68"/>
    <n v="2"/>
    <n v="0"/>
    <n v="21.012799999999999"/>
  </r>
  <r>
    <s v="Standard Class"/>
    <x v="0"/>
    <s v="United States"/>
    <s v="Meriden"/>
    <x v="29"/>
    <n v="6450"/>
    <x v="3"/>
    <x v="1"/>
    <x v="6"/>
    <n v="6.7"/>
    <n v="1"/>
    <n v="0"/>
    <n v="2.2109999999999999"/>
  </r>
  <r>
    <s v="Second Class"/>
    <x v="0"/>
    <s v="United States"/>
    <s v="Glenview"/>
    <x v="10"/>
    <n v="60025"/>
    <x v="2"/>
    <x v="2"/>
    <x v="7"/>
    <n v="158.376"/>
    <n v="3"/>
    <n v="0.2"/>
    <n v="13.857900000000001"/>
  </r>
  <r>
    <s v="Standard Class"/>
    <x v="0"/>
    <s v="United States"/>
    <s v="Houston"/>
    <x v="5"/>
    <n v="77036"/>
    <x v="2"/>
    <x v="1"/>
    <x v="6"/>
    <n v="3.44"/>
    <n v="2"/>
    <n v="0.2"/>
    <n v="0.55900000000000005"/>
  </r>
  <r>
    <s v="First Class"/>
    <x v="0"/>
    <s v="United States"/>
    <s v="San Francisco"/>
    <x v="1"/>
    <n v="94110"/>
    <x v="1"/>
    <x v="1"/>
    <x v="4"/>
    <n v="56.56"/>
    <n v="2"/>
    <n v="0"/>
    <n v="15.2712"/>
  </r>
  <r>
    <s v="First Class"/>
    <x v="0"/>
    <s v="United States"/>
    <s v="San Francisco"/>
    <x v="1"/>
    <n v="94110"/>
    <x v="1"/>
    <x v="0"/>
    <x v="5"/>
    <n v="36.96"/>
    <n v="7"/>
    <n v="0"/>
    <n v="11.457599999999999"/>
  </r>
  <r>
    <s v="Standard Class"/>
    <x v="1"/>
    <s v="United States"/>
    <s v="New York City"/>
    <x v="15"/>
    <n v="10009"/>
    <x v="3"/>
    <x v="2"/>
    <x v="7"/>
    <n v="135.99"/>
    <n v="1"/>
    <n v="0"/>
    <n v="36.717300000000002"/>
  </r>
  <r>
    <s v="Standard Class"/>
    <x v="1"/>
    <s v="United States"/>
    <s v="New York City"/>
    <x v="15"/>
    <n v="10009"/>
    <x v="3"/>
    <x v="1"/>
    <x v="6"/>
    <n v="15.96"/>
    <n v="7"/>
    <n v="0"/>
    <n v="7.0224000000000002"/>
  </r>
  <r>
    <s v="First Class"/>
    <x v="1"/>
    <s v="United States"/>
    <s v="Baltimore"/>
    <x v="39"/>
    <n v="21215"/>
    <x v="3"/>
    <x v="1"/>
    <x v="6"/>
    <n v="3.76"/>
    <n v="2"/>
    <n v="0"/>
    <n v="1.0904"/>
  </r>
  <r>
    <s v="First Class"/>
    <x v="1"/>
    <s v="United States"/>
    <s v="Baltimore"/>
    <x v="39"/>
    <n v="21215"/>
    <x v="3"/>
    <x v="1"/>
    <x v="6"/>
    <n v="14.7"/>
    <n v="5"/>
    <n v="0"/>
    <n v="6.6150000000000002"/>
  </r>
  <r>
    <s v="First Class"/>
    <x v="1"/>
    <s v="United States"/>
    <s v="Baltimore"/>
    <x v="39"/>
    <n v="21215"/>
    <x v="3"/>
    <x v="1"/>
    <x v="6"/>
    <n v="37.200000000000003"/>
    <n v="5"/>
    <n v="0"/>
    <n v="9.3000000000000007"/>
  </r>
  <r>
    <s v="First Class"/>
    <x v="1"/>
    <s v="United States"/>
    <s v="Baltimore"/>
    <x v="39"/>
    <n v="21215"/>
    <x v="3"/>
    <x v="2"/>
    <x v="11"/>
    <n v="89.97"/>
    <n v="3"/>
    <n v="0"/>
    <n v="18.893699999999999"/>
  </r>
  <r>
    <s v="First Class"/>
    <x v="1"/>
    <s v="United States"/>
    <s v="Baltimore"/>
    <x v="39"/>
    <n v="21215"/>
    <x v="3"/>
    <x v="0"/>
    <x v="1"/>
    <n v="261.95999999999998"/>
    <n v="2"/>
    <n v="0"/>
    <n v="23.5764"/>
  </r>
  <r>
    <s v="First Class"/>
    <x v="1"/>
    <s v="United States"/>
    <s v="Baltimore"/>
    <x v="39"/>
    <n v="21215"/>
    <x v="3"/>
    <x v="1"/>
    <x v="2"/>
    <n v="74"/>
    <n v="5"/>
    <n v="0"/>
    <n v="37"/>
  </r>
  <r>
    <s v="Standard Class"/>
    <x v="2"/>
    <s v="United States"/>
    <s v="Louisville"/>
    <x v="0"/>
    <n v="40214"/>
    <x v="0"/>
    <x v="0"/>
    <x v="5"/>
    <n v="13.28"/>
    <n v="2"/>
    <n v="0"/>
    <n v="6.3743999999999996"/>
  </r>
  <r>
    <s v="Standard Class"/>
    <x v="0"/>
    <s v="United States"/>
    <s v="Lebanon"/>
    <x v="18"/>
    <n v="37087"/>
    <x v="0"/>
    <x v="1"/>
    <x v="4"/>
    <n v="84.96"/>
    <n v="6"/>
    <n v="0.2"/>
    <n v="6.3719999999999999"/>
  </r>
  <r>
    <s v="Second Class"/>
    <x v="0"/>
    <s v="United States"/>
    <s v="Los Angeles"/>
    <x v="1"/>
    <n v="90008"/>
    <x v="1"/>
    <x v="2"/>
    <x v="11"/>
    <n v="68.459999999999994"/>
    <n v="7"/>
    <n v="0"/>
    <n v="25.330200000000001"/>
  </r>
  <r>
    <s v="Standard Class"/>
    <x v="2"/>
    <s v="United States"/>
    <s v="Providence"/>
    <x v="34"/>
    <n v="2908"/>
    <x v="3"/>
    <x v="1"/>
    <x v="4"/>
    <n v="2079.4"/>
    <n v="5"/>
    <n v="0"/>
    <n v="582.23199999999997"/>
  </r>
  <r>
    <s v="Standard Class"/>
    <x v="2"/>
    <s v="United States"/>
    <s v="Providence"/>
    <x v="34"/>
    <n v="2908"/>
    <x v="3"/>
    <x v="2"/>
    <x v="7"/>
    <n v="629.95000000000005"/>
    <n v="5"/>
    <n v="0"/>
    <n v="176.386"/>
  </r>
  <r>
    <s v="Standard Class"/>
    <x v="2"/>
    <s v="United States"/>
    <s v="Providence"/>
    <x v="34"/>
    <n v="2908"/>
    <x v="3"/>
    <x v="0"/>
    <x v="5"/>
    <n v="72.42"/>
    <n v="6"/>
    <n v="0"/>
    <n v="23.898599999999998"/>
  </r>
  <r>
    <s v="Standard Class"/>
    <x v="2"/>
    <s v="United States"/>
    <s v="Detroit"/>
    <x v="12"/>
    <n v="48234"/>
    <x v="2"/>
    <x v="2"/>
    <x v="7"/>
    <n v="131.97999999999999"/>
    <n v="2"/>
    <n v="0"/>
    <n v="35.634599999999999"/>
  </r>
  <r>
    <s v="Standard Class"/>
    <x v="2"/>
    <s v="United States"/>
    <s v="Detroit"/>
    <x v="12"/>
    <n v="48234"/>
    <x v="2"/>
    <x v="2"/>
    <x v="11"/>
    <n v="114.52"/>
    <n v="7"/>
    <n v="0"/>
    <n v="11.452"/>
  </r>
  <r>
    <s v="Standard Class"/>
    <x v="2"/>
    <s v="United States"/>
    <s v="Houston"/>
    <x v="5"/>
    <n v="77070"/>
    <x v="2"/>
    <x v="1"/>
    <x v="2"/>
    <n v="100.24"/>
    <n v="10"/>
    <n v="0.2"/>
    <n v="33.831000000000003"/>
  </r>
  <r>
    <s v="Second Class"/>
    <x v="0"/>
    <s v="United States"/>
    <s v="Columbia"/>
    <x v="18"/>
    <n v="38401"/>
    <x v="0"/>
    <x v="1"/>
    <x v="9"/>
    <n v="871.8"/>
    <n v="3"/>
    <n v="0.2"/>
    <n v="87.18"/>
  </r>
  <r>
    <s v="First Class"/>
    <x v="1"/>
    <s v="United States"/>
    <s v="Philadelphia"/>
    <x v="9"/>
    <n v="19140"/>
    <x v="3"/>
    <x v="0"/>
    <x v="0"/>
    <n v="61.96"/>
    <n v="4"/>
    <n v="0.5"/>
    <n v="-53.285600000000002"/>
  </r>
  <r>
    <s v="Standard Class"/>
    <x v="0"/>
    <s v="United States"/>
    <s v="Pembroke Pines"/>
    <x v="2"/>
    <n v="33024"/>
    <x v="0"/>
    <x v="1"/>
    <x v="8"/>
    <n v="4.5540000000000003"/>
    <n v="3"/>
    <n v="0.7"/>
    <n v="-3.4914000000000001"/>
  </r>
  <r>
    <s v="Standard Class"/>
    <x v="0"/>
    <s v="United States"/>
    <s v="Pembroke Pines"/>
    <x v="2"/>
    <n v="33024"/>
    <x v="0"/>
    <x v="1"/>
    <x v="9"/>
    <n v="5.2"/>
    <n v="2"/>
    <n v="0.2"/>
    <n v="0.58499999999999996"/>
  </r>
  <r>
    <s v="Standard Class"/>
    <x v="0"/>
    <s v="United States"/>
    <s v="Pembroke Pines"/>
    <x v="2"/>
    <n v="33024"/>
    <x v="0"/>
    <x v="2"/>
    <x v="11"/>
    <n v="205.99199999999999"/>
    <n v="1"/>
    <n v="0.2"/>
    <n v="-2.5749"/>
  </r>
  <r>
    <s v="Standard Class"/>
    <x v="0"/>
    <s v="United States"/>
    <s v="Pembroke Pines"/>
    <x v="2"/>
    <n v="33024"/>
    <x v="0"/>
    <x v="1"/>
    <x v="10"/>
    <n v="15.552"/>
    <n v="3"/>
    <n v="0.2"/>
    <n v="5.4432"/>
  </r>
  <r>
    <s v="Standard Class"/>
    <x v="0"/>
    <s v="United States"/>
    <s v="Pembroke Pines"/>
    <x v="2"/>
    <n v="33024"/>
    <x v="0"/>
    <x v="2"/>
    <x v="7"/>
    <n v="503.96"/>
    <n v="5"/>
    <n v="0.2"/>
    <n v="50.396000000000001"/>
  </r>
  <r>
    <s v="Standard Class"/>
    <x v="0"/>
    <s v="United States"/>
    <s v="Pembroke Pines"/>
    <x v="2"/>
    <n v="33024"/>
    <x v="0"/>
    <x v="1"/>
    <x v="9"/>
    <n v="24.472000000000001"/>
    <n v="7"/>
    <n v="0.2"/>
    <n v="1.8353999999999999"/>
  </r>
  <r>
    <s v="Standard Class"/>
    <x v="0"/>
    <s v="United States"/>
    <s v="Pembroke Pines"/>
    <x v="2"/>
    <n v="33024"/>
    <x v="0"/>
    <x v="0"/>
    <x v="0"/>
    <n v="241.56800000000001"/>
    <n v="2"/>
    <n v="0.2"/>
    <n v="0"/>
  </r>
  <r>
    <s v="Standard Class"/>
    <x v="0"/>
    <s v="United States"/>
    <s v="Pembroke Pines"/>
    <x v="2"/>
    <n v="33024"/>
    <x v="0"/>
    <x v="2"/>
    <x v="11"/>
    <n v="110.4"/>
    <n v="2"/>
    <n v="0.2"/>
    <n v="-4.1399999999999997"/>
  </r>
  <r>
    <s v="Standard Class"/>
    <x v="1"/>
    <s v="United States"/>
    <s v="New York City"/>
    <x v="15"/>
    <n v="10011"/>
    <x v="3"/>
    <x v="0"/>
    <x v="3"/>
    <n v="384.76799999999997"/>
    <n v="2"/>
    <n v="0.4"/>
    <n v="-115.43040000000001"/>
  </r>
  <r>
    <s v="Standard Class"/>
    <x v="1"/>
    <s v="United States"/>
    <s v="New York City"/>
    <x v="15"/>
    <n v="10011"/>
    <x v="3"/>
    <x v="2"/>
    <x v="15"/>
    <n v="78.66"/>
    <n v="6"/>
    <n v="0"/>
    <n v="36.183599999999998"/>
  </r>
  <r>
    <s v="Standard Class"/>
    <x v="1"/>
    <s v="United States"/>
    <s v="New York City"/>
    <x v="15"/>
    <n v="10011"/>
    <x v="3"/>
    <x v="1"/>
    <x v="10"/>
    <n v="45.36"/>
    <n v="4"/>
    <n v="0"/>
    <n v="22.226400000000002"/>
  </r>
  <r>
    <s v="Standard Class"/>
    <x v="0"/>
    <s v="United States"/>
    <s v="Jacksonville"/>
    <x v="3"/>
    <n v="28540"/>
    <x v="0"/>
    <x v="1"/>
    <x v="9"/>
    <n v="962.08"/>
    <n v="4"/>
    <n v="0.2"/>
    <n v="156.33799999999999"/>
  </r>
  <r>
    <s v="Standard Class"/>
    <x v="0"/>
    <s v="United States"/>
    <s v="Jacksonville"/>
    <x v="3"/>
    <n v="28540"/>
    <x v="0"/>
    <x v="1"/>
    <x v="8"/>
    <n v="12.843"/>
    <n v="3"/>
    <n v="0.7"/>
    <n v="-9.8462999999999994"/>
  </r>
  <r>
    <s v="Standard Class"/>
    <x v="0"/>
    <s v="United States"/>
    <s v="Jacksonville"/>
    <x v="3"/>
    <n v="28540"/>
    <x v="0"/>
    <x v="1"/>
    <x v="10"/>
    <n v="295.45600000000002"/>
    <n v="14"/>
    <n v="0.2"/>
    <n v="96.023200000000003"/>
  </r>
  <r>
    <s v="Standard Class"/>
    <x v="0"/>
    <s v="United States"/>
    <s v="New York City"/>
    <x v="15"/>
    <n v="10011"/>
    <x v="3"/>
    <x v="1"/>
    <x v="10"/>
    <n v="32.4"/>
    <n v="5"/>
    <n v="0"/>
    <n v="15.552"/>
  </r>
  <r>
    <s v="Standard Class"/>
    <x v="1"/>
    <s v="United States"/>
    <s v="Philadelphia"/>
    <x v="9"/>
    <n v="19120"/>
    <x v="3"/>
    <x v="0"/>
    <x v="5"/>
    <n v="103.93600000000001"/>
    <n v="4"/>
    <n v="0.2"/>
    <n v="16.889600000000002"/>
  </r>
  <r>
    <s v="Standard Class"/>
    <x v="1"/>
    <s v="United States"/>
    <s v="Orlando"/>
    <x v="2"/>
    <n v="32839"/>
    <x v="0"/>
    <x v="0"/>
    <x v="0"/>
    <n v="289.56799999999998"/>
    <n v="2"/>
    <n v="0.2"/>
    <n v="10.8588"/>
  </r>
  <r>
    <s v="Standard Class"/>
    <x v="1"/>
    <s v="United States"/>
    <s v="Orlando"/>
    <x v="2"/>
    <n v="32839"/>
    <x v="0"/>
    <x v="1"/>
    <x v="4"/>
    <n v="39.72"/>
    <n v="5"/>
    <n v="0.2"/>
    <n v="4.4684999999999997"/>
  </r>
  <r>
    <s v="Standard Class"/>
    <x v="1"/>
    <s v="United States"/>
    <s v="Orlando"/>
    <x v="2"/>
    <n v="32839"/>
    <x v="0"/>
    <x v="2"/>
    <x v="7"/>
    <n v="244.768"/>
    <n v="4"/>
    <n v="0.2"/>
    <n v="24.476800000000001"/>
  </r>
  <r>
    <s v="Second Class"/>
    <x v="0"/>
    <s v="United States"/>
    <s v="Houston"/>
    <x v="5"/>
    <n v="77095"/>
    <x v="2"/>
    <x v="2"/>
    <x v="11"/>
    <n v="24"/>
    <n v="2"/>
    <n v="0.2"/>
    <n v="-2.7"/>
  </r>
  <r>
    <s v="Second Class"/>
    <x v="0"/>
    <s v="United States"/>
    <s v="Houston"/>
    <x v="5"/>
    <n v="77095"/>
    <x v="2"/>
    <x v="1"/>
    <x v="10"/>
    <n v="15.552"/>
    <n v="3"/>
    <n v="0.2"/>
    <n v="5.4432"/>
  </r>
  <r>
    <s v="Second Class"/>
    <x v="0"/>
    <s v="United States"/>
    <s v="Houston"/>
    <x v="5"/>
    <n v="77095"/>
    <x v="2"/>
    <x v="2"/>
    <x v="11"/>
    <n v="26.175999999999998"/>
    <n v="2"/>
    <n v="0.2"/>
    <n v="-3.2719999999999998"/>
  </r>
  <r>
    <s v="Standard Class"/>
    <x v="2"/>
    <s v="United States"/>
    <s v="Louisville"/>
    <x v="0"/>
    <n v="40214"/>
    <x v="0"/>
    <x v="0"/>
    <x v="5"/>
    <n v="20.94"/>
    <n v="3"/>
    <n v="0"/>
    <n v="6.0726000000000004"/>
  </r>
  <r>
    <s v="Standard Class"/>
    <x v="2"/>
    <s v="United States"/>
    <s v="Louisville"/>
    <x v="0"/>
    <n v="40214"/>
    <x v="0"/>
    <x v="1"/>
    <x v="8"/>
    <n v="135.09"/>
    <n v="9"/>
    <n v="0"/>
    <n v="62.141399999999997"/>
  </r>
  <r>
    <s v="Standard Class"/>
    <x v="2"/>
    <s v="United States"/>
    <s v="Louisville"/>
    <x v="0"/>
    <n v="40214"/>
    <x v="0"/>
    <x v="2"/>
    <x v="11"/>
    <n v="279.86"/>
    <n v="14"/>
    <n v="0"/>
    <n v="64.367800000000003"/>
  </r>
  <r>
    <s v="Standard Class"/>
    <x v="2"/>
    <s v="United States"/>
    <s v="Louisville"/>
    <x v="0"/>
    <n v="40214"/>
    <x v="0"/>
    <x v="1"/>
    <x v="8"/>
    <n v="90.06"/>
    <n v="6"/>
    <n v="0"/>
    <n v="41.427599999999998"/>
  </r>
  <r>
    <s v="Standard Class"/>
    <x v="0"/>
    <s v="United States"/>
    <s v="Medina"/>
    <x v="24"/>
    <n v="44256"/>
    <x v="3"/>
    <x v="2"/>
    <x v="7"/>
    <n v="539.96400000000006"/>
    <n v="6"/>
    <n v="0.4"/>
    <n v="-107.9928"/>
  </r>
  <r>
    <s v="Standard Class"/>
    <x v="0"/>
    <s v="United States"/>
    <s v="Medina"/>
    <x v="24"/>
    <n v="44256"/>
    <x v="3"/>
    <x v="2"/>
    <x v="7"/>
    <n v="50.231999999999999"/>
    <n v="7"/>
    <n v="0.4"/>
    <n v="-10.0464"/>
  </r>
  <r>
    <s v="Standard Class"/>
    <x v="0"/>
    <s v="United States"/>
    <s v="Medina"/>
    <x v="24"/>
    <n v="44256"/>
    <x v="3"/>
    <x v="1"/>
    <x v="8"/>
    <n v="19.242000000000001"/>
    <n v="3"/>
    <n v="0.7"/>
    <n v="-13.4694"/>
  </r>
  <r>
    <s v="Second Class"/>
    <x v="1"/>
    <s v="United States"/>
    <s v="New York City"/>
    <x v="15"/>
    <n v="10011"/>
    <x v="3"/>
    <x v="1"/>
    <x v="4"/>
    <n v="1247.6400000000001"/>
    <n v="3"/>
    <n v="0"/>
    <n v="349.33920000000001"/>
  </r>
  <r>
    <s v="Standard Class"/>
    <x v="1"/>
    <s v="United States"/>
    <s v="Chicago"/>
    <x v="10"/>
    <n v="60653"/>
    <x v="2"/>
    <x v="1"/>
    <x v="6"/>
    <n v="5.3040000000000003"/>
    <n v="3"/>
    <n v="0.2"/>
    <n v="0.46410000000000001"/>
  </r>
  <r>
    <s v="Second Class"/>
    <x v="1"/>
    <s v="United States"/>
    <s v="Philadelphia"/>
    <x v="9"/>
    <n v="19143"/>
    <x v="3"/>
    <x v="1"/>
    <x v="10"/>
    <n v="19.135999999999999"/>
    <n v="4"/>
    <n v="0.2"/>
    <n v="5.98"/>
  </r>
  <r>
    <s v="Second Class"/>
    <x v="1"/>
    <s v="United States"/>
    <s v="Philadelphia"/>
    <x v="9"/>
    <n v="19143"/>
    <x v="3"/>
    <x v="0"/>
    <x v="5"/>
    <n v="332.83199999999999"/>
    <n v="4"/>
    <n v="0.2"/>
    <n v="-24.962399999999999"/>
  </r>
  <r>
    <s v="Standard Class"/>
    <x v="1"/>
    <s v="United States"/>
    <s v="New York City"/>
    <x v="15"/>
    <n v="10009"/>
    <x v="3"/>
    <x v="1"/>
    <x v="10"/>
    <n v="279.89999999999998"/>
    <n v="5"/>
    <n v="0"/>
    <n v="137.15100000000001"/>
  </r>
  <r>
    <s v="Standard Class"/>
    <x v="1"/>
    <s v="United States"/>
    <s v="New York City"/>
    <x v="15"/>
    <n v="10009"/>
    <x v="3"/>
    <x v="1"/>
    <x v="8"/>
    <n v="50.351999999999997"/>
    <n v="3"/>
    <n v="0.2"/>
    <n v="17.623200000000001"/>
  </r>
  <r>
    <s v="Standard Class"/>
    <x v="1"/>
    <s v="United States"/>
    <s v="New York City"/>
    <x v="15"/>
    <n v="10009"/>
    <x v="3"/>
    <x v="1"/>
    <x v="10"/>
    <n v="34.020000000000003"/>
    <n v="3"/>
    <n v="0"/>
    <n v="16.669799999999999"/>
  </r>
  <r>
    <s v="Standard Class"/>
    <x v="2"/>
    <s v="United States"/>
    <s v="San Francisco"/>
    <x v="1"/>
    <n v="94109"/>
    <x v="1"/>
    <x v="1"/>
    <x v="6"/>
    <n v="23.88"/>
    <n v="6"/>
    <n v="0"/>
    <n v="8.1191999999999993"/>
  </r>
  <r>
    <s v="Standard Class"/>
    <x v="2"/>
    <s v="United States"/>
    <s v="San Francisco"/>
    <x v="1"/>
    <n v="94109"/>
    <x v="1"/>
    <x v="1"/>
    <x v="2"/>
    <n v="11.52"/>
    <n v="4"/>
    <n v="0"/>
    <n v="5.6448"/>
  </r>
  <r>
    <s v="Standard Class"/>
    <x v="2"/>
    <s v="United States"/>
    <s v="San Francisco"/>
    <x v="1"/>
    <n v="94109"/>
    <x v="1"/>
    <x v="1"/>
    <x v="10"/>
    <n v="286.93"/>
    <n v="7"/>
    <n v="0"/>
    <n v="140.59569999999999"/>
  </r>
  <r>
    <s v="Standard Class"/>
    <x v="2"/>
    <s v="United States"/>
    <s v="San Francisco"/>
    <x v="1"/>
    <n v="94109"/>
    <x v="1"/>
    <x v="2"/>
    <x v="7"/>
    <n v="206.38399999999999"/>
    <n v="2"/>
    <n v="0.2"/>
    <n v="23.2182"/>
  </r>
  <r>
    <s v="Standard Class"/>
    <x v="0"/>
    <s v="United States"/>
    <s v="San Francisco"/>
    <x v="1"/>
    <n v="94122"/>
    <x v="1"/>
    <x v="0"/>
    <x v="1"/>
    <n v="218.352"/>
    <n v="3"/>
    <n v="0.2"/>
    <n v="0"/>
  </r>
  <r>
    <s v="Standard Class"/>
    <x v="0"/>
    <s v="United States"/>
    <s v="San Francisco"/>
    <x v="1"/>
    <n v="94122"/>
    <x v="1"/>
    <x v="0"/>
    <x v="5"/>
    <n v="529.9"/>
    <n v="5"/>
    <n v="0"/>
    <n v="105.98"/>
  </r>
  <r>
    <s v="Standard Class"/>
    <x v="0"/>
    <s v="United States"/>
    <s v="San Francisco"/>
    <x v="1"/>
    <n v="94122"/>
    <x v="1"/>
    <x v="1"/>
    <x v="6"/>
    <n v="99.3"/>
    <n v="10"/>
    <n v="0"/>
    <n v="41.706000000000003"/>
  </r>
  <r>
    <s v="Standard Class"/>
    <x v="0"/>
    <s v="United States"/>
    <s v="San Francisco"/>
    <x v="1"/>
    <n v="94122"/>
    <x v="1"/>
    <x v="1"/>
    <x v="9"/>
    <n v="108.96"/>
    <n v="2"/>
    <n v="0"/>
    <n v="30.508800000000001"/>
  </r>
  <r>
    <s v="Standard Class"/>
    <x v="0"/>
    <s v="United States"/>
    <s v="San Francisco"/>
    <x v="1"/>
    <n v="94122"/>
    <x v="1"/>
    <x v="1"/>
    <x v="8"/>
    <n v="2.6880000000000002"/>
    <n v="1"/>
    <n v="0.2"/>
    <n v="0.84"/>
  </r>
  <r>
    <s v="Second Class"/>
    <x v="0"/>
    <s v="United States"/>
    <s v="Jackson"/>
    <x v="12"/>
    <n v="49201"/>
    <x v="2"/>
    <x v="1"/>
    <x v="8"/>
    <n v="5443.96"/>
    <n v="4"/>
    <n v="0"/>
    <n v="2504.2215999999999"/>
  </r>
  <r>
    <s v="Second Class"/>
    <x v="0"/>
    <s v="United States"/>
    <s v="Jackson"/>
    <x v="12"/>
    <n v="49201"/>
    <x v="2"/>
    <x v="0"/>
    <x v="1"/>
    <n v="302.67"/>
    <n v="3"/>
    <n v="0"/>
    <n v="72.640799999999999"/>
  </r>
  <r>
    <s v="Second Class"/>
    <x v="0"/>
    <s v="United States"/>
    <s v="Jackson"/>
    <x v="12"/>
    <n v="49201"/>
    <x v="2"/>
    <x v="1"/>
    <x v="10"/>
    <n v="56.07"/>
    <n v="7"/>
    <n v="0"/>
    <n v="25.2315"/>
  </r>
  <r>
    <s v="Standard Class"/>
    <x v="2"/>
    <s v="United States"/>
    <s v="Philadelphia"/>
    <x v="9"/>
    <n v="19120"/>
    <x v="3"/>
    <x v="1"/>
    <x v="2"/>
    <n v="10.08"/>
    <n v="2"/>
    <n v="0.2"/>
    <n v="3.2759999999999998"/>
  </r>
  <r>
    <s v="Standard Class"/>
    <x v="2"/>
    <s v="United States"/>
    <s v="Philadelphia"/>
    <x v="9"/>
    <n v="19120"/>
    <x v="3"/>
    <x v="2"/>
    <x v="7"/>
    <n v="59.994"/>
    <n v="1"/>
    <n v="0.4"/>
    <n v="-12.998699999999999"/>
  </r>
  <r>
    <s v="Standard Class"/>
    <x v="2"/>
    <s v="United States"/>
    <s v="Philadelphia"/>
    <x v="9"/>
    <n v="19120"/>
    <x v="3"/>
    <x v="1"/>
    <x v="8"/>
    <n v="5.7149999999999999"/>
    <n v="5"/>
    <n v="0.7"/>
    <n v="-4.7625000000000002"/>
  </r>
  <r>
    <s v="Standard Class"/>
    <x v="2"/>
    <s v="United States"/>
    <s v="Philadelphia"/>
    <x v="9"/>
    <n v="19120"/>
    <x v="3"/>
    <x v="1"/>
    <x v="8"/>
    <n v="9.42"/>
    <n v="5"/>
    <n v="0.7"/>
    <n v="-7.85"/>
  </r>
  <r>
    <s v="Second Class"/>
    <x v="1"/>
    <s v="United States"/>
    <s v="Warwick"/>
    <x v="34"/>
    <n v="2886"/>
    <x v="3"/>
    <x v="2"/>
    <x v="16"/>
    <n v="1999.96"/>
    <n v="4"/>
    <n v="0"/>
    <n v="899.98199999999997"/>
  </r>
  <r>
    <s v="Standard Class"/>
    <x v="2"/>
    <s v="United States"/>
    <s v="New York City"/>
    <x v="15"/>
    <n v="10024"/>
    <x v="3"/>
    <x v="1"/>
    <x v="4"/>
    <n v="216.4"/>
    <n v="4"/>
    <n v="0"/>
    <n v="56.264000000000003"/>
  </r>
  <r>
    <s v="Standard Class"/>
    <x v="2"/>
    <s v="United States"/>
    <s v="El Paso"/>
    <x v="5"/>
    <n v="79907"/>
    <x v="2"/>
    <x v="1"/>
    <x v="2"/>
    <n v="6.9359999999999999"/>
    <n v="3"/>
    <n v="0.2"/>
    <n v="2.3409"/>
  </r>
  <r>
    <s v="Standard Class"/>
    <x v="2"/>
    <s v="United States"/>
    <s v="El Paso"/>
    <x v="5"/>
    <n v="79907"/>
    <x v="2"/>
    <x v="1"/>
    <x v="8"/>
    <n v="4.4279999999999999"/>
    <n v="3"/>
    <n v="0.8"/>
    <n v="-6.8634000000000004"/>
  </r>
  <r>
    <s v="Standard Class"/>
    <x v="0"/>
    <s v="United States"/>
    <s v="Rochester"/>
    <x v="11"/>
    <n v="55901"/>
    <x v="2"/>
    <x v="1"/>
    <x v="6"/>
    <n v="8.8000000000000007"/>
    <n v="5"/>
    <n v="0"/>
    <n v="2.552"/>
  </r>
  <r>
    <s v="Standard Class"/>
    <x v="0"/>
    <s v="United States"/>
    <s v="Rochester"/>
    <x v="11"/>
    <n v="55901"/>
    <x v="2"/>
    <x v="2"/>
    <x v="11"/>
    <n v="142.80000000000001"/>
    <n v="1"/>
    <n v="0"/>
    <n v="29.988"/>
  </r>
  <r>
    <s v="Standard Class"/>
    <x v="0"/>
    <s v="United States"/>
    <s v="Rochester"/>
    <x v="11"/>
    <n v="55901"/>
    <x v="2"/>
    <x v="2"/>
    <x v="11"/>
    <n v="399.95"/>
    <n v="5"/>
    <n v="0"/>
    <n v="143.982"/>
  </r>
  <r>
    <s v="Standard Class"/>
    <x v="0"/>
    <s v="United States"/>
    <s v="Buffalo"/>
    <x v="15"/>
    <n v="14215"/>
    <x v="3"/>
    <x v="1"/>
    <x v="8"/>
    <n v="2152.7759999999998"/>
    <n v="3"/>
    <n v="0.2"/>
    <n v="726.56190000000004"/>
  </r>
  <r>
    <s v="Standard Class"/>
    <x v="0"/>
    <s v="United States"/>
    <s v="Buffalo"/>
    <x v="15"/>
    <n v="14215"/>
    <x v="3"/>
    <x v="0"/>
    <x v="0"/>
    <n v="4007.84"/>
    <n v="10"/>
    <n v="0.2"/>
    <n v="-50.097999999999999"/>
  </r>
  <r>
    <s v="First Class"/>
    <x v="1"/>
    <s v="United States"/>
    <s v="Knoxville"/>
    <x v="18"/>
    <n v="37918"/>
    <x v="0"/>
    <x v="0"/>
    <x v="3"/>
    <n v="328.59"/>
    <n v="3"/>
    <n v="0.4"/>
    <n v="-147.8655"/>
  </r>
  <r>
    <s v="First Class"/>
    <x v="1"/>
    <s v="United States"/>
    <s v="Knoxville"/>
    <x v="18"/>
    <n v="37918"/>
    <x v="0"/>
    <x v="1"/>
    <x v="4"/>
    <n v="98.352000000000004"/>
    <n v="3"/>
    <n v="0.2"/>
    <n v="-24.588000000000001"/>
  </r>
  <r>
    <s v="Standard Class"/>
    <x v="1"/>
    <s v="United States"/>
    <s v="Newark"/>
    <x v="13"/>
    <n v="19711"/>
    <x v="3"/>
    <x v="2"/>
    <x v="7"/>
    <n v="158.99"/>
    <n v="1"/>
    <n v="0"/>
    <n v="41.337400000000002"/>
  </r>
  <r>
    <s v="Standard Class"/>
    <x v="1"/>
    <s v="United States"/>
    <s v="Newark"/>
    <x v="13"/>
    <n v="19711"/>
    <x v="3"/>
    <x v="0"/>
    <x v="1"/>
    <n v="291.10000000000002"/>
    <n v="5"/>
    <n v="0"/>
    <n v="75.686000000000007"/>
  </r>
  <r>
    <s v="First Class"/>
    <x v="0"/>
    <s v="United States"/>
    <s v="Seattle"/>
    <x v="4"/>
    <n v="98103"/>
    <x v="1"/>
    <x v="1"/>
    <x v="10"/>
    <n v="73.680000000000007"/>
    <n v="6"/>
    <n v="0"/>
    <n v="34.629600000000003"/>
  </r>
  <r>
    <s v="First Class"/>
    <x v="0"/>
    <s v="United States"/>
    <s v="Seattle"/>
    <x v="4"/>
    <n v="98103"/>
    <x v="1"/>
    <x v="0"/>
    <x v="5"/>
    <n v="139.91999999999999"/>
    <n v="2"/>
    <n v="0"/>
    <n v="23.7864"/>
  </r>
  <r>
    <s v="First Class"/>
    <x v="0"/>
    <s v="United States"/>
    <s v="Seattle"/>
    <x v="4"/>
    <n v="98103"/>
    <x v="1"/>
    <x v="2"/>
    <x v="7"/>
    <n v="107.88"/>
    <n v="3"/>
    <n v="0.2"/>
    <n v="10.788"/>
  </r>
  <r>
    <s v="First Class"/>
    <x v="0"/>
    <s v="United States"/>
    <s v="Seattle"/>
    <x v="4"/>
    <n v="98103"/>
    <x v="1"/>
    <x v="1"/>
    <x v="4"/>
    <n v="33.29"/>
    <n v="1"/>
    <n v="0"/>
    <n v="7.9896000000000003"/>
  </r>
  <r>
    <s v="Standard Class"/>
    <x v="0"/>
    <s v="United States"/>
    <s v="Cleveland"/>
    <x v="24"/>
    <n v="44105"/>
    <x v="3"/>
    <x v="1"/>
    <x v="8"/>
    <n v="58.17"/>
    <n v="5"/>
    <n v="0.7"/>
    <n v="-46.536000000000001"/>
  </r>
  <r>
    <s v="Standard Class"/>
    <x v="0"/>
    <s v="United States"/>
    <s v="Cleveland"/>
    <x v="24"/>
    <n v="44105"/>
    <x v="3"/>
    <x v="1"/>
    <x v="2"/>
    <n v="5.04"/>
    <n v="2"/>
    <n v="0.2"/>
    <n v="1.764"/>
  </r>
  <r>
    <s v="Standard Class"/>
    <x v="0"/>
    <s v="United States"/>
    <s v="Cleveland"/>
    <x v="24"/>
    <n v="44105"/>
    <x v="3"/>
    <x v="1"/>
    <x v="10"/>
    <n v="24.783999999999999"/>
    <n v="1"/>
    <n v="0.2"/>
    <n v="7.7450000000000001"/>
  </r>
  <r>
    <s v="Standard Class"/>
    <x v="2"/>
    <s v="United States"/>
    <s v="Elmhurst"/>
    <x v="10"/>
    <n v="60126"/>
    <x v="2"/>
    <x v="0"/>
    <x v="1"/>
    <n v="634.11599999999999"/>
    <n v="6"/>
    <n v="0.3"/>
    <n v="-172.1172"/>
  </r>
  <r>
    <s v="Standard Class"/>
    <x v="2"/>
    <s v="United States"/>
    <s v="Elmhurst"/>
    <x v="10"/>
    <n v="60126"/>
    <x v="2"/>
    <x v="1"/>
    <x v="10"/>
    <n v="17.472000000000001"/>
    <n v="3"/>
    <n v="0.2"/>
    <n v="5.6783999999999999"/>
  </r>
  <r>
    <s v="First Class"/>
    <x v="2"/>
    <s v="United States"/>
    <s v="Lakeville"/>
    <x v="11"/>
    <n v="55044"/>
    <x v="2"/>
    <x v="0"/>
    <x v="1"/>
    <n v="155.88"/>
    <n v="6"/>
    <n v="0"/>
    <n v="38.97"/>
  </r>
  <r>
    <s v="Second Class"/>
    <x v="0"/>
    <s v="United States"/>
    <s v="New York City"/>
    <x v="15"/>
    <n v="10035"/>
    <x v="3"/>
    <x v="0"/>
    <x v="1"/>
    <n v="327.56400000000002"/>
    <n v="4"/>
    <n v="0.1"/>
    <n v="21.837599999999998"/>
  </r>
  <r>
    <s v="Second Class"/>
    <x v="2"/>
    <s v="United States"/>
    <s v="Los Angeles"/>
    <x v="1"/>
    <n v="90036"/>
    <x v="1"/>
    <x v="1"/>
    <x v="10"/>
    <n v="13.36"/>
    <n v="2"/>
    <n v="0"/>
    <n v="6.4127999999999998"/>
  </r>
  <r>
    <s v="Second Class"/>
    <x v="2"/>
    <s v="United States"/>
    <s v="Los Angeles"/>
    <x v="1"/>
    <n v="90036"/>
    <x v="1"/>
    <x v="1"/>
    <x v="4"/>
    <n v="158.9"/>
    <n v="5"/>
    <n v="0"/>
    <n v="7.9450000000000003"/>
  </r>
  <r>
    <s v="Second Class"/>
    <x v="2"/>
    <s v="United States"/>
    <s v="Chicago"/>
    <x v="10"/>
    <n v="60653"/>
    <x v="2"/>
    <x v="2"/>
    <x v="11"/>
    <n v="319.96800000000002"/>
    <n v="4"/>
    <n v="0.2"/>
    <n v="71.992800000000003"/>
  </r>
  <r>
    <s v="Second Class"/>
    <x v="2"/>
    <s v="United States"/>
    <s v="Chicago"/>
    <x v="10"/>
    <n v="60653"/>
    <x v="2"/>
    <x v="1"/>
    <x v="4"/>
    <n v="505.32"/>
    <n v="3"/>
    <n v="0.2"/>
    <n v="31.5825"/>
  </r>
  <r>
    <s v="Second Class"/>
    <x v="2"/>
    <s v="United States"/>
    <s v="Chicago"/>
    <x v="10"/>
    <n v="60653"/>
    <x v="2"/>
    <x v="1"/>
    <x v="10"/>
    <n v="3.8079999999999998"/>
    <n v="1"/>
    <n v="0.2"/>
    <n v="1.2376"/>
  </r>
  <r>
    <s v="Second Class"/>
    <x v="2"/>
    <s v="United States"/>
    <s v="Chicago"/>
    <x v="10"/>
    <n v="60653"/>
    <x v="2"/>
    <x v="1"/>
    <x v="8"/>
    <n v="8.6820000000000004"/>
    <n v="1"/>
    <n v="0.8"/>
    <n v="-14.759399999999999"/>
  </r>
  <r>
    <s v="Second Class"/>
    <x v="2"/>
    <s v="United States"/>
    <s v="Chicago"/>
    <x v="10"/>
    <n v="60653"/>
    <x v="2"/>
    <x v="1"/>
    <x v="2"/>
    <n v="24.423999999999999"/>
    <n v="1"/>
    <n v="0.2"/>
    <n v="7.9378000000000002"/>
  </r>
  <r>
    <s v="Standard Class"/>
    <x v="1"/>
    <s v="United States"/>
    <s v="Buffalo"/>
    <x v="15"/>
    <n v="14215"/>
    <x v="3"/>
    <x v="0"/>
    <x v="1"/>
    <n v="1522.6379999999999"/>
    <n v="9"/>
    <n v="0.1"/>
    <n v="169.18199999999999"/>
  </r>
  <r>
    <s v="Standard Class"/>
    <x v="1"/>
    <s v="United States"/>
    <s v="Roseville"/>
    <x v="1"/>
    <n v="95661"/>
    <x v="1"/>
    <x v="1"/>
    <x v="12"/>
    <n v="419.9"/>
    <n v="5"/>
    <n v="0"/>
    <n v="197.35300000000001"/>
  </r>
  <r>
    <s v="Standard Class"/>
    <x v="1"/>
    <s v="United States"/>
    <s v="Roseville"/>
    <x v="1"/>
    <n v="95661"/>
    <x v="1"/>
    <x v="1"/>
    <x v="2"/>
    <n v="3.15"/>
    <n v="1"/>
    <n v="0"/>
    <n v="1.512"/>
  </r>
  <r>
    <s v="First Class"/>
    <x v="1"/>
    <s v="United States"/>
    <s v="Arlington"/>
    <x v="5"/>
    <n v="76017"/>
    <x v="2"/>
    <x v="1"/>
    <x v="9"/>
    <n v="33.619999999999997"/>
    <n v="5"/>
    <n v="0.8"/>
    <n v="-90.774000000000001"/>
  </r>
  <r>
    <s v="Standard Class"/>
    <x v="0"/>
    <s v="United States"/>
    <s v="Lawrence"/>
    <x v="31"/>
    <n v="1841"/>
    <x v="3"/>
    <x v="1"/>
    <x v="8"/>
    <n v="16.14"/>
    <n v="3"/>
    <n v="0"/>
    <n v="7.9085999999999999"/>
  </r>
  <r>
    <s v="Standard Class"/>
    <x v="0"/>
    <s v="United States"/>
    <s v="Lawrence"/>
    <x v="31"/>
    <n v="1841"/>
    <x v="3"/>
    <x v="0"/>
    <x v="3"/>
    <n v="194.25"/>
    <n v="2"/>
    <n v="0.3"/>
    <n v="-38.85"/>
  </r>
  <r>
    <s v="Standard Class"/>
    <x v="0"/>
    <s v="United States"/>
    <s v="Lawrence"/>
    <x v="31"/>
    <n v="1841"/>
    <x v="3"/>
    <x v="1"/>
    <x v="6"/>
    <n v="8.64"/>
    <n v="3"/>
    <n v="0"/>
    <n v="2.5055999999999998"/>
  </r>
  <r>
    <s v="Standard Class"/>
    <x v="0"/>
    <s v="United States"/>
    <s v="Lawrence"/>
    <x v="31"/>
    <n v="1841"/>
    <x v="3"/>
    <x v="0"/>
    <x v="1"/>
    <n v="872.32"/>
    <n v="4"/>
    <n v="0"/>
    <n v="244.24959999999999"/>
  </r>
  <r>
    <s v="Second Class"/>
    <x v="0"/>
    <s v="United States"/>
    <s v="Waco"/>
    <x v="5"/>
    <n v="76706"/>
    <x v="2"/>
    <x v="1"/>
    <x v="8"/>
    <n v="243.99199999999999"/>
    <n v="4"/>
    <n v="0.8"/>
    <n v="-426.98599999999999"/>
  </r>
  <r>
    <s v="Second Class"/>
    <x v="0"/>
    <s v="United States"/>
    <s v="Waco"/>
    <x v="5"/>
    <n v="76706"/>
    <x v="2"/>
    <x v="1"/>
    <x v="6"/>
    <n v="7.12"/>
    <n v="5"/>
    <n v="0.2"/>
    <n v="0.71199999999999997"/>
  </r>
  <r>
    <s v="Standard Class"/>
    <x v="0"/>
    <s v="United States"/>
    <s v="Houston"/>
    <x v="5"/>
    <n v="77095"/>
    <x v="2"/>
    <x v="1"/>
    <x v="6"/>
    <n v="2.6880000000000002"/>
    <n v="2"/>
    <n v="0.2"/>
    <n v="1.008"/>
  </r>
  <r>
    <s v="Standard Class"/>
    <x v="0"/>
    <s v="United States"/>
    <s v="Houston"/>
    <x v="5"/>
    <n v="77095"/>
    <x v="2"/>
    <x v="0"/>
    <x v="1"/>
    <n v="317.05799999999999"/>
    <n v="3"/>
    <n v="0.3"/>
    <n v="-18.117599999999999"/>
  </r>
  <r>
    <s v="Standard Class"/>
    <x v="0"/>
    <s v="United States"/>
    <s v="Houston"/>
    <x v="5"/>
    <n v="77095"/>
    <x v="2"/>
    <x v="1"/>
    <x v="12"/>
    <n v="149.352"/>
    <n v="3"/>
    <n v="0.2"/>
    <n v="50.406300000000002"/>
  </r>
  <r>
    <s v="Standard Class"/>
    <x v="0"/>
    <s v="United States"/>
    <s v="Houston"/>
    <x v="5"/>
    <n v="77095"/>
    <x v="2"/>
    <x v="2"/>
    <x v="11"/>
    <n v="227.976"/>
    <n v="3"/>
    <n v="0.2"/>
    <n v="28.497"/>
  </r>
  <r>
    <s v="Standard Class"/>
    <x v="0"/>
    <s v="United States"/>
    <s v="Seattle"/>
    <x v="4"/>
    <n v="98105"/>
    <x v="1"/>
    <x v="1"/>
    <x v="10"/>
    <n v="11.96"/>
    <n v="2"/>
    <n v="0"/>
    <n v="5.8604000000000003"/>
  </r>
  <r>
    <s v="Standard Class"/>
    <x v="1"/>
    <s v="United States"/>
    <s v="Plainfield"/>
    <x v="30"/>
    <n v="7060"/>
    <x v="3"/>
    <x v="1"/>
    <x v="4"/>
    <n v="563.4"/>
    <n v="4"/>
    <n v="0"/>
    <n v="67.608000000000004"/>
  </r>
  <r>
    <s v="Standard Class"/>
    <x v="1"/>
    <s v="United States"/>
    <s v="Plainfield"/>
    <x v="30"/>
    <n v="7060"/>
    <x v="3"/>
    <x v="2"/>
    <x v="15"/>
    <n v="319.92"/>
    <n v="8"/>
    <n v="0"/>
    <n v="118.3704"/>
  </r>
  <r>
    <s v="Standard Class"/>
    <x v="0"/>
    <s v="United States"/>
    <s v="Los Angeles"/>
    <x v="1"/>
    <n v="90008"/>
    <x v="1"/>
    <x v="2"/>
    <x v="11"/>
    <n v="1049.44"/>
    <n v="8"/>
    <n v="0"/>
    <n v="440.76479999999998"/>
  </r>
  <r>
    <s v="Standard Class"/>
    <x v="0"/>
    <s v="United States"/>
    <s v="Los Angeles"/>
    <x v="1"/>
    <n v="90008"/>
    <x v="1"/>
    <x v="0"/>
    <x v="1"/>
    <n v="170.352"/>
    <n v="3"/>
    <n v="0.2"/>
    <n v="-17.0352"/>
  </r>
  <r>
    <s v="Second Class"/>
    <x v="0"/>
    <s v="United States"/>
    <s v="Arlington"/>
    <x v="17"/>
    <n v="22204"/>
    <x v="0"/>
    <x v="2"/>
    <x v="7"/>
    <n v="173.94"/>
    <n v="6"/>
    <n v="0"/>
    <n v="50.442599999999999"/>
  </r>
  <r>
    <s v="Standard Class"/>
    <x v="0"/>
    <s v="United States"/>
    <s v="Seattle"/>
    <x v="4"/>
    <n v="98103"/>
    <x v="1"/>
    <x v="2"/>
    <x v="7"/>
    <n v="1007.944"/>
    <n v="7"/>
    <n v="0.2"/>
    <n v="75.595799999999997"/>
  </r>
  <r>
    <s v="Same Day"/>
    <x v="0"/>
    <s v="United States"/>
    <s v="Seattle"/>
    <x v="4"/>
    <n v="98105"/>
    <x v="1"/>
    <x v="1"/>
    <x v="10"/>
    <n v="6.68"/>
    <n v="1"/>
    <n v="0"/>
    <n v="3.2063999999999999"/>
  </r>
  <r>
    <s v="Same Day"/>
    <x v="0"/>
    <s v="United States"/>
    <s v="Seattle"/>
    <x v="4"/>
    <n v="98105"/>
    <x v="1"/>
    <x v="1"/>
    <x v="6"/>
    <n v="8.34"/>
    <n v="3"/>
    <n v="0"/>
    <n v="2.2517999999999998"/>
  </r>
  <r>
    <s v="Same Day"/>
    <x v="0"/>
    <s v="United States"/>
    <s v="Seattle"/>
    <x v="4"/>
    <n v="98105"/>
    <x v="1"/>
    <x v="0"/>
    <x v="5"/>
    <n v="101.94"/>
    <n v="3"/>
    <n v="0"/>
    <n v="30.582000000000001"/>
  </r>
  <r>
    <s v="Standard Class"/>
    <x v="1"/>
    <s v="United States"/>
    <s v="Edmonds"/>
    <x v="4"/>
    <n v="98026"/>
    <x v="1"/>
    <x v="2"/>
    <x v="11"/>
    <n v="179.97"/>
    <n v="3"/>
    <n v="0"/>
    <n v="86.385599999999997"/>
  </r>
  <r>
    <s v="Standard Class"/>
    <x v="0"/>
    <s v="United States"/>
    <s v="Salem"/>
    <x v="17"/>
    <n v="24153"/>
    <x v="0"/>
    <x v="1"/>
    <x v="6"/>
    <n v="101.94"/>
    <n v="6"/>
    <n v="0"/>
    <n v="29.5626"/>
  </r>
  <r>
    <s v="Standard Class"/>
    <x v="0"/>
    <s v="United States"/>
    <s v="Salem"/>
    <x v="17"/>
    <n v="24153"/>
    <x v="0"/>
    <x v="2"/>
    <x v="7"/>
    <n v="271.95999999999998"/>
    <n v="4"/>
    <n v="0"/>
    <n v="67.989999999999995"/>
  </r>
  <r>
    <s v="Standard Class"/>
    <x v="0"/>
    <s v="United States"/>
    <s v="Salem"/>
    <x v="17"/>
    <n v="24153"/>
    <x v="0"/>
    <x v="0"/>
    <x v="5"/>
    <n v="8.8000000000000007"/>
    <n v="5"/>
    <n v="0"/>
    <n v="3.8719999999999999"/>
  </r>
  <r>
    <s v="Standard Class"/>
    <x v="0"/>
    <s v="United States"/>
    <s v="Salem"/>
    <x v="17"/>
    <n v="24153"/>
    <x v="0"/>
    <x v="1"/>
    <x v="6"/>
    <n v="19.68"/>
    <n v="6"/>
    <n v="0"/>
    <n v="5.7072000000000003"/>
  </r>
  <r>
    <s v="Standard Class"/>
    <x v="0"/>
    <s v="United States"/>
    <s v="Salem"/>
    <x v="17"/>
    <n v="24153"/>
    <x v="0"/>
    <x v="0"/>
    <x v="0"/>
    <n v="302.94"/>
    <n v="3"/>
    <n v="0"/>
    <n v="69.676199999999994"/>
  </r>
  <r>
    <s v="Standard Class"/>
    <x v="0"/>
    <s v="United States"/>
    <s v="Salem"/>
    <x v="17"/>
    <n v="24153"/>
    <x v="0"/>
    <x v="1"/>
    <x v="8"/>
    <n v="14.94"/>
    <n v="3"/>
    <n v="0"/>
    <n v="7.1711999999999998"/>
  </r>
  <r>
    <s v="Standard Class"/>
    <x v="0"/>
    <s v="United States"/>
    <s v="Salem"/>
    <x v="17"/>
    <n v="24153"/>
    <x v="0"/>
    <x v="1"/>
    <x v="14"/>
    <n v="231.72"/>
    <n v="2"/>
    <n v="0"/>
    <n v="11.586"/>
  </r>
  <r>
    <s v="First Class"/>
    <x v="0"/>
    <s v="United States"/>
    <s v="Delray Beach"/>
    <x v="2"/>
    <n v="33445"/>
    <x v="0"/>
    <x v="1"/>
    <x v="2"/>
    <n v="9.9120000000000008"/>
    <n v="3"/>
    <n v="0.2"/>
    <n v="3.2214"/>
  </r>
  <r>
    <s v="Standard Class"/>
    <x v="1"/>
    <s v="United States"/>
    <s v="San Francisco"/>
    <x v="1"/>
    <n v="94110"/>
    <x v="1"/>
    <x v="1"/>
    <x v="6"/>
    <n v="34.65"/>
    <n v="3"/>
    <n v="0"/>
    <n v="9.702"/>
  </r>
  <r>
    <s v="Standard Class"/>
    <x v="1"/>
    <s v="United States"/>
    <s v="San Francisco"/>
    <x v="1"/>
    <n v="94110"/>
    <x v="1"/>
    <x v="2"/>
    <x v="7"/>
    <n v="19.8"/>
    <n v="5"/>
    <n v="0.2"/>
    <n v="1.7324999999999999"/>
  </r>
  <r>
    <s v="Second Class"/>
    <x v="0"/>
    <s v="United States"/>
    <s v="New York City"/>
    <x v="15"/>
    <n v="10024"/>
    <x v="3"/>
    <x v="1"/>
    <x v="8"/>
    <n v="33.567999999999998"/>
    <n v="2"/>
    <n v="0.2"/>
    <n v="11.748799999999999"/>
  </r>
  <r>
    <s v="Standard Class"/>
    <x v="1"/>
    <s v="United States"/>
    <s v="Indianapolis"/>
    <x v="14"/>
    <n v="46203"/>
    <x v="2"/>
    <x v="1"/>
    <x v="6"/>
    <n v="125.93"/>
    <n v="7"/>
    <n v="0"/>
    <n v="35.260399999999997"/>
  </r>
  <r>
    <s v="First Class"/>
    <x v="1"/>
    <s v="United States"/>
    <s v="Columbus"/>
    <x v="24"/>
    <n v="43229"/>
    <x v="3"/>
    <x v="1"/>
    <x v="8"/>
    <n v="11.76"/>
    <n v="5"/>
    <n v="0.7"/>
    <n v="-7.84"/>
  </r>
  <r>
    <s v="First Class"/>
    <x v="1"/>
    <s v="United States"/>
    <s v="Columbus"/>
    <x v="24"/>
    <n v="43229"/>
    <x v="3"/>
    <x v="1"/>
    <x v="10"/>
    <n v="5.3440000000000003"/>
    <n v="1"/>
    <n v="0.2"/>
    <n v="1.8704000000000001"/>
  </r>
  <r>
    <s v="Standard Class"/>
    <x v="0"/>
    <s v="United States"/>
    <s v="Jacksonville"/>
    <x v="2"/>
    <n v="32216"/>
    <x v="0"/>
    <x v="1"/>
    <x v="8"/>
    <n v="1.365"/>
    <n v="1"/>
    <n v="0.7"/>
    <n v="-0.91"/>
  </r>
  <r>
    <s v="Standard Class"/>
    <x v="0"/>
    <s v="United States"/>
    <s v="Jacksonville"/>
    <x v="2"/>
    <n v="32216"/>
    <x v="0"/>
    <x v="1"/>
    <x v="10"/>
    <n v="62.015999999999998"/>
    <n v="2"/>
    <n v="0.2"/>
    <n v="22.480799999999999"/>
  </r>
  <r>
    <s v="Standard Class"/>
    <x v="1"/>
    <s v="United States"/>
    <s v="Clinton"/>
    <x v="39"/>
    <n v="20735"/>
    <x v="3"/>
    <x v="0"/>
    <x v="5"/>
    <n v="60.72"/>
    <n v="3"/>
    <n v="0"/>
    <n v="23.680800000000001"/>
  </r>
  <r>
    <s v="Standard Class"/>
    <x v="1"/>
    <s v="United States"/>
    <s v="Clinton"/>
    <x v="39"/>
    <n v="20735"/>
    <x v="3"/>
    <x v="1"/>
    <x v="10"/>
    <n v="146.82"/>
    <n v="3"/>
    <n v="0"/>
    <n v="73.41"/>
  </r>
  <r>
    <s v="Standard Class"/>
    <x v="1"/>
    <s v="United States"/>
    <s v="Clinton"/>
    <x v="39"/>
    <n v="20735"/>
    <x v="3"/>
    <x v="0"/>
    <x v="1"/>
    <n v="239.84"/>
    <n v="8"/>
    <n v="0"/>
    <n v="64.756799999999998"/>
  </r>
  <r>
    <s v="Standard Class"/>
    <x v="1"/>
    <s v="United States"/>
    <s v="Clinton"/>
    <x v="39"/>
    <n v="20735"/>
    <x v="3"/>
    <x v="1"/>
    <x v="2"/>
    <n v="15.66"/>
    <n v="6"/>
    <n v="0"/>
    <n v="7.2035999999999998"/>
  </r>
  <r>
    <s v="First Class"/>
    <x v="0"/>
    <s v="United States"/>
    <s v="Commerce City"/>
    <x v="22"/>
    <n v="80022"/>
    <x v="1"/>
    <x v="1"/>
    <x v="4"/>
    <n v="146.352"/>
    <n v="3"/>
    <n v="0.2"/>
    <n v="-32.929200000000002"/>
  </r>
  <r>
    <s v="Standard Class"/>
    <x v="0"/>
    <s v="United States"/>
    <s v="Santa Ana"/>
    <x v="1"/>
    <n v="92704"/>
    <x v="1"/>
    <x v="1"/>
    <x v="13"/>
    <n v="5.94"/>
    <n v="3"/>
    <n v="0"/>
    <n v="0"/>
  </r>
  <r>
    <s v="Standard Class"/>
    <x v="0"/>
    <s v="United States"/>
    <s v="Santa Ana"/>
    <x v="1"/>
    <n v="92704"/>
    <x v="1"/>
    <x v="1"/>
    <x v="10"/>
    <n v="45.36"/>
    <n v="7"/>
    <n v="0"/>
    <n v="21.7728"/>
  </r>
  <r>
    <s v="Standard Class"/>
    <x v="0"/>
    <s v="United States"/>
    <s v="Santa Ana"/>
    <x v="1"/>
    <n v="92704"/>
    <x v="1"/>
    <x v="2"/>
    <x v="7"/>
    <n v="211.16800000000001"/>
    <n v="4"/>
    <n v="0.2"/>
    <n v="23.756399999999999"/>
  </r>
  <r>
    <s v="Standard Class"/>
    <x v="0"/>
    <s v="United States"/>
    <s v="Santa Ana"/>
    <x v="1"/>
    <n v="92704"/>
    <x v="1"/>
    <x v="0"/>
    <x v="1"/>
    <n v="484.70400000000001"/>
    <n v="6"/>
    <n v="0.2"/>
    <n v="-84.8232"/>
  </r>
  <r>
    <s v="Standard Class"/>
    <x v="0"/>
    <s v="United States"/>
    <s v="Santa Ana"/>
    <x v="1"/>
    <n v="92704"/>
    <x v="1"/>
    <x v="2"/>
    <x v="15"/>
    <n v="371.976"/>
    <n v="3"/>
    <n v="0.2"/>
    <n v="116.24250000000001"/>
  </r>
  <r>
    <s v="Same Day"/>
    <x v="1"/>
    <s v="United States"/>
    <s v="Clinton"/>
    <x v="39"/>
    <n v="20735"/>
    <x v="3"/>
    <x v="1"/>
    <x v="4"/>
    <n v="89.82"/>
    <n v="6"/>
    <n v="0"/>
    <n v="25.1496"/>
  </r>
  <r>
    <s v="First Class"/>
    <x v="1"/>
    <s v="United States"/>
    <s v="Los Angeles"/>
    <x v="1"/>
    <n v="90049"/>
    <x v="1"/>
    <x v="1"/>
    <x v="8"/>
    <n v="19.295999999999999"/>
    <n v="3"/>
    <n v="0.2"/>
    <n v="6.03"/>
  </r>
  <r>
    <s v="Standard Class"/>
    <x v="0"/>
    <s v="United States"/>
    <s v="Louisville"/>
    <x v="0"/>
    <n v="40214"/>
    <x v="0"/>
    <x v="0"/>
    <x v="1"/>
    <n v="191.96"/>
    <n v="2"/>
    <n v="0"/>
    <n v="51.8292"/>
  </r>
  <r>
    <s v="Standard Class"/>
    <x v="0"/>
    <s v="United States"/>
    <s v="Louisville"/>
    <x v="0"/>
    <n v="40214"/>
    <x v="0"/>
    <x v="1"/>
    <x v="8"/>
    <n v="21.3"/>
    <n v="3"/>
    <n v="0"/>
    <n v="9.798"/>
  </r>
  <r>
    <s v="Standard Class"/>
    <x v="0"/>
    <s v="United States"/>
    <s v="Louisville"/>
    <x v="0"/>
    <n v="40214"/>
    <x v="0"/>
    <x v="2"/>
    <x v="7"/>
    <n v="469.95"/>
    <n v="5"/>
    <n v="0"/>
    <n v="131.58600000000001"/>
  </r>
  <r>
    <s v="Standard Class"/>
    <x v="0"/>
    <s v="United States"/>
    <s v="Louisville"/>
    <x v="0"/>
    <n v="40214"/>
    <x v="0"/>
    <x v="0"/>
    <x v="5"/>
    <n v="209.88"/>
    <n v="3"/>
    <n v="0"/>
    <n v="35.679600000000001"/>
  </r>
  <r>
    <s v="First Class"/>
    <x v="0"/>
    <s v="United States"/>
    <s v="Los Angeles"/>
    <x v="1"/>
    <n v="90045"/>
    <x v="1"/>
    <x v="0"/>
    <x v="0"/>
    <n v="239.666"/>
    <n v="2"/>
    <n v="0.15"/>
    <n v="14.098000000000001"/>
  </r>
  <r>
    <s v="First Class"/>
    <x v="0"/>
    <s v="United States"/>
    <s v="Los Angeles"/>
    <x v="1"/>
    <n v="90045"/>
    <x v="1"/>
    <x v="1"/>
    <x v="2"/>
    <n v="22.5"/>
    <n v="6"/>
    <n v="0"/>
    <n v="10.8"/>
  </r>
  <r>
    <s v="First Class"/>
    <x v="0"/>
    <s v="United States"/>
    <s v="Los Angeles"/>
    <x v="1"/>
    <n v="90045"/>
    <x v="1"/>
    <x v="1"/>
    <x v="10"/>
    <n v="219.84"/>
    <n v="4"/>
    <n v="0"/>
    <n v="107.7216"/>
  </r>
  <r>
    <s v="Second Class"/>
    <x v="1"/>
    <s v="United States"/>
    <s v="Springfield"/>
    <x v="25"/>
    <n v="65807"/>
    <x v="2"/>
    <x v="1"/>
    <x v="10"/>
    <n v="32.4"/>
    <n v="5"/>
    <n v="0"/>
    <n v="15.552"/>
  </r>
  <r>
    <s v="Second Class"/>
    <x v="1"/>
    <s v="United States"/>
    <s v="Springfield"/>
    <x v="25"/>
    <n v="65807"/>
    <x v="2"/>
    <x v="1"/>
    <x v="6"/>
    <n v="209.94"/>
    <n v="6"/>
    <n v="0"/>
    <n v="54.584400000000002"/>
  </r>
  <r>
    <s v="Second Class"/>
    <x v="1"/>
    <s v="United States"/>
    <s v="Springfield"/>
    <x v="25"/>
    <n v="65807"/>
    <x v="2"/>
    <x v="1"/>
    <x v="14"/>
    <n v="4164.05"/>
    <n v="5"/>
    <n v="0"/>
    <n v="83.281000000000006"/>
  </r>
  <r>
    <s v="Second Class"/>
    <x v="1"/>
    <s v="United States"/>
    <s v="Springfield"/>
    <x v="25"/>
    <n v="65807"/>
    <x v="2"/>
    <x v="0"/>
    <x v="0"/>
    <n v="212.94"/>
    <n v="3"/>
    <n v="0"/>
    <n v="53.234999999999999"/>
  </r>
  <r>
    <s v="First Class"/>
    <x v="1"/>
    <s v="United States"/>
    <s v="San Francisco"/>
    <x v="1"/>
    <n v="94109"/>
    <x v="1"/>
    <x v="0"/>
    <x v="5"/>
    <n v="41.88"/>
    <n v="6"/>
    <n v="0"/>
    <n v="12.145200000000001"/>
  </r>
  <r>
    <s v="First Class"/>
    <x v="1"/>
    <s v="United States"/>
    <s v="San Francisco"/>
    <x v="1"/>
    <n v="94109"/>
    <x v="1"/>
    <x v="1"/>
    <x v="2"/>
    <n v="58.48"/>
    <n v="8"/>
    <n v="0"/>
    <n v="27.485600000000002"/>
  </r>
  <r>
    <s v="Standard Class"/>
    <x v="0"/>
    <s v="United States"/>
    <s v="Texas City"/>
    <x v="5"/>
    <n v="77590"/>
    <x v="2"/>
    <x v="0"/>
    <x v="3"/>
    <n v="102.438"/>
    <n v="1"/>
    <n v="0.3"/>
    <n v="-13.1706"/>
  </r>
  <r>
    <s v="Standard Class"/>
    <x v="0"/>
    <s v="United States"/>
    <s v="Texas City"/>
    <x v="5"/>
    <n v="77590"/>
    <x v="2"/>
    <x v="0"/>
    <x v="1"/>
    <n v="199.304"/>
    <n v="4"/>
    <n v="0.3"/>
    <n v="-8.5416000000000007"/>
  </r>
  <r>
    <s v="Standard Class"/>
    <x v="0"/>
    <s v="United States"/>
    <s v="New York City"/>
    <x v="15"/>
    <n v="10024"/>
    <x v="3"/>
    <x v="2"/>
    <x v="15"/>
    <n v="6999.96"/>
    <n v="4"/>
    <n v="0"/>
    <n v="2239.9872"/>
  </r>
  <r>
    <s v="Standard Class"/>
    <x v="0"/>
    <s v="United States"/>
    <s v="Bellevue"/>
    <x v="4"/>
    <n v="98006"/>
    <x v="1"/>
    <x v="1"/>
    <x v="10"/>
    <n v="12.96"/>
    <n v="2"/>
    <n v="0"/>
    <n v="6.2207999999999997"/>
  </r>
  <r>
    <s v="Second Class"/>
    <x v="0"/>
    <s v="United States"/>
    <s v="New York City"/>
    <x v="15"/>
    <n v="10024"/>
    <x v="3"/>
    <x v="2"/>
    <x v="7"/>
    <n v="279.86"/>
    <n v="14"/>
    <n v="0"/>
    <n v="134.33279999999999"/>
  </r>
  <r>
    <s v="Standard Class"/>
    <x v="2"/>
    <s v="United States"/>
    <s v="Wilson"/>
    <x v="3"/>
    <n v="27893"/>
    <x v="0"/>
    <x v="1"/>
    <x v="8"/>
    <n v="7.38"/>
    <n v="5"/>
    <n v="0.7"/>
    <n v="-5.4119999999999999"/>
  </r>
  <r>
    <s v="Standard Class"/>
    <x v="0"/>
    <s v="United States"/>
    <s v="Seattle"/>
    <x v="4"/>
    <n v="98115"/>
    <x v="1"/>
    <x v="0"/>
    <x v="1"/>
    <n v="698.35199999999998"/>
    <n v="3"/>
    <n v="0.2"/>
    <n v="52.376399999999997"/>
  </r>
  <r>
    <s v="Standard Class"/>
    <x v="0"/>
    <s v="United States"/>
    <s v="Seattle"/>
    <x v="4"/>
    <n v="98115"/>
    <x v="1"/>
    <x v="0"/>
    <x v="3"/>
    <n v="1747.25"/>
    <n v="5"/>
    <n v="0"/>
    <n v="629.01"/>
  </r>
  <r>
    <s v="Second Class"/>
    <x v="2"/>
    <s v="United States"/>
    <s v="Springfield"/>
    <x v="25"/>
    <n v="65807"/>
    <x v="2"/>
    <x v="1"/>
    <x v="9"/>
    <n v="54.48"/>
    <n v="1"/>
    <n v="0"/>
    <n v="15.2544"/>
  </r>
  <r>
    <s v="Same Day"/>
    <x v="0"/>
    <s v="United States"/>
    <s v="San Francisco"/>
    <x v="1"/>
    <n v="94109"/>
    <x v="1"/>
    <x v="2"/>
    <x v="11"/>
    <n v="199.99"/>
    <n v="1"/>
    <n v="0"/>
    <n v="85.995699999999999"/>
  </r>
  <r>
    <s v="Same Day"/>
    <x v="0"/>
    <s v="United States"/>
    <s v="Charlotte"/>
    <x v="3"/>
    <n v="28205"/>
    <x v="0"/>
    <x v="1"/>
    <x v="8"/>
    <n v="68.540999999999997"/>
    <n v="11"/>
    <n v="0.7"/>
    <n v="-52.548099999999998"/>
  </r>
  <r>
    <s v="Same Day"/>
    <x v="0"/>
    <s v="United States"/>
    <s v="Charlotte"/>
    <x v="3"/>
    <n v="28205"/>
    <x v="0"/>
    <x v="2"/>
    <x v="7"/>
    <n v="627.16800000000001"/>
    <n v="4"/>
    <n v="0.2"/>
    <n v="70.556399999999996"/>
  </r>
  <r>
    <s v="Same Day"/>
    <x v="0"/>
    <s v="United States"/>
    <s v="Charlotte"/>
    <x v="3"/>
    <n v="28205"/>
    <x v="0"/>
    <x v="1"/>
    <x v="2"/>
    <n v="122.12"/>
    <n v="5"/>
    <n v="0.2"/>
    <n v="39.689"/>
  </r>
  <r>
    <s v="Second Class"/>
    <x v="0"/>
    <s v="United States"/>
    <s v="New York City"/>
    <x v="15"/>
    <n v="10011"/>
    <x v="3"/>
    <x v="1"/>
    <x v="6"/>
    <n v="6.99"/>
    <n v="3"/>
    <n v="0"/>
    <n v="2.0270999999999999"/>
  </r>
  <r>
    <s v="Second Class"/>
    <x v="0"/>
    <s v="United States"/>
    <s v="New York City"/>
    <x v="15"/>
    <n v="10011"/>
    <x v="3"/>
    <x v="1"/>
    <x v="8"/>
    <n v="107.42400000000001"/>
    <n v="6"/>
    <n v="0.2"/>
    <n v="36.255600000000001"/>
  </r>
  <r>
    <s v="Second Class"/>
    <x v="1"/>
    <s v="United States"/>
    <s v="Lorain"/>
    <x v="24"/>
    <n v="44052"/>
    <x v="3"/>
    <x v="0"/>
    <x v="3"/>
    <n v="1421.664"/>
    <n v="8"/>
    <n v="0.4"/>
    <n v="-734.52639999999997"/>
  </r>
  <r>
    <s v="Standard Class"/>
    <x v="0"/>
    <s v="United States"/>
    <s v="Indianapolis"/>
    <x v="14"/>
    <n v="46203"/>
    <x v="2"/>
    <x v="1"/>
    <x v="8"/>
    <n v="125.88"/>
    <n v="6"/>
    <n v="0"/>
    <n v="60.422400000000003"/>
  </r>
  <r>
    <s v="Standard Class"/>
    <x v="0"/>
    <s v="United States"/>
    <s v="Indianapolis"/>
    <x v="14"/>
    <n v="46203"/>
    <x v="2"/>
    <x v="2"/>
    <x v="11"/>
    <n v="79.78"/>
    <n v="2"/>
    <n v="0"/>
    <n v="29.518599999999999"/>
  </r>
  <r>
    <s v="Standard Class"/>
    <x v="0"/>
    <s v="United States"/>
    <s v="Indianapolis"/>
    <x v="14"/>
    <n v="46203"/>
    <x v="2"/>
    <x v="1"/>
    <x v="2"/>
    <n v="133.19999999999999"/>
    <n v="9"/>
    <n v="0"/>
    <n v="66.599999999999994"/>
  </r>
  <r>
    <s v="Standard Class"/>
    <x v="0"/>
    <s v="United States"/>
    <s v="Redmond"/>
    <x v="21"/>
    <n v="97756"/>
    <x v="1"/>
    <x v="2"/>
    <x v="7"/>
    <n v="438.36799999999999"/>
    <n v="4"/>
    <n v="0.2"/>
    <n v="38.357199999999999"/>
  </r>
  <r>
    <s v="Standard Class"/>
    <x v="0"/>
    <s v="United States"/>
    <s v="Redmond"/>
    <x v="21"/>
    <n v="97756"/>
    <x v="1"/>
    <x v="2"/>
    <x v="7"/>
    <n v="139.94399999999999"/>
    <n v="7"/>
    <n v="0.2"/>
    <n v="-31.487400000000001"/>
  </r>
  <r>
    <s v="Standard Class"/>
    <x v="0"/>
    <s v="United States"/>
    <s v="Redmond"/>
    <x v="21"/>
    <n v="97756"/>
    <x v="1"/>
    <x v="1"/>
    <x v="9"/>
    <n v="133.47200000000001"/>
    <n v="4"/>
    <n v="0.2"/>
    <n v="15.015599999999999"/>
  </r>
  <r>
    <s v="Standard Class"/>
    <x v="2"/>
    <s v="United States"/>
    <s v="Springfield"/>
    <x v="21"/>
    <n v="97477"/>
    <x v="1"/>
    <x v="0"/>
    <x v="3"/>
    <n v="564.19500000000005"/>
    <n v="3"/>
    <n v="0.5"/>
    <n v="-304.6653"/>
  </r>
  <r>
    <s v="Standard Class"/>
    <x v="2"/>
    <s v="United States"/>
    <s v="Springfield"/>
    <x v="21"/>
    <n v="97477"/>
    <x v="1"/>
    <x v="1"/>
    <x v="9"/>
    <n v="87.168000000000006"/>
    <n v="2"/>
    <n v="0.2"/>
    <n v="8.7167999999999992"/>
  </r>
  <r>
    <s v="First Class"/>
    <x v="1"/>
    <s v="United States"/>
    <s v="Arlington"/>
    <x v="5"/>
    <n v="76017"/>
    <x v="2"/>
    <x v="1"/>
    <x v="8"/>
    <n v="42.616"/>
    <n v="7"/>
    <n v="0.8"/>
    <n v="-68.185599999999994"/>
  </r>
  <r>
    <s v="First Class"/>
    <x v="1"/>
    <s v="United States"/>
    <s v="Arlington"/>
    <x v="5"/>
    <n v="76017"/>
    <x v="2"/>
    <x v="2"/>
    <x v="16"/>
    <n v="319.98399999999998"/>
    <n v="2"/>
    <n v="0.2"/>
    <n v="107.99460000000001"/>
  </r>
  <r>
    <s v="First Class"/>
    <x v="1"/>
    <s v="United States"/>
    <s v="Arlington"/>
    <x v="5"/>
    <n v="76017"/>
    <x v="2"/>
    <x v="1"/>
    <x v="13"/>
    <n v="45.92"/>
    <n v="5"/>
    <n v="0.2"/>
    <n v="15.497999999999999"/>
  </r>
  <r>
    <s v="First Class"/>
    <x v="1"/>
    <s v="United States"/>
    <s v="Arlington"/>
    <x v="5"/>
    <n v="76017"/>
    <x v="2"/>
    <x v="0"/>
    <x v="5"/>
    <n v="21.184000000000001"/>
    <n v="2"/>
    <n v="0.6"/>
    <n v="-11.651199999999999"/>
  </r>
  <r>
    <s v="First Class"/>
    <x v="1"/>
    <s v="United States"/>
    <s v="Arlington"/>
    <x v="5"/>
    <n v="76017"/>
    <x v="2"/>
    <x v="1"/>
    <x v="10"/>
    <n v="20.736000000000001"/>
    <n v="4"/>
    <n v="0.2"/>
    <n v="7.2576000000000001"/>
  </r>
  <r>
    <s v="First Class"/>
    <x v="1"/>
    <s v="United States"/>
    <s v="Arlington"/>
    <x v="5"/>
    <n v="76017"/>
    <x v="2"/>
    <x v="0"/>
    <x v="1"/>
    <n v="213.43"/>
    <n v="5"/>
    <n v="0.3"/>
    <n v="-39.637"/>
  </r>
  <r>
    <s v="Standard Class"/>
    <x v="2"/>
    <s v="United States"/>
    <s v="Gilbert"/>
    <x v="16"/>
    <n v="85234"/>
    <x v="1"/>
    <x v="2"/>
    <x v="7"/>
    <n v="333.57600000000002"/>
    <n v="3"/>
    <n v="0.2"/>
    <n v="25.0182"/>
  </r>
  <r>
    <s v="Standard Class"/>
    <x v="2"/>
    <s v="United States"/>
    <s v="Gilbert"/>
    <x v="16"/>
    <n v="85234"/>
    <x v="1"/>
    <x v="2"/>
    <x v="11"/>
    <n v="31.992000000000001"/>
    <n v="1"/>
    <n v="0.2"/>
    <n v="4.7988"/>
  </r>
  <r>
    <s v="Standard Class"/>
    <x v="2"/>
    <s v="United States"/>
    <s v="Gilbert"/>
    <x v="16"/>
    <n v="85234"/>
    <x v="1"/>
    <x v="1"/>
    <x v="4"/>
    <n v="51.167999999999999"/>
    <n v="2"/>
    <n v="0.2"/>
    <n v="-6.3959999999999999"/>
  </r>
  <r>
    <s v="Standard Class"/>
    <x v="2"/>
    <s v="United States"/>
    <s v="Gilbert"/>
    <x v="16"/>
    <n v="85234"/>
    <x v="1"/>
    <x v="1"/>
    <x v="12"/>
    <n v="10.64"/>
    <n v="5"/>
    <n v="0.2"/>
    <n v="3.8570000000000002"/>
  </r>
  <r>
    <s v="Standard Class"/>
    <x v="2"/>
    <s v="United States"/>
    <s v="Gilbert"/>
    <x v="16"/>
    <n v="85234"/>
    <x v="1"/>
    <x v="0"/>
    <x v="5"/>
    <n v="68.703999999999994"/>
    <n v="2"/>
    <n v="0.2"/>
    <n v="16.3172"/>
  </r>
  <r>
    <s v="Standard Class"/>
    <x v="2"/>
    <s v="United States"/>
    <s v="Gilbert"/>
    <x v="16"/>
    <n v="85234"/>
    <x v="1"/>
    <x v="0"/>
    <x v="3"/>
    <n v="386.91"/>
    <n v="9"/>
    <n v="0.5"/>
    <n v="-185.71680000000001"/>
  </r>
  <r>
    <s v="Second Class"/>
    <x v="0"/>
    <s v="United States"/>
    <s v="Lawrence"/>
    <x v="31"/>
    <n v="1841"/>
    <x v="3"/>
    <x v="1"/>
    <x v="6"/>
    <n v="39.659999999999997"/>
    <n v="2"/>
    <n v="0"/>
    <n v="11.898"/>
  </r>
  <r>
    <s v="Second Class"/>
    <x v="0"/>
    <s v="United States"/>
    <s v="Lawrence"/>
    <x v="31"/>
    <n v="1841"/>
    <x v="3"/>
    <x v="1"/>
    <x v="9"/>
    <n v="113.92"/>
    <n v="2"/>
    <n v="0"/>
    <n v="33.036799999999999"/>
  </r>
  <r>
    <s v="Second Class"/>
    <x v="0"/>
    <s v="United States"/>
    <s v="Lawrence"/>
    <x v="31"/>
    <n v="1841"/>
    <x v="3"/>
    <x v="1"/>
    <x v="8"/>
    <n v="447.86"/>
    <n v="7"/>
    <n v="0"/>
    <n v="210.49420000000001"/>
  </r>
  <r>
    <s v="Standard Class"/>
    <x v="0"/>
    <s v="United States"/>
    <s v="Virginia Beach"/>
    <x v="17"/>
    <n v="23464"/>
    <x v="0"/>
    <x v="0"/>
    <x v="3"/>
    <n v="356.85"/>
    <n v="5"/>
    <n v="0"/>
    <n v="60.664499999999997"/>
  </r>
  <r>
    <s v="Standard Class"/>
    <x v="0"/>
    <s v="United States"/>
    <s v="Virginia Beach"/>
    <x v="17"/>
    <n v="23464"/>
    <x v="0"/>
    <x v="1"/>
    <x v="12"/>
    <n v="251.58"/>
    <n v="7"/>
    <n v="0"/>
    <n v="113.211"/>
  </r>
  <r>
    <s v="Second Class"/>
    <x v="0"/>
    <s v="United States"/>
    <s v="Irving"/>
    <x v="5"/>
    <n v="75061"/>
    <x v="2"/>
    <x v="1"/>
    <x v="10"/>
    <n v="219.84"/>
    <n v="5"/>
    <n v="0.2"/>
    <n v="79.691999999999993"/>
  </r>
  <r>
    <s v="Second Class"/>
    <x v="0"/>
    <s v="United States"/>
    <s v="Vineland"/>
    <x v="30"/>
    <n v="8360"/>
    <x v="3"/>
    <x v="0"/>
    <x v="5"/>
    <n v="42.85"/>
    <n v="5"/>
    <n v="0"/>
    <n v="15.426"/>
  </r>
  <r>
    <s v="Second Class"/>
    <x v="0"/>
    <s v="United States"/>
    <s v="Vineland"/>
    <x v="30"/>
    <n v="8360"/>
    <x v="3"/>
    <x v="1"/>
    <x v="2"/>
    <n v="6.16"/>
    <n v="2"/>
    <n v="0"/>
    <n v="2.9567999999999999"/>
  </r>
  <r>
    <s v="Second Class"/>
    <x v="0"/>
    <s v="United States"/>
    <s v="Vineland"/>
    <x v="30"/>
    <n v="8360"/>
    <x v="3"/>
    <x v="1"/>
    <x v="14"/>
    <n v="17"/>
    <n v="2"/>
    <n v="0"/>
    <n v="4.42"/>
  </r>
  <r>
    <s v="Second Class"/>
    <x v="0"/>
    <s v="United States"/>
    <s v="Vineland"/>
    <x v="30"/>
    <n v="8360"/>
    <x v="3"/>
    <x v="2"/>
    <x v="11"/>
    <n v="87.4"/>
    <n v="5"/>
    <n v="0"/>
    <n v="34.96"/>
  </r>
  <r>
    <s v="Standard Class"/>
    <x v="2"/>
    <s v="United States"/>
    <s v="Columbus"/>
    <x v="32"/>
    <n v="31907"/>
    <x v="0"/>
    <x v="1"/>
    <x v="8"/>
    <n v="29.84"/>
    <n v="2"/>
    <n v="0"/>
    <n v="13.428000000000001"/>
  </r>
  <r>
    <s v="Second Class"/>
    <x v="1"/>
    <s v="United States"/>
    <s v="Los Angeles"/>
    <x v="1"/>
    <n v="90032"/>
    <x v="1"/>
    <x v="1"/>
    <x v="8"/>
    <n v="49.567999999999998"/>
    <n v="2"/>
    <n v="0.2"/>
    <n v="17.348800000000001"/>
  </r>
  <r>
    <s v="Standard Class"/>
    <x v="1"/>
    <s v="United States"/>
    <s v="San Diego"/>
    <x v="1"/>
    <n v="92024"/>
    <x v="1"/>
    <x v="1"/>
    <x v="6"/>
    <n v="265.86"/>
    <n v="7"/>
    <n v="0"/>
    <n v="79.757999999999996"/>
  </r>
  <r>
    <s v="Standard Class"/>
    <x v="2"/>
    <s v="United States"/>
    <s v="Charlottesville"/>
    <x v="17"/>
    <n v="22901"/>
    <x v="0"/>
    <x v="0"/>
    <x v="5"/>
    <n v="67.959999999999994"/>
    <n v="4"/>
    <n v="0"/>
    <n v="12.232799999999999"/>
  </r>
  <r>
    <s v="Second Class"/>
    <x v="0"/>
    <s v="United States"/>
    <s v="Lawrence"/>
    <x v="14"/>
    <n v="46226"/>
    <x v="2"/>
    <x v="1"/>
    <x v="6"/>
    <n v="10.92"/>
    <n v="6"/>
    <n v="0"/>
    <n v="4.9139999999999997"/>
  </r>
  <r>
    <s v="Second Class"/>
    <x v="0"/>
    <s v="United States"/>
    <s v="Lawrence"/>
    <x v="14"/>
    <n v="46226"/>
    <x v="2"/>
    <x v="2"/>
    <x v="15"/>
    <n v="83.9"/>
    <n v="2"/>
    <n v="0"/>
    <n v="22.652999999999999"/>
  </r>
  <r>
    <s v="Second Class"/>
    <x v="0"/>
    <s v="United States"/>
    <s v="Lawrence"/>
    <x v="14"/>
    <n v="46226"/>
    <x v="2"/>
    <x v="1"/>
    <x v="9"/>
    <n v="19.75"/>
    <n v="5"/>
    <n v="0"/>
    <n v="5.1349999999999998"/>
  </r>
  <r>
    <s v="Second Class"/>
    <x v="0"/>
    <s v="United States"/>
    <s v="Lawrence"/>
    <x v="14"/>
    <n v="46226"/>
    <x v="2"/>
    <x v="2"/>
    <x v="11"/>
    <n v="393.54"/>
    <n v="3"/>
    <n v="0"/>
    <n v="165.2868"/>
  </r>
  <r>
    <s v="Standard Class"/>
    <x v="2"/>
    <s v="United States"/>
    <s v="Phoenix"/>
    <x v="16"/>
    <n v="85023"/>
    <x v="1"/>
    <x v="0"/>
    <x v="5"/>
    <n v="46.872"/>
    <n v="7"/>
    <n v="0.2"/>
    <n v="3.5154000000000001"/>
  </r>
  <r>
    <s v="Second Class"/>
    <x v="0"/>
    <s v="United States"/>
    <s v="Meriden"/>
    <x v="29"/>
    <n v="6450"/>
    <x v="3"/>
    <x v="1"/>
    <x v="4"/>
    <n v="10.9"/>
    <n v="1"/>
    <n v="0"/>
    <n v="2.8340000000000001"/>
  </r>
  <r>
    <s v="Second Class"/>
    <x v="0"/>
    <s v="United States"/>
    <s v="Meriden"/>
    <x v="29"/>
    <n v="6450"/>
    <x v="3"/>
    <x v="1"/>
    <x v="10"/>
    <n v="79.92"/>
    <n v="4"/>
    <n v="0"/>
    <n v="37.562399999999997"/>
  </r>
  <r>
    <s v="Second Class"/>
    <x v="0"/>
    <s v="United States"/>
    <s v="Meriden"/>
    <x v="29"/>
    <n v="6450"/>
    <x v="3"/>
    <x v="1"/>
    <x v="10"/>
    <n v="146.82"/>
    <n v="3"/>
    <n v="0"/>
    <n v="73.41"/>
  </r>
  <r>
    <s v="First Class"/>
    <x v="2"/>
    <s v="United States"/>
    <s v="Franklin"/>
    <x v="6"/>
    <n v="53132"/>
    <x v="2"/>
    <x v="1"/>
    <x v="8"/>
    <n v="3.6"/>
    <n v="2"/>
    <n v="0"/>
    <n v="1.728"/>
  </r>
  <r>
    <s v="Standard Class"/>
    <x v="2"/>
    <s v="United States"/>
    <s v="Los Angeles"/>
    <x v="1"/>
    <n v="90008"/>
    <x v="1"/>
    <x v="0"/>
    <x v="5"/>
    <n v="20.04"/>
    <n v="6"/>
    <n v="0"/>
    <n v="8.8176000000000005"/>
  </r>
  <r>
    <s v="Standard Class"/>
    <x v="0"/>
    <s v="United States"/>
    <s v="Bloomington"/>
    <x v="10"/>
    <n v="61701"/>
    <x v="2"/>
    <x v="1"/>
    <x v="4"/>
    <n v="180.01599999999999"/>
    <n v="1"/>
    <n v="0.2"/>
    <n v="-15.7514"/>
  </r>
  <r>
    <s v="Standard Class"/>
    <x v="0"/>
    <s v="United States"/>
    <s v="Bloomington"/>
    <x v="10"/>
    <n v="61701"/>
    <x v="2"/>
    <x v="0"/>
    <x v="5"/>
    <n v="41.552"/>
    <n v="2"/>
    <n v="0.6"/>
    <n v="-19.737200000000001"/>
  </r>
  <r>
    <s v="Standard Class"/>
    <x v="0"/>
    <s v="United States"/>
    <s v="Bloomington"/>
    <x v="10"/>
    <n v="61701"/>
    <x v="2"/>
    <x v="1"/>
    <x v="6"/>
    <n v="13.12"/>
    <n v="5"/>
    <n v="0.2"/>
    <n v="1.476"/>
  </r>
  <r>
    <s v="Standard Class"/>
    <x v="0"/>
    <s v="United States"/>
    <s v="Los Angeles"/>
    <x v="1"/>
    <n v="90032"/>
    <x v="1"/>
    <x v="1"/>
    <x v="4"/>
    <n v="1117.92"/>
    <n v="4"/>
    <n v="0"/>
    <n v="55.896000000000001"/>
  </r>
  <r>
    <s v="Second Class"/>
    <x v="1"/>
    <s v="United States"/>
    <s v="San Francisco"/>
    <x v="1"/>
    <n v="94109"/>
    <x v="1"/>
    <x v="2"/>
    <x v="11"/>
    <n v="111.96"/>
    <n v="4"/>
    <n v="0"/>
    <n v="21.272400000000001"/>
  </r>
  <r>
    <s v="Standard Class"/>
    <x v="1"/>
    <s v="United States"/>
    <s v="Houston"/>
    <x v="5"/>
    <n v="77095"/>
    <x v="2"/>
    <x v="1"/>
    <x v="6"/>
    <n v="12.16"/>
    <n v="5"/>
    <n v="0.2"/>
    <n v="2.1280000000000001"/>
  </r>
  <r>
    <s v="Standard Class"/>
    <x v="1"/>
    <s v="United States"/>
    <s v="Milwaukee"/>
    <x v="6"/>
    <n v="53209"/>
    <x v="2"/>
    <x v="1"/>
    <x v="8"/>
    <n v="17.52"/>
    <n v="4"/>
    <n v="0"/>
    <n v="8.4095999999999993"/>
  </r>
  <r>
    <s v="Standard Class"/>
    <x v="1"/>
    <s v="United States"/>
    <s v="Milwaukee"/>
    <x v="6"/>
    <n v="53209"/>
    <x v="2"/>
    <x v="1"/>
    <x v="9"/>
    <n v="155.88"/>
    <n v="6"/>
    <n v="0"/>
    <n v="54.558"/>
  </r>
  <r>
    <s v="Second Class"/>
    <x v="2"/>
    <s v="United States"/>
    <s v="Lake Charles"/>
    <x v="28"/>
    <n v="70601"/>
    <x v="0"/>
    <x v="1"/>
    <x v="8"/>
    <n v="477.51"/>
    <n v="11"/>
    <n v="0"/>
    <n v="219.65459999999999"/>
  </r>
  <r>
    <s v="Second Class"/>
    <x v="0"/>
    <s v="United States"/>
    <s v="Baltimore"/>
    <x v="39"/>
    <n v="21215"/>
    <x v="3"/>
    <x v="1"/>
    <x v="10"/>
    <n v="164.88"/>
    <n v="3"/>
    <n v="0"/>
    <n v="80.791200000000003"/>
  </r>
  <r>
    <s v="Standard Class"/>
    <x v="2"/>
    <s v="United States"/>
    <s v="Franklin"/>
    <x v="6"/>
    <n v="53132"/>
    <x v="2"/>
    <x v="2"/>
    <x v="11"/>
    <n v="47.97"/>
    <n v="3"/>
    <n v="0"/>
    <n v="14.870699999999999"/>
  </r>
  <r>
    <s v="Standard Class"/>
    <x v="0"/>
    <s v="United States"/>
    <s v="New York City"/>
    <x v="15"/>
    <n v="10024"/>
    <x v="3"/>
    <x v="1"/>
    <x v="8"/>
    <n v="415.17599999999999"/>
    <n v="3"/>
    <n v="0.2"/>
    <n v="134.93219999999999"/>
  </r>
  <r>
    <s v="Standard Class"/>
    <x v="0"/>
    <s v="United States"/>
    <s v="New York City"/>
    <x v="15"/>
    <n v="10024"/>
    <x v="3"/>
    <x v="1"/>
    <x v="8"/>
    <n v="35.231999999999999"/>
    <n v="3"/>
    <n v="0.2"/>
    <n v="11.4504"/>
  </r>
  <r>
    <s v="Standard Class"/>
    <x v="0"/>
    <s v="United States"/>
    <s v="New York City"/>
    <x v="15"/>
    <n v="10024"/>
    <x v="3"/>
    <x v="1"/>
    <x v="10"/>
    <n v="54.96"/>
    <n v="1"/>
    <n v="0"/>
    <n v="26.930399999999999"/>
  </r>
  <r>
    <s v="Standard Class"/>
    <x v="0"/>
    <s v="United States"/>
    <s v="San Diego"/>
    <x v="1"/>
    <n v="92024"/>
    <x v="1"/>
    <x v="1"/>
    <x v="10"/>
    <n v="16.34"/>
    <n v="2"/>
    <n v="0"/>
    <n v="7.6798000000000002"/>
  </r>
  <r>
    <s v="Standard Class"/>
    <x v="0"/>
    <s v="United States"/>
    <s v="San Diego"/>
    <x v="1"/>
    <n v="92024"/>
    <x v="1"/>
    <x v="0"/>
    <x v="1"/>
    <n v="225.29599999999999"/>
    <n v="2"/>
    <n v="0.2"/>
    <n v="22.529599999999999"/>
  </r>
  <r>
    <s v="Standard Class"/>
    <x v="0"/>
    <s v="United States"/>
    <s v="San Diego"/>
    <x v="1"/>
    <n v="92024"/>
    <x v="1"/>
    <x v="1"/>
    <x v="8"/>
    <n v="50.351999999999997"/>
    <n v="3"/>
    <n v="0.2"/>
    <n v="17.623200000000001"/>
  </r>
  <r>
    <s v="Standard Class"/>
    <x v="0"/>
    <s v="United States"/>
    <s v="Wilson"/>
    <x v="3"/>
    <n v="27893"/>
    <x v="0"/>
    <x v="0"/>
    <x v="5"/>
    <n v="163.136"/>
    <n v="4"/>
    <n v="0.2"/>
    <n v="20.391999999999999"/>
  </r>
  <r>
    <s v="Standard Class"/>
    <x v="0"/>
    <s v="United States"/>
    <s v="Wilson"/>
    <x v="3"/>
    <n v="27893"/>
    <x v="0"/>
    <x v="1"/>
    <x v="8"/>
    <n v="6.4080000000000004"/>
    <n v="4"/>
    <n v="0.7"/>
    <n v="-4.9127999999999998"/>
  </r>
  <r>
    <s v="Standard Class"/>
    <x v="0"/>
    <s v="United States"/>
    <s v="Long Beach"/>
    <x v="1"/>
    <n v="90805"/>
    <x v="1"/>
    <x v="2"/>
    <x v="7"/>
    <n v="217.584"/>
    <n v="2"/>
    <n v="0.2"/>
    <n v="19.038599999999999"/>
  </r>
  <r>
    <s v="Standard Class"/>
    <x v="0"/>
    <s v="United States"/>
    <s v="Long Beach"/>
    <x v="1"/>
    <n v="90805"/>
    <x v="1"/>
    <x v="1"/>
    <x v="13"/>
    <n v="5.43"/>
    <n v="3"/>
    <n v="0"/>
    <n v="1.7919"/>
  </r>
  <r>
    <s v="Standard Class"/>
    <x v="0"/>
    <s v="United States"/>
    <s v="Long Beach"/>
    <x v="1"/>
    <n v="90805"/>
    <x v="1"/>
    <x v="2"/>
    <x v="7"/>
    <n v="143.976"/>
    <n v="3"/>
    <n v="0.2"/>
    <n v="8.9984999999999999"/>
  </r>
  <r>
    <s v="Standard Class"/>
    <x v="1"/>
    <s v="United States"/>
    <s v="Fort Lauderdale"/>
    <x v="2"/>
    <n v="33311"/>
    <x v="0"/>
    <x v="2"/>
    <x v="7"/>
    <n v="519.67999999999995"/>
    <n v="7"/>
    <n v="0.2"/>
    <n v="58.463999999999999"/>
  </r>
  <r>
    <s v="Standard Class"/>
    <x v="2"/>
    <s v="United States"/>
    <s v="Baltimore"/>
    <x v="39"/>
    <n v="21215"/>
    <x v="3"/>
    <x v="1"/>
    <x v="2"/>
    <n v="7.83"/>
    <n v="3"/>
    <n v="0"/>
    <n v="3.6017999999999999"/>
  </r>
  <r>
    <s v="Standard Class"/>
    <x v="0"/>
    <s v="United States"/>
    <s v="Rio Rancho"/>
    <x v="27"/>
    <n v="87124"/>
    <x v="1"/>
    <x v="0"/>
    <x v="1"/>
    <n v="883.84"/>
    <n v="4"/>
    <n v="0.2"/>
    <n v="99.432000000000002"/>
  </r>
  <r>
    <s v="Standard Class"/>
    <x v="0"/>
    <s v="United States"/>
    <s v="Rio Rancho"/>
    <x v="27"/>
    <n v="87124"/>
    <x v="1"/>
    <x v="0"/>
    <x v="1"/>
    <n v="230.352"/>
    <n v="3"/>
    <n v="0.2"/>
    <n v="20.155799999999999"/>
  </r>
  <r>
    <s v="First Class"/>
    <x v="1"/>
    <s v="United States"/>
    <s v="Stockton"/>
    <x v="1"/>
    <n v="95207"/>
    <x v="1"/>
    <x v="1"/>
    <x v="8"/>
    <n v="273.92"/>
    <n v="8"/>
    <n v="0.2"/>
    <n v="99.296000000000006"/>
  </r>
  <r>
    <s v="Second Class"/>
    <x v="0"/>
    <s v="United States"/>
    <s v="Columbus"/>
    <x v="24"/>
    <n v="43229"/>
    <x v="3"/>
    <x v="1"/>
    <x v="6"/>
    <n v="9.9120000000000008"/>
    <n v="3"/>
    <n v="0.2"/>
    <n v="1.2390000000000001"/>
  </r>
  <r>
    <s v="Same Day"/>
    <x v="0"/>
    <s v="United States"/>
    <s v="Skokie"/>
    <x v="10"/>
    <n v="60076"/>
    <x v="2"/>
    <x v="0"/>
    <x v="5"/>
    <n v="266.35199999999998"/>
    <n v="6"/>
    <n v="0.6"/>
    <n v="-292.98719999999997"/>
  </r>
  <r>
    <s v="Same Day"/>
    <x v="0"/>
    <s v="United States"/>
    <s v="Skokie"/>
    <x v="10"/>
    <n v="60076"/>
    <x v="2"/>
    <x v="0"/>
    <x v="5"/>
    <n v="56.328000000000003"/>
    <n v="3"/>
    <n v="0.6"/>
    <n v="-26.755800000000001"/>
  </r>
  <r>
    <s v="Same Day"/>
    <x v="0"/>
    <s v="United States"/>
    <s v="Skokie"/>
    <x v="10"/>
    <n v="60076"/>
    <x v="2"/>
    <x v="2"/>
    <x v="11"/>
    <n v="39.264000000000003"/>
    <n v="3"/>
    <n v="0.2"/>
    <n v="-4.9080000000000004"/>
  </r>
  <r>
    <s v="Same Day"/>
    <x v="0"/>
    <s v="United States"/>
    <s v="Skokie"/>
    <x v="10"/>
    <n v="60076"/>
    <x v="2"/>
    <x v="1"/>
    <x v="6"/>
    <n v="95.231999999999999"/>
    <n v="6"/>
    <n v="0.2"/>
    <n v="24.9984"/>
  </r>
  <r>
    <s v="Standard Class"/>
    <x v="2"/>
    <s v="United States"/>
    <s v="Hot Springs"/>
    <x v="36"/>
    <n v="71901"/>
    <x v="0"/>
    <x v="1"/>
    <x v="13"/>
    <n v="30"/>
    <n v="6"/>
    <n v="0"/>
    <n v="14.4"/>
  </r>
  <r>
    <s v="Standard Class"/>
    <x v="2"/>
    <s v="United States"/>
    <s v="Hot Springs"/>
    <x v="36"/>
    <n v="71901"/>
    <x v="0"/>
    <x v="1"/>
    <x v="10"/>
    <n v="25.92"/>
    <n v="4"/>
    <n v="0"/>
    <n v="12.700799999999999"/>
  </r>
  <r>
    <s v="Standard Class"/>
    <x v="2"/>
    <s v="United States"/>
    <s v="Hot Springs"/>
    <x v="36"/>
    <n v="71901"/>
    <x v="0"/>
    <x v="0"/>
    <x v="5"/>
    <n v="159.91999999999999"/>
    <n v="4"/>
    <n v="0"/>
    <n v="31.984000000000002"/>
  </r>
  <r>
    <s v="First Class"/>
    <x v="0"/>
    <s v="United States"/>
    <s v="Goldsboro"/>
    <x v="3"/>
    <n v="27534"/>
    <x v="0"/>
    <x v="1"/>
    <x v="9"/>
    <n v="34.944000000000003"/>
    <n v="3"/>
    <n v="0.2"/>
    <n v="3.0575999999999999"/>
  </r>
  <r>
    <s v="Standard Class"/>
    <x v="1"/>
    <s v="United States"/>
    <s v="Los Angeles"/>
    <x v="1"/>
    <n v="90032"/>
    <x v="1"/>
    <x v="2"/>
    <x v="11"/>
    <n v="149.94999999999999"/>
    <n v="5"/>
    <n v="0"/>
    <n v="31.4895"/>
  </r>
  <r>
    <s v="Standard Class"/>
    <x v="1"/>
    <s v="United States"/>
    <s v="Los Angeles"/>
    <x v="1"/>
    <n v="90032"/>
    <x v="1"/>
    <x v="1"/>
    <x v="6"/>
    <n v="23.32"/>
    <n v="2"/>
    <n v="0"/>
    <n v="6.0632000000000001"/>
  </r>
  <r>
    <s v="Standard Class"/>
    <x v="1"/>
    <s v="United States"/>
    <s v="Los Angeles"/>
    <x v="1"/>
    <n v="90032"/>
    <x v="1"/>
    <x v="1"/>
    <x v="6"/>
    <n v="16.739999999999998"/>
    <n v="3"/>
    <n v="0"/>
    <n v="4.8545999999999996"/>
  </r>
  <r>
    <s v="Second Class"/>
    <x v="0"/>
    <s v="United States"/>
    <s v="Nashua"/>
    <x v="38"/>
    <n v="3060"/>
    <x v="3"/>
    <x v="1"/>
    <x v="13"/>
    <n v="14.82"/>
    <n v="6"/>
    <n v="0"/>
    <n v="6.9653999999999998"/>
  </r>
  <r>
    <s v="Standard Class"/>
    <x v="0"/>
    <s v="United States"/>
    <s v="Seattle"/>
    <x v="4"/>
    <n v="98103"/>
    <x v="1"/>
    <x v="1"/>
    <x v="13"/>
    <n v="10.47"/>
    <n v="3"/>
    <n v="0"/>
    <n v="4.8162000000000003"/>
  </r>
  <r>
    <s v="Standard Class"/>
    <x v="0"/>
    <s v="United States"/>
    <s v="Seattle"/>
    <x v="4"/>
    <n v="98103"/>
    <x v="1"/>
    <x v="1"/>
    <x v="2"/>
    <n v="11.07"/>
    <n v="3"/>
    <n v="0"/>
    <n v="5.2028999999999996"/>
  </r>
  <r>
    <s v="Standard Class"/>
    <x v="0"/>
    <s v="United States"/>
    <s v="Seattle"/>
    <x v="4"/>
    <n v="98103"/>
    <x v="1"/>
    <x v="1"/>
    <x v="8"/>
    <n v="20.704000000000001"/>
    <n v="4"/>
    <n v="0.2"/>
    <n v="7.7640000000000002"/>
  </r>
  <r>
    <s v="Second Class"/>
    <x v="1"/>
    <s v="United States"/>
    <s v="Richmond"/>
    <x v="14"/>
    <n v="47374"/>
    <x v="2"/>
    <x v="1"/>
    <x v="10"/>
    <n v="177.2"/>
    <n v="5"/>
    <n v="0"/>
    <n v="83.284000000000006"/>
  </r>
  <r>
    <s v="Standard Class"/>
    <x v="1"/>
    <s v="United States"/>
    <s v="Miami"/>
    <x v="2"/>
    <n v="33180"/>
    <x v="0"/>
    <x v="0"/>
    <x v="5"/>
    <n v="50.496000000000002"/>
    <n v="6"/>
    <n v="0.2"/>
    <n v="8.2056000000000004"/>
  </r>
  <r>
    <s v="First Class"/>
    <x v="1"/>
    <s v="United States"/>
    <s v="Smyrna"/>
    <x v="18"/>
    <n v="37167"/>
    <x v="0"/>
    <x v="1"/>
    <x v="8"/>
    <n v="6.1289999999999996"/>
    <n v="3"/>
    <n v="0.7"/>
    <n v="-4.4946000000000002"/>
  </r>
  <r>
    <s v="First Class"/>
    <x v="1"/>
    <s v="United States"/>
    <s v="Smyrna"/>
    <x v="18"/>
    <n v="37167"/>
    <x v="0"/>
    <x v="0"/>
    <x v="1"/>
    <n v="643.13599999999997"/>
    <n v="4"/>
    <n v="0.2"/>
    <n v="56.2744"/>
  </r>
  <r>
    <s v="First Class"/>
    <x v="1"/>
    <s v="United States"/>
    <s v="Smyrna"/>
    <x v="18"/>
    <n v="37167"/>
    <x v="0"/>
    <x v="1"/>
    <x v="10"/>
    <n v="20.736000000000001"/>
    <n v="4"/>
    <n v="0.2"/>
    <n v="7.2576000000000001"/>
  </r>
  <r>
    <s v="First Class"/>
    <x v="1"/>
    <s v="United States"/>
    <s v="Aurora"/>
    <x v="22"/>
    <n v="80013"/>
    <x v="1"/>
    <x v="1"/>
    <x v="10"/>
    <n v="177.536"/>
    <n v="4"/>
    <n v="0.2"/>
    <n v="62.137599999999999"/>
  </r>
  <r>
    <s v="First Class"/>
    <x v="1"/>
    <s v="United States"/>
    <s v="Aurora"/>
    <x v="22"/>
    <n v="80013"/>
    <x v="1"/>
    <x v="1"/>
    <x v="9"/>
    <n v="32.432000000000002"/>
    <n v="2"/>
    <n v="0.2"/>
    <n v="3.2431999999999999"/>
  </r>
  <r>
    <s v="Standard Class"/>
    <x v="2"/>
    <s v="United States"/>
    <s v="Miami"/>
    <x v="2"/>
    <n v="33142"/>
    <x v="0"/>
    <x v="1"/>
    <x v="2"/>
    <n v="11.696"/>
    <n v="2"/>
    <n v="0.2"/>
    <n v="3.9474"/>
  </r>
  <r>
    <s v="Standard Class"/>
    <x v="0"/>
    <s v="United States"/>
    <s v="San Francisco"/>
    <x v="1"/>
    <n v="94122"/>
    <x v="1"/>
    <x v="1"/>
    <x v="9"/>
    <n v="113.76"/>
    <n v="3"/>
    <n v="0"/>
    <n v="44.366399999999999"/>
  </r>
  <r>
    <s v="Standard Class"/>
    <x v="0"/>
    <s v="United States"/>
    <s v="San Francisco"/>
    <x v="1"/>
    <n v="94122"/>
    <x v="1"/>
    <x v="1"/>
    <x v="4"/>
    <n v="579.51"/>
    <n v="3"/>
    <n v="0"/>
    <n v="81.131399999999999"/>
  </r>
  <r>
    <s v="Standard Class"/>
    <x v="0"/>
    <s v="United States"/>
    <s v="San Francisco"/>
    <x v="1"/>
    <n v="94122"/>
    <x v="1"/>
    <x v="1"/>
    <x v="4"/>
    <n v="150.66"/>
    <n v="9"/>
    <n v="0"/>
    <n v="6.0263999999999998"/>
  </r>
  <r>
    <s v="Standard Class"/>
    <x v="0"/>
    <s v="United States"/>
    <s v="San Francisco"/>
    <x v="1"/>
    <n v="94122"/>
    <x v="1"/>
    <x v="1"/>
    <x v="8"/>
    <n v="48.031999999999996"/>
    <n v="4"/>
    <n v="0.2"/>
    <n v="15.6104"/>
  </r>
  <r>
    <s v="Standard Class"/>
    <x v="0"/>
    <s v="United States"/>
    <s v="Chicago"/>
    <x v="10"/>
    <n v="60623"/>
    <x v="2"/>
    <x v="1"/>
    <x v="4"/>
    <n v="102.624"/>
    <n v="3"/>
    <n v="0.2"/>
    <n v="7.6967999999999996"/>
  </r>
  <r>
    <s v="Standard Class"/>
    <x v="0"/>
    <s v="United States"/>
    <s v="Chicago"/>
    <x v="10"/>
    <n v="60623"/>
    <x v="2"/>
    <x v="0"/>
    <x v="1"/>
    <n v="359.77199999999999"/>
    <n v="2"/>
    <n v="0.3"/>
    <n v="-5.1395999999999997"/>
  </r>
  <r>
    <s v="Standard Class"/>
    <x v="0"/>
    <s v="United States"/>
    <s v="Chicago"/>
    <x v="10"/>
    <n v="60623"/>
    <x v="2"/>
    <x v="1"/>
    <x v="6"/>
    <n v="13.391999999999999"/>
    <n v="3"/>
    <n v="0.2"/>
    <n v="3.1806000000000001"/>
  </r>
  <r>
    <s v="Standard Class"/>
    <x v="0"/>
    <s v="United States"/>
    <s v="Los Angeles"/>
    <x v="1"/>
    <n v="90008"/>
    <x v="1"/>
    <x v="0"/>
    <x v="1"/>
    <n v="122.136"/>
    <n v="3"/>
    <n v="0.2"/>
    <n v="-13.7403"/>
  </r>
  <r>
    <s v="Standard Class"/>
    <x v="1"/>
    <s v="United States"/>
    <s v="Dover"/>
    <x v="38"/>
    <n v="3820"/>
    <x v="3"/>
    <x v="1"/>
    <x v="10"/>
    <n v="35.880000000000003"/>
    <n v="6"/>
    <n v="0"/>
    <n v="16.146000000000001"/>
  </r>
  <r>
    <s v="Second Class"/>
    <x v="0"/>
    <s v="United States"/>
    <s v="Dublin"/>
    <x v="24"/>
    <n v="43017"/>
    <x v="3"/>
    <x v="2"/>
    <x v="11"/>
    <n v="479.952"/>
    <n v="6"/>
    <n v="0.2"/>
    <n v="107.9892"/>
  </r>
  <r>
    <s v="Second Class"/>
    <x v="0"/>
    <s v="United States"/>
    <s v="Dublin"/>
    <x v="24"/>
    <n v="43017"/>
    <x v="3"/>
    <x v="1"/>
    <x v="6"/>
    <n v="23.92"/>
    <n v="5"/>
    <n v="0.2"/>
    <n v="1.794"/>
  </r>
  <r>
    <s v="First Class"/>
    <x v="1"/>
    <s v="United States"/>
    <s v="New York City"/>
    <x v="15"/>
    <n v="10009"/>
    <x v="3"/>
    <x v="2"/>
    <x v="7"/>
    <n v="629.95000000000005"/>
    <n v="5"/>
    <n v="0"/>
    <n v="163.78700000000001"/>
  </r>
  <r>
    <s v="Standard Class"/>
    <x v="0"/>
    <s v="United States"/>
    <s v="New York City"/>
    <x v="15"/>
    <n v="10035"/>
    <x v="3"/>
    <x v="1"/>
    <x v="8"/>
    <n v="14.952"/>
    <n v="1"/>
    <n v="0.2"/>
    <n v="5.0462999999999996"/>
  </r>
  <r>
    <s v="Standard Class"/>
    <x v="0"/>
    <s v="United States"/>
    <s v="New York City"/>
    <x v="15"/>
    <n v="10035"/>
    <x v="3"/>
    <x v="1"/>
    <x v="10"/>
    <n v="17.940000000000001"/>
    <n v="3"/>
    <n v="0"/>
    <n v="8.0730000000000004"/>
  </r>
  <r>
    <s v="Standard Class"/>
    <x v="0"/>
    <s v="United States"/>
    <s v="New York City"/>
    <x v="15"/>
    <n v="10035"/>
    <x v="3"/>
    <x v="2"/>
    <x v="7"/>
    <n v="116.98"/>
    <n v="2"/>
    <n v="0"/>
    <n v="29.245000000000001"/>
  </r>
  <r>
    <s v="Second Class"/>
    <x v="0"/>
    <s v="United States"/>
    <s v="Paterson"/>
    <x v="30"/>
    <n v="7501"/>
    <x v="3"/>
    <x v="0"/>
    <x v="1"/>
    <n v="121.96"/>
    <n v="2"/>
    <n v="0"/>
    <n v="20.7332"/>
  </r>
  <r>
    <s v="Second Class"/>
    <x v="0"/>
    <s v="United States"/>
    <s v="Paterson"/>
    <x v="30"/>
    <n v="7501"/>
    <x v="3"/>
    <x v="1"/>
    <x v="9"/>
    <n v="8.74"/>
    <n v="2"/>
    <n v="0"/>
    <n v="2.2724000000000002"/>
  </r>
  <r>
    <s v="Second Class"/>
    <x v="0"/>
    <s v="United States"/>
    <s v="Paterson"/>
    <x v="30"/>
    <n v="7501"/>
    <x v="3"/>
    <x v="1"/>
    <x v="10"/>
    <n v="61.96"/>
    <n v="2"/>
    <n v="0"/>
    <n v="27.882000000000001"/>
  </r>
  <r>
    <s v="Second Class"/>
    <x v="0"/>
    <s v="United States"/>
    <s v="Paterson"/>
    <x v="30"/>
    <n v="7501"/>
    <x v="3"/>
    <x v="1"/>
    <x v="8"/>
    <n v="7.96"/>
    <n v="2"/>
    <n v="0"/>
    <n v="3.7412000000000001"/>
  </r>
  <r>
    <s v="Second Class"/>
    <x v="0"/>
    <s v="United States"/>
    <s v="Paterson"/>
    <x v="30"/>
    <n v="7501"/>
    <x v="3"/>
    <x v="1"/>
    <x v="9"/>
    <n v="275.24"/>
    <n v="4"/>
    <n v="0"/>
    <n v="121.1056"/>
  </r>
  <r>
    <s v="Standard Class"/>
    <x v="1"/>
    <s v="United States"/>
    <s v="Lakewood"/>
    <x v="30"/>
    <n v="8701"/>
    <x v="3"/>
    <x v="0"/>
    <x v="5"/>
    <n v="47.4"/>
    <n v="5"/>
    <n v="0"/>
    <n v="18.96"/>
  </r>
  <r>
    <s v="Standard Class"/>
    <x v="1"/>
    <s v="United States"/>
    <s v="Lakewood"/>
    <x v="30"/>
    <n v="8701"/>
    <x v="3"/>
    <x v="0"/>
    <x v="1"/>
    <n v="512.96"/>
    <n v="4"/>
    <n v="0"/>
    <n v="143.62880000000001"/>
  </r>
  <r>
    <s v="Standard Class"/>
    <x v="1"/>
    <s v="United States"/>
    <s v="Lakewood"/>
    <x v="30"/>
    <n v="8701"/>
    <x v="3"/>
    <x v="2"/>
    <x v="7"/>
    <n v="395.94"/>
    <n v="6"/>
    <n v="0"/>
    <n v="102.9444"/>
  </r>
  <r>
    <s v="Standard Class"/>
    <x v="1"/>
    <s v="United States"/>
    <s v="Lakewood"/>
    <x v="30"/>
    <n v="8701"/>
    <x v="3"/>
    <x v="1"/>
    <x v="4"/>
    <n v="81.96"/>
    <n v="2"/>
    <n v="0"/>
    <n v="0"/>
  </r>
  <r>
    <s v="Standard Class"/>
    <x v="0"/>
    <s v="United States"/>
    <s v="Greensboro"/>
    <x v="3"/>
    <n v="27405"/>
    <x v="0"/>
    <x v="1"/>
    <x v="6"/>
    <n v="32.776000000000003"/>
    <n v="1"/>
    <n v="0.2"/>
    <n v="2.4582000000000002"/>
  </r>
  <r>
    <s v="Standard Class"/>
    <x v="0"/>
    <s v="United States"/>
    <s v="New York City"/>
    <x v="15"/>
    <n v="10035"/>
    <x v="3"/>
    <x v="1"/>
    <x v="4"/>
    <n v="272.94"/>
    <n v="3"/>
    <n v="0"/>
    <n v="0"/>
  </r>
  <r>
    <s v="Second Class"/>
    <x v="1"/>
    <s v="United States"/>
    <s v="New York City"/>
    <x v="15"/>
    <n v="10035"/>
    <x v="3"/>
    <x v="0"/>
    <x v="1"/>
    <n v="253.76400000000001"/>
    <n v="2"/>
    <n v="0.1"/>
    <n v="31.015599999999999"/>
  </r>
  <r>
    <s v="Standard Class"/>
    <x v="0"/>
    <s v="United States"/>
    <s v="Chicago"/>
    <x v="10"/>
    <n v="60623"/>
    <x v="2"/>
    <x v="1"/>
    <x v="2"/>
    <n v="29.24"/>
    <n v="5"/>
    <n v="0.2"/>
    <n v="9.8684999999999992"/>
  </r>
  <r>
    <s v="Standard Class"/>
    <x v="0"/>
    <s v="United States"/>
    <s v="Chicago"/>
    <x v="10"/>
    <n v="60623"/>
    <x v="2"/>
    <x v="1"/>
    <x v="4"/>
    <n v="35.167999999999999"/>
    <n v="2"/>
    <n v="0.2"/>
    <n v="-8.3523999999999994"/>
  </r>
  <r>
    <s v="Standard Class"/>
    <x v="0"/>
    <s v="United States"/>
    <s v="Chicago"/>
    <x v="10"/>
    <n v="60623"/>
    <x v="2"/>
    <x v="2"/>
    <x v="15"/>
    <n v="1362.9"/>
    <n v="3"/>
    <n v="0.3"/>
    <n v="-19.47"/>
  </r>
  <r>
    <s v="Standard Class"/>
    <x v="0"/>
    <s v="United States"/>
    <s v="Chicago"/>
    <x v="10"/>
    <n v="60653"/>
    <x v="2"/>
    <x v="0"/>
    <x v="1"/>
    <n v="317.05799999999999"/>
    <n v="3"/>
    <n v="0.3"/>
    <n v="-18.117599999999999"/>
  </r>
  <r>
    <s v="Standard Class"/>
    <x v="0"/>
    <s v="United States"/>
    <s v="Chicago"/>
    <x v="10"/>
    <n v="60653"/>
    <x v="2"/>
    <x v="1"/>
    <x v="6"/>
    <n v="15.76"/>
    <n v="2"/>
    <n v="0.2"/>
    <n v="3.5459999999999998"/>
  </r>
  <r>
    <s v="Standard Class"/>
    <x v="0"/>
    <s v="United States"/>
    <s v="Chicago"/>
    <x v="10"/>
    <n v="60653"/>
    <x v="2"/>
    <x v="0"/>
    <x v="5"/>
    <n v="14.56"/>
    <n v="5"/>
    <n v="0.6"/>
    <n v="-6.1879999999999997"/>
  </r>
  <r>
    <s v="Standard Class"/>
    <x v="1"/>
    <s v="United States"/>
    <s v="Lakewood"/>
    <x v="30"/>
    <n v="8701"/>
    <x v="3"/>
    <x v="1"/>
    <x v="8"/>
    <n v="196.21"/>
    <n v="7"/>
    <n v="0"/>
    <n v="98.105000000000004"/>
  </r>
  <r>
    <s v="Standard Class"/>
    <x v="2"/>
    <s v="United States"/>
    <s v="Columbus"/>
    <x v="32"/>
    <n v="31907"/>
    <x v="0"/>
    <x v="1"/>
    <x v="6"/>
    <n v="35.4"/>
    <n v="5"/>
    <n v="0"/>
    <n v="13.452"/>
  </r>
  <r>
    <s v="Standard Class"/>
    <x v="1"/>
    <s v="United States"/>
    <s v="Phoenix"/>
    <x v="16"/>
    <n v="85023"/>
    <x v="1"/>
    <x v="1"/>
    <x v="10"/>
    <n v="419.4"/>
    <n v="5"/>
    <n v="0.2"/>
    <n v="146.79"/>
  </r>
  <r>
    <s v="Standard Class"/>
    <x v="1"/>
    <s v="United States"/>
    <s v="Phoenix"/>
    <x v="16"/>
    <n v="85023"/>
    <x v="1"/>
    <x v="1"/>
    <x v="8"/>
    <n v="13.005000000000001"/>
    <n v="3"/>
    <n v="0.7"/>
    <n v="-9.9704999999999995"/>
  </r>
  <r>
    <s v="Standard Class"/>
    <x v="2"/>
    <s v="United States"/>
    <s v="Los Angeles"/>
    <x v="1"/>
    <n v="90004"/>
    <x v="1"/>
    <x v="1"/>
    <x v="8"/>
    <n v="7.7119999999999997"/>
    <n v="2"/>
    <n v="0.2"/>
    <n v="2.7955999999999999"/>
  </r>
  <r>
    <s v="Standard Class"/>
    <x v="2"/>
    <s v="United States"/>
    <s v="Los Angeles"/>
    <x v="1"/>
    <n v="90004"/>
    <x v="1"/>
    <x v="1"/>
    <x v="8"/>
    <n v="4.1760000000000002"/>
    <n v="1"/>
    <n v="0.2"/>
    <n v="1.3049999999999999"/>
  </r>
  <r>
    <s v="Standard Class"/>
    <x v="2"/>
    <s v="United States"/>
    <s v="Los Angeles"/>
    <x v="1"/>
    <n v="90004"/>
    <x v="1"/>
    <x v="1"/>
    <x v="10"/>
    <n v="38.880000000000003"/>
    <n v="6"/>
    <n v="0"/>
    <n v="18.662400000000002"/>
  </r>
  <r>
    <s v="Standard Class"/>
    <x v="0"/>
    <s v="United States"/>
    <s v="New York City"/>
    <x v="15"/>
    <n v="10024"/>
    <x v="3"/>
    <x v="1"/>
    <x v="10"/>
    <n v="17.64"/>
    <n v="4"/>
    <n v="0"/>
    <n v="8.1143999999999998"/>
  </r>
  <r>
    <s v="Standard Class"/>
    <x v="0"/>
    <s v="United States"/>
    <s v="San Antonio"/>
    <x v="5"/>
    <n v="78207"/>
    <x v="2"/>
    <x v="1"/>
    <x v="4"/>
    <n v="93.456000000000003"/>
    <n v="3"/>
    <n v="0.2"/>
    <n v="-17.523"/>
  </r>
  <r>
    <s v="Standard Class"/>
    <x v="2"/>
    <s v="United States"/>
    <s v="New York City"/>
    <x v="15"/>
    <n v="10009"/>
    <x v="3"/>
    <x v="2"/>
    <x v="11"/>
    <n v="449.91"/>
    <n v="9"/>
    <n v="0"/>
    <n v="157.46850000000001"/>
  </r>
  <r>
    <s v="Second Class"/>
    <x v="0"/>
    <s v="United States"/>
    <s v="Baltimore"/>
    <x v="39"/>
    <n v="21215"/>
    <x v="3"/>
    <x v="0"/>
    <x v="0"/>
    <n v="344.94"/>
    <n v="3"/>
    <n v="0"/>
    <n v="31.044599999999999"/>
  </r>
  <r>
    <s v="Second Class"/>
    <x v="0"/>
    <s v="United States"/>
    <s v="Baltimore"/>
    <x v="39"/>
    <n v="21215"/>
    <x v="3"/>
    <x v="0"/>
    <x v="5"/>
    <n v="14.76"/>
    <n v="2"/>
    <n v="0"/>
    <n v="4.2804000000000002"/>
  </r>
  <r>
    <s v="Second Class"/>
    <x v="0"/>
    <s v="United States"/>
    <s v="Baltimore"/>
    <x v="39"/>
    <n v="21215"/>
    <x v="3"/>
    <x v="1"/>
    <x v="8"/>
    <n v="12.76"/>
    <n v="2"/>
    <n v="0"/>
    <n v="5.8696000000000002"/>
  </r>
  <r>
    <s v="Second Class"/>
    <x v="0"/>
    <s v="United States"/>
    <s v="Baltimore"/>
    <x v="39"/>
    <n v="21215"/>
    <x v="3"/>
    <x v="1"/>
    <x v="2"/>
    <n v="58.48"/>
    <n v="8"/>
    <n v="0"/>
    <n v="27.485600000000002"/>
  </r>
  <r>
    <s v="Second Class"/>
    <x v="0"/>
    <s v="United States"/>
    <s v="Philadelphia"/>
    <x v="9"/>
    <n v="19143"/>
    <x v="3"/>
    <x v="0"/>
    <x v="5"/>
    <n v="20.096"/>
    <n v="4"/>
    <n v="0.2"/>
    <n v="3.0144000000000002"/>
  </r>
  <r>
    <s v="Second Class"/>
    <x v="0"/>
    <s v="United States"/>
    <s v="Philadelphia"/>
    <x v="9"/>
    <n v="19143"/>
    <x v="3"/>
    <x v="1"/>
    <x v="14"/>
    <n v="37.752000000000002"/>
    <n v="3"/>
    <n v="0.2"/>
    <n v="4.2470999999999997"/>
  </r>
  <r>
    <s v="Second Class"/>
    <x v="0"/>
    <s v="United States"/>
    <s v="Philadelphia"/>
    <x v="9"/>
    <n v="19143"/>
    <x v="3"/>
    <x v="0"/>
    <x v="3"/>
    <n v="138.58799999999999"/>
    <n v="1"/>
    <n v="0.4"/>
    <n v="-34.646999999999998"/>
  </r>
  <r>
    <s v="Second Class"/>
    <x v="0"/>
    <s v="United States"/>
    <s v="Philadelphia"/>
    <x v="9"/>
    <n v="19143"/>
    <x v="3"/>
    <x v="1"/>
    <x v="4"/>
    <n v="259.92"/>
    <n v="5"/>
    <n v="0.2"/>
    <n v="-25.992000000000001"/>
  </r>
  <r>
    <s v="Second Class"/>
    <x v="0"/>
    <s v="United States"/>
    <s v="Philadelphia"/>
    <x v="9"/>
    <n v="19143"/>
    <x v="3"/>
    <x v="1"/>
    <x v="10"/>
    <n v="20.736000000000001"/>
    <n v="4"/>
    <n v="0.2"/>
    <n v="7.2576000000000001"/>
  </r>
  <r>
    <s v="Standard Class"/>
    <x v="0"/>
    <s v="United States"/>
    <s v="Atlanta"/>
    <x v="32"/>
    <n v="30318"/>
    <x v="0"/>
    <x v="0"/>
    <x v="5"/>
    <n v="129.93"/>
    <n v="3"/>
    <n v="0"/>
    <n v="12.993"/>
  </r>
  <r>
    <s v="Standard Class"/>
    <x v="0"/>
    <s v="United States"/>
    <s v="Atlanta"/>
    <x v="32"/>
    <n v="30318"/>
    <x v="0"/>
    <x v="1"/>
    <x v="10"/>
    <n v="69.930000000000007"/>
    <n v="7"/>
    <n v="0"/>
    <n v="31.468499999999999"/>
  </r>
  <r>
    <s v="Second Class"/>
    <x v="1"/>
    <s v="United States"/>
    <s v="Durham"/>
    <x v="3"/>
    <n v="27707"/>
    <x v="0"/>
    <x v="1"/>
    <x v="6"/>
    <n v="140.73599999999999"/>
    <n v="4"/>
    <n v="0.2"/>
    <n v="12.314399999999999"/>
  </r>
  <r>
    <s v="First Class"/>
    <x v="0"/>
    <s v="United States"/>
    <s v="Roseville"/>
    <x v="1"/>
    <n v="95661"/>
    <x v="1"/>
    <x v="1"/>
    <x v="8"/>
    <n v="8.32"/>
    <n v="5"/>
    <n v="0.2"/>
    <n v="2.8079999999999998"/>
  </r>
  <r>
    <s v="Standard Class"/>
    <x v="2"/>
    <s v="United States"/>
    <s v="Sacramento"/>
    <x v="1"/>
    <n v="95823"/>
    <x v="1"/>
    <x v="0"/>
    <x v="5"/>
    <n v="9.98"/>
    <n v="1"/>
    <n v="0"/>
    <n v="2.7944"/>
  </r>
  <r>
    <s v="First Class"/>
    <x v="0"/>
    <s v="United States"/>
    <s v="Fairfield"/>
    <x v="29"/>
    <n v="6824"/>
    <x v="3"/>
    <x v="1"/>
    <x v="8"/>
    <n v="62.94"/>
    <n v="3"/>
    <n v="0"/>
    <n v="30.211200000000002"/>
  </r>
  <r>
    <s v="Standard Class"/>
    <x v="1"/>
    <s v="United States"/>
    <s v="Chicago"/>
    <x v="10"/>
    <n v="60610"/>
    <x v="2"/>
    <x v="1"/>
    <x v="4"/>
    <n v="21.488"/>
    <n v="2"/>
    <n v="0.2"/>
    <n v="1.6115999999999999"/>
  </r>
  <r>
    <s v="Standard Class"/>
    <x v="1"/>
    <s v="United States"/>
    <s v="Chicago"/>
    <x v="10"/>
    <n v="60610"/>
    <x v="2"/>
    <x v="2"/>
    <x v="7"/>
    <n v="239.976"/>
    <n v="3"/>
    <n v="0.2"/>
    <n v="26.997299999999999"/>
  </r>
  <r>
    <s v="Standard Class"/>
    <x v="1"/>
    <s v="United States"/>
    <s v="Chicago"/>
    <x v="10"/>
    <n v="60610"/>
    <x v="2"/>
    <x v="0"/>
    <x v="5"/>
    <n v="34.503999999999998"/>
    <n v="2"/>
    <n v="0.6"/>
    <n v="-15.5268"/>
  </r>
  <r>
    <s v="Same Day"/>
    <x v="0"/>
    <s v="United States"/>
    <s v="Houston"/>
    <x v="5"/>
    <n v="77041"/>
    <x v="2"/>
    <x v="0"/>
    <x v="5"/>
    <n v="20.103999999999999"/>
    <n v="2"/>
    <n v="0.6"/>
    <n v="-16.585799999999999"/>
  </r>
  <r>
    <s v="Same Day"/>
    <x v="0"/>
    <s v="United States"/>
    <s v="Houston"/>
    <x v="5"/>
    <n v="77041"/>
    <x v="2"/>
    <x v="1"/>
    <x v="8"/>
    <n v="3.798"/>
    <n v="1"/>
    <n v="0.8"/>
    <n v="-6.0768000000000004"/>
  </r>
  <r>
    <s v="Same Day"/>
    <x v="0"/>
    <s v="United States"/>
    <s v="Houston"/>
    <x v="5"/>
    <n v="77041"/>
    <x v="2"/>
    <x v="0"/>
    <x v="5"/>
    <n v="7.88"/>
    <n v="5"/>
    <n v="0.6"/>
    <n v="-3.94"/>
  </r>
  <r>
    <s v="Standard Class"/>
    <x v="1"/>
    <s v="United States"/>
    <s v="Phoenix"/>
    <x v="16"/>
    <n v="85023"/>
    <x v="1"/>
    <x v="0"/>
    <x v="3"/>
    <n v="35.445"/>
    <n v="1"/>
    <n v="0.5"/>
    <n v="-24.102599999999999"/>
  </r>
  <r>
    <s v="Standard Class"/>
    <x v="1"/>
    <s v="United States"/>
    <s v="Phoenix"/>
    <x v="16"/>
    <n v="85023"/>
    <x v="1"/>
    <x v="2"/>
    <x v="15"/>
    <n v="269.97000000000003"/>
    <n v="2"/>
    <n v="0.7"/>
    <n v="-386.95699999999999"/>
  </r>
  <r>
    <s v="Standard Class"/>
    <x v="1"/>
    <s v="United States"/>
    <s v="Phoenix"/>
    <x v="16"/>
    <n v="85023"/>
    <x v="1"/>
    <x v="2"/>
    <x v="11"/>
    <n v="45.12"/>
    <n v="3"/>
    <n v="0.2"/>
    <n v="-7.8959999999999999"/>
  </r>
  <r>
    <s v="Standard Class"/>
    <x v="1"/>
    <s v="United States"/>
    <s v="Phoenix"/>
    <x v="16"/>
    <n v="85023"/>
    <x v="1"/>
    <x v="2"/>
    <x v="11"/>
    <n v="100.8"/>
    <n v="2"/>
    <n v="0.2"/>
    <n v="21.42"/>
  </r>
  <r>
    <s v="Standard Class"/>
    <x v="1"/>
    <s v="United States"/>
    <s v="Phoenix"/>
    <x v="16"/>
    <n v="85023"/>
    <x v="1"/>
    <x v="0"/>
    <x v="1"/>
    <n v="47.968000000000004"/>
    <n v="2"/>
    <n v="0.2"/>
    <n v="4.1971999999999996"/>
  </r>
  <r>
    <s v="First Class"/>
    <x v="0"/>
    <s v="United States"/>
    <s v="Pomona"/>
    <x v="1"/>
    <n v="91767"/>
    <x v="1"/>
    <x v="2"/>
    <x v="11"/>
    <n v="99.98"/>
    <n v="2"/>
    <n v="0"/>
    <n v="34.993000000000002"/>
  </r>
  <r>
    <s v="First Class"/>
    <x v="1"/>
    <s v="United States"/>
    <s v="Atlanta"/>
    <x v="32"/>
    <n v="30318"/>
    <x v="0"/>
    <x v="1"/>
    <x v="10"/>
    <n v="9.9600000000000009"/>
    <n v="2"/>
    <n v="0"/>
    <n v="4.8803999999999998"/>
  </r>
  <r>
    <s v="Standard Class"/>
    <x v="1"/>
    <s v="United States"/>
    <s v="Everett"/>
    <x v="4"/>
    <n v="98208"/>
    <x v="1"/>
    <x v="1"/>
    <x v="8"/>
    <n v="3.8559999999999999"/>
    <n v="1"/>
    <n v="0.2"/>
    <n v="1.3977999999999999"/>
  </r>
  <r>
    <s v="Standard Class"/>
    <x v="1"/>
    <s v="United States"/>
    <s v="Houston"/>
    <x v="5"/>
    <n v="77095"/>
    <x v="2"/>
    <x v="1"/>
    <x v="10"/>
    <n v="98.376000000000005"/>
    <n v="3"/>
    <n v="0.2"/>
    <n v="35.661299999999997"/>
  </r>
  <r>
    <s v="Standard Class"/>
    <x v="1"/>
    <s v="United States"/>
    <s v="Houston"/>
    <x v="5"/>
    <n v="77095"/>
    <x v="2"/>
    <x v="0"/>
    <x v="5"/>
    <n v="22.38"/>
    <n v="3"/>
    <n v="0.6"/>
    <n v="-7.8330000000000002"/>
  </r>
  <r>
    <s v="First Class"/>
    <x v="0"/>
    <s v="United States"/>
    <s v="Philadelphia"/>
    <x v="9"/>
    <n v="19140"/>
    <x v="3"/>
    <x v="1"/>
    <x v="8"/>
    <n v="3.8820000000000001"/>
    <n v="2"/>
    <n v="0.7"/>
    <n v="-2.5880000000000001"/>
  </r>
  <r>
    <s v="First Class"/>
    <x v="0"/>
    <s v="United States"/>
    <s v="Philadelphia"/>
    <x v="9"/>
    <n v="19140"/>
    <x v="3"/>
    <x v="2"/>
    <x v="15"/>
    <n v="12.585000000000001"/>
    <n v="1"/>
    <n v="0.7"/>
    <n v="-18.038499999999999"/>
  </r>
  <r>
    <s v="First Class"/>
    <x v="0"/>
    <s v="United States"/>
    <s v="Philadelphia"/>
    <x v="9"/>
    <n v="19140"/>
    <x v="3"/>
    <x v="0"/>
    <x v="1"/>
    <n v="113.372"/>
    <n v="2"/>
    <n v="0.3"/>
    <n v="-29.152799999999999"/>
  </r>
  <r>
    <s v="First Class"/>
    <x v="0"/>
    <s v="United States"/>
    <s v="Philadelphia"/>
    <x v="9"/>
    <n v="19140"/>
    <x v="3"/>
    <x v="1"/>
    <x v="8"/>
    <n v="18.312000000000001"/>
    <n v="4"/>
    <n v="0.7"/>
    <n v="-12.208"/>
  </r>
  <r>
    <s v="First Class"/>
    <x v="0"/>
    <s v="United States"/>
    <s v="Philadelphia"/>
    <x v="9"/>
    <n v="19140"/>
    <x v="3"/>
    <x v="0"/>
    <x v="5"/>
    <n v="127.93600000000001"/>
    <n v="8"/>
    <n v="0.2"/>
    <n v="4.7976000000000001"/>
  </r>
  <r>
    <s v="First Class"/>
    <x v="0"/>
    <s v="United States"/>
    <s v="Philadelphia"/>
    <x v="9"/>
    <n v="19140"/>
    <x v="3"/>
    <x v="2"/>
    <x v="15"/>
    <n v="241.17"/>
    <n v="2"/>
    <n v="0.7"/>
    <n v="-168.81899999999999"/>
  </r>
  <r>
    <s v="Standard Class"/>
    <x v="0"/>
    <s v="United States"/>
    <s v="Seattle"/>
    <x v="4"/>
    <n v="98105"/>
    <x v="1"/>
    <x v="0"/>
    <x v="5"/>
    <n v="6.24"/>
    <n v="3"/>
    <n v="0"/>
    <n v="2.6208"/>
  </r>
  <r>
    <s v="Standard Class"/>
    <x v="0"/>
    <s v="United States"/>
    <s v="Seattle"/>
    <x v="4"/>
    <n v="98105"/>
    <x v="1"/>
    <x v="1"/>
    <x v="13"/>
    <n v="17.899999999999999"/>
    <n v="5"/>
    <n v="0"/>
    <n v="8.9499999999999993"/>
  </r>
  <r>
    <s v="Standard Class"/>
    <x v="0"/>
    <s v="United States"/>
    <s v="Seattle"/>
    <x v="4"/>
    <n v="98105"/>
    <x v="1"/>
    <x v="1"/>
    <x v="8"/>
    <n v="3266.3760000000002"/>
    <n v="3"/>
    <n v="0.2"/>
    <n v="1061.5722000000001"/>
  </r>
  <r>
    <s v="Standard Class"/>
    <x v="1"/>
    <s v="United States"/>
    <s v="Peoria"/>
    <x v="10"/>
    <n v="61604"/>
    <x v="2"/>
    <x v="1"/>
    <x v="8"/>
    <n v="1.68"/>
    <n v="5"/>
    <n v="0.8"/>
    <n v="-2.6880000000000002"/>
  </r>
  <r>
    <s v="Standard Class"/>
    <x v="1"/>
    <s v="United States"/>
    <s v="Peoria"/>
    <x v="10"/>
    <n v="61604"/>
    <x v="2"/>
    <x v="0"/>
    <x v="5"/>
    <n v="7.968"/>
    <n v="3"/>
    <n v="0.6"/>
    <n v="-2.3904000000000001"/>
  </r>
  <r>
    <s v="Standard Class"/>
    <x v="1"/>
    <s v="United States"/>
    <s v="Peoria"/>
    <x v="10"/>
    <n v="61604"/>
    <x v="2"/>
    <x v="0"/>
    <x v="1"/>
    <n v="113.372"/>
    <n v="2"/>
    <n v="0.3"/>
    <n v="-3.2391999999999999"/>
  </r>
  <r>
    <s v="Standard Class"/>
    <x v="1"/>
    <s v="United States"/>
    <s v="Peoria"/>
    <x v="10"/>
    <n v="61604"/>
    <x v="2"/>
    <x v="0"/>
    <x v="5"/>
    <n v="2.96"/>
    <n v="2"/>
    <n v="0.6"/>
    <n v="-1.4059999999999999"/>
  </r>
  <r>
    <s v="Standard Class"/>
    <x v="0"/>
    <s v="United States"/>
    <s v="Los Angeles"/>
    <x v="1"/>
    <n v="90036"/>
    <x v="1"/>
    <x v="1"/>
    <x v="9"/>
    <n v="168.1"/>
    <n v="5"/>
    <n v="0"/>
    <n v="43.706000000000003"/>
  </r>
  <r>
    <s v="Standard Class"/>
    <x v="1"/>
    <s v="United States"/>
    <s v="Montgomery"/>
    <x v="19"/>
    <n v="36116"/>
    <x v="0"/>
    <x v="1"/>
    <x v="12"/>
    <n v="98.46"/>
    <n v="9"/>
    <n v="0"/>
    <n v="49.23"/>
  </r>
  <r>
    <s v="Standard Class"/>
    <x v="1"/>
    <s v="United States"/>
    <s v="Montgomery"/>
    <x v="19"/>
    <n v="36116"/>
    <x v="0"/>
    <x v="0"/>
    <x v="3"/>
    <n v="358.58"/>
    <n v="2"/>
    <n v="0"/>
    <n v="39.443800000000003"/>
  </r>
  <r>
    <s v="Standard Class"/>
    <x v="1"/>
    <s v="United States"/>
    <s v="Lafayette"/>
    <x v="14"/>
    <n v="47905"/>
    <x v="2"/>
    <x v="1"/>
    <x v="4"/>
    <n v="32.479999999999997"/>
    <n v="2"/>
    <n v="0"/>
    <n v="4.8719999999999999"/>
  </r>
  <r>
    <s v="Standard Class"/>
    <x v="1"/>
    <s v="United States"/>
    <s v="Lafayette"/>
    <x v="14"/>
    <n v="47905"/>
    <x v="2"/>
    <x v="2"/>
    <x v="16"/>
    <n v="17499.95"/>
    <n v="5"/>
    <n v="0"/>
    <n v="8399.9760000000006"/>
  </r>
  <r>
    <s v="Standard Class"/>
    <x v="1"/>
    <s v="United States"/>
    <s v="Lafayette"/>
    <x v="14"/>
    <n v="47905"/>
    <x v="2"/>
    <x v="1"/>
    <x v="8"/>
    <n v="735.98"/>
    <n v="2"/>
    <n v="0"/>
    <n v="331.19099999999997"/>
  </r>
  <r>
    <s v="Standard Class"/>
    <x v="1"/>
    <s v="United States"/>
    <s v="Lafayette"/>
    <x v="14"/>
    <n v="47905"/>
    <x v="2"/>
    <x v="1"/>
    <x v="8"/>
    <n v="34.369999999999997"/>
    <n v="7"/>
    <n v="0"/>
    <n v="16.8413"/>
  </r>
  <r>
    <s v="Standard Class"/>
    <x v="1"/>
    <s v="United States"/>
    <s v="Lafayette"/>
    <x v="14"/>
    <n v="47905"/>
    <x v="2"/>
    <x v="1"/>
    <x v="6"/>
    <n v="33.96"/>
    <n v="2"/>
    <n v="0"/>
    <n v="9.5088000000000008"/>
  </r>
  <r>
    <s v="Second Class"/>
    <x v="1"/>
    <s v="United States"/>
    <s v="New York City"/>
    <x v="15"/>
    <n v="10009"/>
    <x v="3"/>
    <x v="2"/>
    <x v="7"/>
    <n v="197.97"/>
    <n v="3"/>
    <n v="0"/>
    <n v="53.451900000000002"/>
  </r>
  <r>
    <s v="Standard Class"/>
    <x v="0"/>
    <s v="United States"/>
    <s v="New York City"/>
    <x v="15"/>
    <n v="10024"/>
    <x v="3"/>
    <x v="1"/>
    <x v="9"/>
    <n v="17.48"/>
    <n v="4"/>
    <n v="0"/>
    <n v="4.5448000000000004"/>
  </r>
  <r>
    <s v="Standard Class"/>
    <x v="0"/>
    <s v="United States"/>
    <s v="Chicago"/>
    <x v="10"/>
    <n v="60610"/>
    <x v="2"/>
    <x v="1"/>
    <x v="6"/>
    <n v="8.016"/>
    <n v="3"/>
    <n v="0.2"/>
    <n v="1.002"/>
  </r>
  <r>
    <s v="Same Day"/>
    <x v="0"/>
    <s v="United States"/>
    <s v="Santa Ana"/>
    <x v="1"/>
    <n v="92704"/>
    <x v="1"/>
    <x v="0"/>
    <x v="3"/>
    <n v="146.04"/>
    <n v="1"/>
    <n v="0.2"/>
    <n v="-12.778499999999999"/>
  </r>
  <r>
    <s v="Standard Class"/>
    <x v="1"/>
    <s v="United States"/>
    <s v="Montebello"/>
    <x v="1"/>
    <n v="90640"/>
    <x v="1"/>
    <x v="2"/>
    <x v="11"/>
    <n v="27.88"/>
    <n v="2"/>
    <n v="0"/>
    <n v="3.9032"/>
  </r>
  <r>
    <s v="Standard Class"/>
    <x v="1"/>
    <s v="United States"/>
    <s v="Thousand Oaks"/>
    <x v="1"/>
    <n v="91360"/>
    <x v="1"/>
    <x v="1"/>
    <x v="2"/>
    <n v="152.65"/>
    <n v="5"/>
    <n v="0"/>
    <n v="70.218999999999994"/>
  </r>
  <r>
    <s v="Standard Class"/>
    <x v="1"/>
    <s v="United States"/>
    <s v="Thousand Oaks"/>
    <x v="1"/>
    <n v="91360"/>
    <x v="1"/>
    <x v="0"/>
    <x v="5"/>
    <n v="22.72"/>
    <n v="1"/>
    <n v="0"/>
    <n v="9.3152000000000008"/>
  </r>
  <r>
    <s v="Standard Class"/>
    <x v="1"/>
    <s v="United States"/>
    <s v="Vineland"/>
    <x v="30"/>
    <n v="8360"/>
    <x v="3"/>
    <x v="1"/>
    <x v="6"/>
    <n v="11.12"/>
    <n v="4"/>
    <n v="0"/>
    <n v="2.8912"/>
  </r>
  <r>
    <s v="Standard Class"/>
    <x v="1"/>
    <s v="United States"/>
    <s v="Torrance"/>
    <x v="1"/>
    <n v="90503"/>
    <x v="1"/>
    <x v="1"/>
    <x v="9"/>
    <n v="1640.7"/>
    <n v="5"/>
    <n v="0"/>
    <n v="459.39600000000002"/>
  </r>
  <r>
    <s v="Standard Class"/>
    <x v="1"/>
    <s v="United States"/>
    <s v="Torrance"/>
    <x v="1"/>
    <n v="90503"/>
    <x v="1"/>
    <x v="2"/>
    <x v="7"/>
    <n v="371.2"/>
    <n v="5"/>
    <n v="0.2"/>
    <n v="41.76"/>
  </r>
  <r>
    <s v="First Class"/>
    <x v="2"/>
    <s v="United States"/>
    <s v="Troy"/>
    <x v="24"/>
    <n v="45373"/>
    <x v="3"/>
    <x v="1"/>
    <x v="8"/>
    <n v="14.832000000000001"/>
    <n v="3"/>
    <n v="0.7"/>
    <n v="-10.382400000000001"/>
  </r>
  <r>
    <s v="Standard Class"/>
    <x v="1"/>
    <s v="United States"/>
    <s v="Springfield"/>
    <x v="17"/>
    <n v="22153"/>
    <x v="0"/>
    <x v="2"/>
    <x v="11"/>
    <n v="20.7"/>
    <n v="3"/>
    <n v="0"/>
    <n v="1.6559999999999999"/>
  </r>
  <r>
    <s v="Standard Class"/>
    <x v="1"/>
    <s v="United States"/>
    <s v="Springfield"/>
    <x v="17"/>
    <n v="22153"/>
    <x v="0"/>
    <x v="1"/>
    <x v="13"/>
    <n v="11.34"/>
    <n v="3"/>
    <n v="0"/>
    <n v="5.2164000000000001"/>
  </r>
  <r>
    <s v="Standard Class"/>
    <x v="1"/>
    <s v="United States"/>
    <s v="Springfield"/>
    <x v="17"/>
    <n v="22153"/>
    <x v="0"/>
    <x v="1"/>
    <x v="4"/>
    <n v="67.900000000000006"/>
    <n v="5"/>
    <n v="0"/>
    <n v="0.67900000000000005"/>
  </r>
  <r>
    <s v="Standard Class"/>
    <x v="1"/>
    <s v="United States"/>
    <s v="Springfield"/>
    <x v="17"/>
    <n v="22153"/>
    <x v="0"/>
    <x v="0"/>
    <x v="1"/>
    <n v="1059.1199999999999"/>
    <n v="4"/>
    <n v="0"/>
    <n v="307.14479999999998"/>
  </r>
  <r>
    <s v="Standard Class"/>
    <x v="2"/>
    <s v="United States"/>
    <s v="El Cajon"/>
    <x v="1"/>
    <n v="92020"/>
    <x v="1"/>
    <x v="0"/>
    <x v="1"/>
    <n v="478.48"/>
    <n v="2"/>
    <n v="0.2"/>
    <n v="47.847999999999999"/>
  </r>
  <r>
    <s v="Standard Class"/>
    <x v="1"/>
    <s v="United States"/>
    <s v="Los Angeles"/>
    <x v="1"/>
    <n v="90036"/>
    <x v="1"/>
    <x v="1"/>
    <x v="10"/>
    <n v="32.04"/>
    <n v="4"/>
    <n v="0"/>
    <n v="14.417999999999999"/>
  </r>
  <r>
    <s v="Standard Class"/>
    <x v="0"/>
    <s v="United States"/>
    <s v="Phoenix"/>
    <x v="16"/>
    <n v="85023"/>
    <x v="1"/>
    <x v="2"/>
    <x v="7"/>
    <n v="55.991999999999997"/>
    <n v="1"/>
    <n v="0.2"/>
    <n v="3.4994999999999998"/>
  </r>
  <r>
    <s v="First Class"/>
    <x v="0"/>
    <s v="United States"/>
    <s v="Frankfort"/>
    <x v="10"/>
    <n v="60423"/>
    <x v="2"/>
    <x v="1"/>
    <x v="10"/>
    <n v="76.864000000000004"/>
    <n v="2"/>
    <n v="0.2"/>
    <n v="26.9024"/>
  </r>
  <r>
    <s v="Standard Class"/>
    <x v="0"/>
    <s v="United States"/>
    <s v="Los Angeles"/>
    <x v="1"/>
    <n v="90045"/>
    <x v="1"/>
    <x v="0"/>
    <x v="5"/>
    <n v="59.92"/>
    <n v="4"/>
    <n v="0"/>
    <n v="27.563199999999998"/>
  </r>
  <r>
    <s v="Standard Class"/>
    <x v="1"/>
    <s v="United States"/>
    <s v="Franklin"/>
    <x v="6"/>
    <n v="53132"/>
    <x v="2"/>
    <x v="0"/>
    <x v="0"/>
    <n v="1565.88"/>
    <n v="6"/>
    <n v="0"/>
    <n v="407.12880000000001"/>
  </r>
  <r>
    <s v="Standard Class"/>
    <x v="1"/>
    <s v="United States"/>
    <s v="Franklin"/>
    <x v="6"/>
    <n v="53132"/>
    <x v="2"/>
    <x v="1"/>
    <x v="8"/>
    <n v="106.05"/>
    <n v="7"/>
    <n v="0"/>
    <n v="49.843499999999999"/>
  </r>
  <r>
    <s v="Second Class"/>
    <x v="1"/>
    <s v="United States"/>
    <s v="Little Rock"/>
    <x v="36"/>
    <n v="72209"/>
    <x v="0"/>
    <x v="1"/>
    <x v="4"/>
    <n v="62.04"/>
    <n v="4"/>
    <n v="0"/>
    <n v="17.371200000000002"/>
  </r>
  <r>
    <s v="Second Class"/>
    <x v="1"/>
    <s v="United States"/>
    <s v="Little Rock"/>
    <x v="36"/>
    <n v="72209"/>
    <x v="0"/>
    <x v="2"/>
    <x v="7"/>
    <n v="494.97"/>
    <n v="3"/>
    <n v="0"/>
    <n v="148.49100000000001"/>
  </r>
  <r>
    <s v="Second Class"/>
    <x v="1"/>
    <s v="United States"/>
    <s v="Little Rock"/>
    <x v="36"/>
    <n v="72209"/>
    <x v="0"/>
    <x v="1"/>
    <x v="4"/>
    <n v="367.96"/>
    <n v="4"/>
    <n v="0"/>
    <n v="14.718400000000001"/>
  </r>
  <r>
    <s v="Second Class"/>
    <x v="1"/>
    <s v="United States"/>
    <s v="Little Rock"/>
    <x v="36"/>
    <n v="72209"/>
    <x v="0"/>
    <x v="1"/>
    <x v="10"/>
    <n v="44.96"/>
    <n v="2"/>
    <n v="0"/>
    <n v="20.6816"/>
  </r>
  <r>
    <s v="Second Class"/>
    <x v="1"/>
    <s v="United States"/>
    <s v="Little Rock"/>
    <x v="36"/>
    <n v="72209"/>
    <x v="0"/>
    <x v="1"/>
    <x v="12"/>
    <n v="182.94"/>
    <n v="3"/>
    <n v="0"/>
    <n v="85.981800000000007"/>
  </r>
  <r>
    <s v="Standard Class"/>
    <x v="0"/>
    <s v="United States"/>
    <s v="Los Angeles"/>
    <x v="1"/>
    <n v="90008"/>
    <x v="1"/>
    <x v="1"/>
    <x v="10"/>
    <n v="28.14"/>
    <n v="3"/>
    <n v="0"/>
    <n v="13.507199999999999"/>
  </r>
  <r>
    <s v="Standard Class"/>
    <x v="0"/>
    <s v="United States"/>
    <s v="Los Angeles"/>
    <x v="1"/>
    <n v="90008"/>
    <x v="1"/>
    <x v="1"/>
    <x v="2"/>
    <n v="7.38"/>
    <n v="2"/>
    <n v="0"/>
    <n v="3.4685999999999999"/>
  </r>
  <r>
    <s v="Standard Class"/>
    <x v="0"/>
    <s v="United States"/>
    <s v="Los Angeles"/>
    <x v="1"/>
    <n v="90008"/>
    <x v="1"/>
    <x v="1"/>
    <x v="13"/>
    <n v="10.9"/>
    <n v="5"/>
    <n v="0"/>
    <n v="3.597"/>
  </r>
  <r>
    <s v="Standard Class"/>
    <x v="0"/>
    <s v="United States"/>
    <s v="Los Angeles"/>
    <x v="1"/>
    <n v="90008"/>
    <x v="1"/>
    <x v="2"/>
    <x v="11"/>
    <n v="274.89"/>
    <n v="11"/>
    <n v="0"/>
    <n v="46.731299999999997"/>
  </r>
  <r>
    <s v="Standard Class"/>
    <x v="0"/>
    <s v="United States"/>
    <s v="Los Angeles"/>
    <x v="1"/>
    <n v="90008"/>
    <x v="1"/>
    <x v="1"/>
    <x v="2"/>
    <n v="23.04"/>
    <n v="8"/>
    <n v="0"/>
    <n v="11.2896"/>
  </r>
  <r>
    <s v="Standard Class"/>
    <x v="0"/>
    <s v="United States"/>
    <s v="Los Angeles"/>
    <x v="1"/>
    <n v="90008"/>
    <x v="1"/>
    <x v="0"/>
    <x v="1"/>
    <n v="218.352"/>
    <n v="3"/>
    <n v="0.2"/>
    <n v="-19.105799999999999"/>
  </r>
  <r>
    <s v="Standard Class"/>
    <x v="1"/>
    <s v="United States"/>
    <s v="San Antonio"/>
    <x v="5"/>
    <n v="78207"/>
    <x v="2"/>
    <x v="1"/>
    <x v="10"/>
    <n v="10.368"/>
    <n v="2"/>
    <n v="0.2"/>
    <n v="3.6288"/>
  </r>
  <r>
    <s v="Standard Class"/>
    <x v="1"/>
    <s v="United States"/>
    <s v="Los Angeles"/>
    <x v="1"/>
    <n v="90004"/>
    <x v="1"/>
    <x v="1"/>
    <x v="8"/>
    <n v="12.672000000000001"/>
    <n v="2"/>
    <n v="0.2"/>
    <n v="4.7519999999999998"/>
  </r>
  <r>
    <s v="Standard Class"/>
    <x v="1"/>
    <s v="United States"/>
    <s v="Los Angeles"/>
    <x v="1"/>
    <n v="90004"/>
    <x v="1"/>
    <x v="2"/>
    <x v="7"/>
    <n v="91.96"/>
    <n v="5"/>
    <n v="0.2"/>
    <n v="-20.690999999999999"/>
  </r>
  <r>
    <s v="Standard Class"/>
    <x v="1"/>
    <s v="United States"/>
    <s v="Los Angeles"/>
    <x v="1"/>
    <n v="90004"/>
    <x v="1"/>
    <x v="2"/>
    <x v="11"/>
    <n v="254.97"/>
    <n v="3"/>
    <n v="0"/>
    <n v="91.789199999999994"/>
  </r>
  <r>
    <s v="Standard Class"/>
    <x v="1"/>
    <s v="United States"/>
    <s v="Los Angeles"/>
    <x v="1"/>
    <n v="90004"/>
    <x v="1"/>
    <x v="2"/>
    <x v="7"/>
    <n v="31.984000000000002"/>
    <n v="2"/>
    <n v="0.2"/>
    <n v="-7.9960000000000004"/>
  </r>
  <r>
    <s v="Standard Class"/>
    <x v="1"/>
    <s v="United States"/>
    <s v="Los Angeles"/>
    <x v="1"/>
    <n v="90004"/>
    <x v="1"/>
    <x v="0"/>
    <x v="3"/>
    <n v="2887.056"/>
    <n v="9"/>
    <n v="0.2"/>
    <n v="180.441"/>
  </r>
  <r>
    <s v="Standard Class"/>
    <x v="1"/>
    <s v="United States"/>
    <s v="Los Angeles"/>
    <x v="1"/>
    <n v="90004"/>
    <x v="1"/>
    <x v="1"/>
    <x v="10"/>
    <n v="12.96"/>
    <n v="2"/>
    <n v="0"/>
    <n v="6.2207999999999997"/>
  </r>
  <r>
    <s v="Standard Class"/>
    <x v="1"/>
    <s v="United States"/>
    <s v="Los Angeles"/>
    <x v="1"/>
    <n v="90004"/>
    <x v="1"/>
    <x v="1"/>
    <x v="10"/>
    <n v="47.52"/>
    <n v="9"/>
    <n v="0"/>
    <n v="21.384"/>
  </r>
  <r>
    <s v="Second Class"/>
    <x v="1"/>
    <s v="United States"/>
    <s v="Chicago"/>
    <x v="10"/>
    <n v="60610"/>
    <x v="2"/>
    <x v="1"/>
    <x v="2"/>
    <n v="11.952"/>
    <n v="3"/>
    <n v="0.2"/>
    <n v="3.8843999999999999"/>
  </r>
  <r>
    <s v="First Class"/>
    <x v="0"/>
    <s v="United States"/>
    <s v="Seattle"/>
    <x v="4"/>
    <n v="98105"/>
    <x v="1"/>
    <x v="1"/>
    <x v="10"/>
    <n v="4.9800000000000004"/>
    <n v="1"/>
    <n v="0"/>
    <n v="2.3405999999999998"/>
  </r>
  <r>
    <s v="Second Class"/>
    <x v="0"/>
    <s v="United States"/>
    <s v="Beaumont"/>
    <x v="5"/>
    <n v="77705"/>
    <x v="2"/>
    <x v="1"/>
    <x v="8"/>
    <n v="10.78"/>
    <n v="5"/>
    <n v="0.8"/>
    <n v="-17.248000000000001"/>
  </r>
  <r>
    <s v="Second Class"/>
    <x v="0"/>
    <s v="United States"/>
    <s v="Beaumont"/>
    <x v="5"/>
    <n v="77705"/>
    <x v="2"/>
    <x v="2"/>
    <x v="11"/>
    <n v="119.976"/>
    <n v="3"/>
    <n v="0.2"/>
    <n v="-17.996400000000001"/>
  </r>
  <r>
    <s v="Standard Class"/>
    <x v="0"/>
    <s v="United States"/>
    <s v="Chesapeake"/>
    <x v="17"/>
    <n v="23320"/>
    <x v="0"/>
    <x v="1"/>
    <x v="2"/>
    <n v="25.06"/>
    <n v="2"/>
    <n v="0"/>
    <n v="11.7782"/>
  </r>
  <r>
    <s v="Standard Class"/>
    <x v="0"/>
    <s v="United States"/>
    <s v="Chesapeake"/>
    <x v="17"/>
    <n v="23320"/>
    <x v="0"/>
    <x v="0"/>
    <x v="3"/>
    <n v="1652.94"/>
    <n v="3"/>
    <n v="0"/>
    <n v="314.05860000000001"/>
  </r>
  <r>
    <s v="Same Day"/>
    <x v="0"/>
    <s v="United States"/>
    <s v="Dallas"/>
    <x v="5"/>
    <n v="75217"/>
    <x v="2"/>
    <x v="0"/>
    <x v="5"/>
    <n v="131.376"/>
    <n v="6"/>
    <n v="0.6"/>
    <n v="-95.247600000000006"/>
  </r>
  <r>
    <s v="Same Day"/>
    <x v="0"/>
    <s v="United States"/>
    <s v="Dallas"/>
    <x v="5"/>
    <n v="75217"/>
    <x v="2"/>
    <x v="1"/>
    <x v="10"/>
    <n v="5.3440000000000003"/>
    <n v="1"/>
    <n v="0.2"/>
    <n v="1.8704000000000001"/>
  </r>
  <r>
    <s v="Second Class"/>
    <x v="2"/>
    <s v="United States"/>
    <s v="Seattle"/>
    <x v="4"/>
    <n v="98105"/>
    <x v="1"/>
    <x v="0"/>
    <x v="1"/>
    <n v="2003.92"/>
    <n v="5"/>
    <n v="0.2"/>
    <n v="125.245"/>
  </r>
  <r>
    <s v="Second Class"/>
    <x v="2"/>
    <s v="United States"/>
    <s v="Seattle"/>
    <x v="4"/>
    <n v="98105"/>
    <x v="1"/>
    <x v="1"/>
    <x v="10"/>
    <n v="32.4"/>
    <n v="5"/>
    <n v="0"/>
    <n v="15.552"/>
  </r>
  <r>
    <s v="Second Class"/>
    <x v="2"/>
    <s v="United States"/>
    <s v="Seattle"/>
    <x v="4"/>
    <n v="98105"/>
    <x v="1"/>
    <x v="0"/>
    <x v="3"/>
    <n v="1913.4"/>
    <n v="9"/>
    <n v="0"/>
    <n v="401.81400000000002"/>
  </r>
  <r>
    <s v="Second Class"/>
    <x v="2"/>
    <s v="United States"/>
    <s v="Seattle"/>
    <x v="4"/>
    <n v="98105"/>
    <x v="1"/>
    <x v="1"/>
    <x v="4"/>
    <n v="146.72999999999999"/>
    <n v="3"/>
    <n v="0"/>
    <n v="2.9346000000000001"/>
  </r>
  <r>
    <s v="Second Class"/>
    <x v="2"/>
    <s v="United States"/>
    <s v="Seattle"/>
    <x v="4"/>
    <n v="98105"/>
    <x v="1"/>
    <x v="1"/>
    <x v="10"/>
    <n v="114.2"/>
    <n v="5"/>
    <n v="0"/>
    <n v="52.531999999999996"/>
  </r>
  <r>
    <s v="Standard Class"/>
    <x v="0"/>
    <s v="United States"/>
    <s v="Minneapolis"/>
    <x v="11"/>
    <n v="55407"/>
    <x v="2"/>
    <x v="0"/>
    <x v="1"/>
    <n v="2567.84"/>
    <n v="8"/>
    <n v="0"/>
    <n v="770.35199999999998"/>
  </r>
  <r>
    <s v="Standard Class"/>
    <x v="0"/>
    <s v="United States"/>
    <s v="Springfield"/>
    <x v="24"/>
    <n v="45503"/>
    <x v="3"/>
    <x v="2"/>
    <x v="11"/>
    <n v="37.055999999999997"/>
    <n v="4"/>
    <n v="0.2"/>
    <n v="8.8008000000000006"/>
  </r>
  <r>
    <s v="Standard Class"/>
    <x v="0"/>
    <s v="United States"/>
    <s v="Springfield"/>
    <x v="24"/>
    <n v="45503"/>
    <x v="3"/>
    <x v="2"/>
    <x v="7"/>
    <n v="259.89600000000002"/>
    <n v="2"/>
    <n v="0.4"/>
    <n v="-56.3108"/>
  </r>
  <r>
    <s v="Standard Class"/>
    <x v="0"/>
    <s v="United States"/>
    <s v="Los Angeles"/>
    <x v="1"/>
    <n v="90032"/>
    <x v="1"/>
    <x v="1"/>
    <x v="10"/>
    <n v="19.05"/>
    <n v="3"/>
    <n v="0"/>
    <n v="8.7629999999999999"/>
  </r>
  <r>
    <s v="Standard Class"/>
    <x v="0"/>
    <s v="United States"/>
    <s v="Los Angeles"/>
    <x v="1"/>
    <n v="90032"/>
    <x v="1"/>
    <x v="1"/>
    <x v="8"/>
    <n v="73.343999999999994"/>
    <n v="3"/>
    <n v="0.2"/>
    <n v="27.504000000000001"/>
  </r>
  <r>
    <s v="Standard Class"/>
    <x v="1"/>
    <s v="United States"/>
    <s v="Columbus"/>
    <x v="32"/>
    <n v="31907"/>
    <x v="0"/>
    <x v="2"/>
    <x v="7"/>
    <n v="95.68"/>
    <n v="8"/>
    <n v="0"/>
    <n v="26.790400000000002"/>
  </r>
  <r>
    <s v="Standard Class"/>
    <x v="1"/>
    <s v="United States"/>
    <s v="Columbus"/>
    <x v="32"/>
    <n v="31907"/>
    <x v="0"/>
    <x v="1"/>
    <x v="10"/>
    <n v="50.96"/>
    <n v="7"/>
    <n v="0"/>
    <n v="24.460799999999999"/>
  </r>
  <r>
    <s v="Standard Class"/>
    <x v="1"/>
    <s v="United States"/>
    <s v="Columbus"/>
    <x v="32"/>
    <n v="31907"/>
    <x v="0"/>
    <x v="1"/>
    <x v="6"/>
    <n v="113.94"/>
    <n v="3"/>
    <n v="0"/>
    <n v="34.182000000000002"/>
  </r>
  <r>
    <s v="Standard Class"/>
    <x v="1"/>
    <s v="United States"/>
    <s v="Columbus"/>
    <x v="32"/>
    <n v="31907"/>
    <x v="0"/>
    <x v="1"/>
    <x v="10"/>
    <n v="25.92"/>
    <n v="4"/>
    <n v="0"/>
    <n v="12.441599999999999"/>
  </r>
  <r>
    <s v="Standard Class"/>
    <x v="1"/>
    <s v="United States"/>
    <s v="Columbus"/>
    <x v="32"/>
    <n v="31907"/>
    <x v="0"/>
    <x v="0"/>
    <x v="5"/>
    <n v="20.32"/>
    <n v="4"/>
    <n v="0"/>
    <n v="6.9088000000000003"/>
  </r>
  <r>
    <s v="Standard Class"/>
    <x v="1"/>
    <s v="United States"/>
    <s v="Columbus"/>
    <x v="32"/>
    <n v="31907"/>
    <x v="0"/>
    <x v="2"/>
    <x v="7"/>
    <n v="411.98"/>
    <n v="2"/>
    <n v="0"/>
    <n v="119.4742"/>
  </r>
  <r>
    <s v="Standard Class"/>
    <x v="1"/>
    <s v="United States"/>
    <s v="Columbus"/>
    <x v="32"/>
    <n v="31907"/>
    <x v="0"/>
    <x v="1"/>
    <x v="14"/>
    <n v="34.479999999999997"/>
    <n v="2"/>
    <n v="0"/>
    <n v="9.9992000000000001"/>
  </r>
  <r>
    <s v="Standard Class"/>
    <x v="1"/>
    <s v="United States"/>
    <s v="Columbus"/>
    <x v="32"/>
    <n v="31907"/>
    <x v="0"/>
    <x v="1"/>
    <x v="10"/>
    <n v="244.55"/>
    <n v="5"/>
    <n v="0"/>
    <n v="114.9385"/>
  </r>
  <r>
    <s v="Standard Class"/>
    <x v="0"/>
    <s v="United States"/>
    <s v="Lakewood"/>
    <x v="24"/>
    <n v="44107"/>
    <x v="3"/>
    <x v="1"/>
    <x v="8"/>
    <n v="10.782"/>
    <n v="3"/>
    <n v="0.7"/>
    <n v="-7.9067999999999996"/>
  </r>
  <r>
    <s v="Second Class"/>
    <x v="0"/>
    <s v="United States"/>
    <s v="Naperville"/>
    <x v="10"/>
    <n v="60540"/>
    <x v="2"/>
    <x v="0"/>
    <x v="1"/>
    <n v="602.65099999999995"/>
    <n v="7"/>
    <n v="0.3"/>
    <n v="-163.57669999999999"/>
  </r>
  <r>
    <s v="Second Class"/>
    <x v="0"/>
    <s v="United States"/>
    <s v="Naperville"/>
    <x v="10"/>
    <n v="60540"/>
    <x v="2"/>
    <x v="1"/>
    <x v="8"/>
    <n v="7.6559999999999997"/>
    <n v="6"/>
    <n v="0.8"/>
    <n v="-13.0152"/>
  </r>
  <r>
    <s v="Standard Class"/>
    <x v="2"/>
    <s v="United States"/>
    <s v="New York City"/>
    <x v="15"/>
    <n v="10009"/>
    <x v="3"/>
    <x v="2"/>
    <x v="11"/>
    <n v="559.92999999999995"/>
    <n v="7"/>
    <n v="0"/>
    <n v="167.97900000000001"/>
  </r>
  <r>
    <s v="Same Day"/>
    <x v="1"/>
    <s v="United States"/>
    <s v="Huntington Beach"/>
    <x v="1"/>
    <n v="92646"/>
    <x v="1"/>
    <x v="2"/>
    <x v="16"/>
    <n v="2399.96"/>
    <n v="5"/>
    <n v="0.2"/>
    <n v="839.98599999999999"/>
  </r>
  <r>
    <s v="Standard Class"/>
    <x v="1"/>
    <s v="United States"/>
    <s v="Chicago"/>
    <x v="10"/>
    <n v="60653"/>
    <x v="2"/>
    <x v="1"/>
    <x v="13"/>
    <n v="16"/>
    <n v="4"/>
    <n v="0.2"/>
    <n v="5.6"/>
  </r>
  <r>
    <s v="Standard Class"/>
    <x v="1"/>
    <s v="United States"/>
    <s v="Chicago"/>
    <x v="10"/>
    <n v="60653"/>
    <x v="2"/>
    <x v="1"/>
    <x v="9"/>
    <n v="5.5880000000000001"/>
    <n v="2"/>
    <n v="0.8"/>
    <n v="-15.0876"/>
  </r>
  <r>
    <s v="Standard Class"/>
    <x v="1"/>
    <s v="United States"/>
    <s v="Chicago"/>
    <x v="10"/>
    <n v="60653"/>
    <x v="2"/>
    <x v="1"/>
    <x v="4"/>
    <n v="235.92"/>
    <n v="5"/>
    <n v="0.2"/>
    <n v="-44.234999999999999"/>
  </r>
  <r>
    <s v="Second Class"/>
    <x v="1"/>
    <s v="United States"/>
    <s v="Brentwood"/>
    <x v="1"/>
    <n v="94513"/>
    <x v="1"/>
    <x v="1"/>
    <x v="4"/>
    <n v="10.68"/>
    <n v="1"/>
    <n v="0"/>
    <n v="2.8835999999999999"/>
  </r>
  <r>
    <s v="Same Day"/>
    <x v="1"/>
    <s v="United States"/>
    <s v="Trenton"/>
    <x v="12"/>
    <n v="48183"/>
    <x v="2"/>
    <x v="1"/>
    <x v="8"/>
    <n v="41.28"/>
    <n v="2"/>
    <n v="0"/>
    <n v="19.814399999999999"/>
  </r>
  <r>
    <s v="Standard Class"/>
    <x v="0"/>
    <s v="United States"/>
    <s v="Seattle"/>
    <x v="4"/>
    <n v="98103"/>
    <x v="1"/>
    <x v="2"/>
    <x v="7"/>
    <n v="1001.5839999999999"/>
    <n v="2"/>
    <n v="0.2"/>
    <n v="125.19799999999999"/>
  </r>
  <r>
    <s v="Standard Class"/>
    <x v="1"/>
    <s v="United States"/>
    <s v="North Charleston"/>
    <x v="20"/>
    <n v="29406"/>
    <x v="0"/>
    <x v="0"/>
    <x v="5"/>
    <n v="14.76"/>
    <n v="2"/>
    <n v="0"/>
    <n v="4.2804000000000002"/>
  </r>
  <r>
    <s v="Second Class"/>
    <x v="0"/>
    <s v="United States"/>
    <s v="Columbus"/>
    <x v="24"/>
    <n v="43229"/>
    <x v="3"/>
    <x v="1"/>
    <x v="8"/>
    <n v="2.5019999999999998"/>
    <n v="3"/>
    <n v="0.7"/>
    <n v="-2.0015999999999998"/>
  </r>
  <r>
    <s v="Standard Class"/>
    <x v="0"/>
    <s v="United States"/>
    <s v="Seattle"/>
    <x v="4"/>
    <n v="98103"/>
    <x v="1"/>
    <x v="0"/>
    <x v="0"/>
    <n v="115.96"/>
    <n v="2"/>
    <n v="0"/>
    <n v="25.511199999999999"/>
  </r>
  <r>
    <s v="Second Class"/>
    <x v="0"/>
    <s v="United States"/>
    <s v="San Francisco"/>
    <x v="1"/>
    <n v="94109"/>
    <x v="1"/>
    <x v="1"/>
    <x v="4"/>
    <n v="186.54"/>
    <n v="3"/>
    <n v="0"/>
    <n v="50.3658"/>
  </r>
  <r>
    <s v="Second Class"/>
    <x v="1"/>
    <s v="United States"/>
    <s v="Los Angeles"/>
    <x v="1"/>
    <n v="90049"/>
    <x v="1"/>
    <x v="2"/>
    <x v="11"/>
    <n v="159.56"/>
    <n v="4"/>
    <n v="0"/>
    <n v="59.037199999999999"/>
  </r>
  <r>
    <s v="Standard Class"/>
    <x v="0"/>
    <s v="United States"/>
    <s v="West Palm Beach"/>
    <x v="2"/>
    <n v="33407"/>
    <x v="0"/>
    <x v="2"/>
    <x v="7"/>
    <n v="55.984000000000002"/>
    <n v="2"/>
    <n v="0.2"/>
    <n v="4.1988000000000003"/>
  </r>
  <r>
    <s v="Standard Class"/>
    <x v="0"/>
    <s v="United States"/>
    <s v="Chicago"/>
    <x v="10"/>
    <n v="60623"/>
    <x v="2"/>
    <x v="1"/>
    <x v="4"/>
    <n v="132.16"/>
    <n v="1"/>
    <n v="0.2"/>
    <n v="9.9120000000000008"/>
  </r>
  <r>
    <s v="Standard Class"/>
    <x v="0"/>
    <s v="United States"/>
    <s v="Chicago"/>
    <x v="10"/>
    <n v="60623"/>
    <x v="2"/>
    <x v="1"/>
    <x v="8"/>
    <n v="17.904"/>
    <n v="6"/>
    <n v="0.8"/>
    <n v="-31.332000000000001"/>
  </r>
  <r>
    <s v="Standard Class"/>
    <x v="0"/>
    <s v="United States"/>
    <s v="Chicago"/>
    <x v="10"/>
    <n v="60623"/>
    <x v="2"/>
    <x v="1"/>
    <x v="10"/>
    <n v="124.032"/>
    <n v="4"/>
    <n v="0.2"/>
    <n v="44.961599999999997"/>
  </r>
  <r>
    <s v="Standard Class"/>
    <x v="1"/>
    <s v="United States"/>
    <s v="Sacramento"/>
    <x v="1"/>
    <n v="95823"/>
    <x v="1"/>
    <x v="0"/>
    <x v="1"/>
    <n v="1403.92"/>
    <n v="5"/>
    <n v="0.2"/>
    <n v="70.195999999999998"/>
  </r>
  <r>
    <s v="Second Class"/>
    <x v="0"/>
    <s v="United States"/>
    <s v="Seattle"/>
    <x v="4"/>
    <n v="98115"/>
    <x v="1"/>
    <x v="1"/>
    <x v="14"/>
    <n v="28.8"/>
    <n v="3"/>
    <n v="0"/>
    <n v="0.86399999999999999"/>
  </r>
  <r>
    <s v="Standard Class"/>
    <x v="1"/>
    <s v="United States"/>
    <s v="Philadelphia"/>
    <x v="9"/>
    <n v="19143"/>
    <x v="3"/>
    <x v="1"/>
    <x v="8"/>
    <n v="24.588000000000001"/>
    <n v="2"/>
    <n v="0.7"/>
    <n v="-18.031199999999998"/>
  </r>
  <r>
    <s v="Standard Class"/>
    <x v="0"/>
    <s v="United States"/>
    <s v="Santa Barbara"/>
    <x v="1"/>
    <n v="93101"/>
    <x v="1"/>
    <x v="1"/>
    <x v="9"/>
    <n v="356.79"/>
    <n v="7"/>
    <n v="0"/>
    <n v="99.901200000000003"/>
  </r>
  <r>
    <s v="Standard Class"/>
    <x v="2"/>
    <s v="United States"/>
    <s v="New York City"/>
    <x v="15"/>
    <n v="10011"/>
    <x v="3"/>
    <x v="1"/>
    <x v="12"/>
    <n v="16.98"/>
    <n v="1"/>
    <n v="0"/>
    <n v="8.49"/>
  </r>
  <r>
    <s v="Second Class"/>
    <x v="0"/>
    <s v="United States"/>
    <s v="Auburn"/>
    <x v="19"/>
    <n v="36830"/>
    <x v="0"/>
    <x v="1"/>
    <x v="2"/>
    <n v="491.55"/>
    <n v="5"/>
    <n v="0"/>
    <n v="240.8595"/>
  </r>
  <r>
    <s v="Second Class"/>
    <x v="0"/>
    <s v="United States"/>
    <s v="Auburn"/>
    <x v="19"/>
    <n v="36830"/>
    <x v="0"/>
    <x v="1"/>
    <x v="12"/>
    <n v="7.38"/>
    <n v="2"/>
    <n v="0"/>
    <n v="3.3948"/>
  </r>
  <r>
    <s v="Standard Class"/>
    <x v="0"/>
    <s v="United States"/>
    <s v="New York City"/>
    <x v="15"/>
    <n v="10035"/>
    <x v="3"/>
    <x v="1"/>
    <x v="10"/>
    <n v="23.66"/>
    <n v="7"/>
    <n v="0"/>
    <n v="10.883599999999999"/>
  </r>
  <r>
    <s v="Standard Class"/>
    <x v="0"/>
    <s v="United States"/>
    <s v="New York City"/>
    <x v="15"/>
    <n v="10035"/>
    <x v="3"/>
    <x v="0"/>
    <x v="0"/>
    <n v="681.40800000000002"/>
    <n v="12"/>
    <n v="0.2"/>
    <n v="42.588000000000001"/>
  </r>
  <r>
    <s v="Standard Class"/>
    <x v="0"/>
    <s v="United States"/>
    <s v="Los Angeles"/>
    <x v="1"/>
    <n v="90032"/>
    <x v="1"/>
    <x v="1"/>
    <x v="2"/>
    <n v="18.899999999999999"/>
    <n v="3"/>
    <n v="0"/>
    <n v="8.6940000000000008"/>
  </r>
  <r>
    <s v="Second Class"/>
    <x v="0"/>
    <s v="United States"/>
    <s v="San Francisco"/>
    <x v="1"/>
    <n v="94109"/>
    <x v="1"/>
    <x v="1"/>
    <x v="4"/>
    <n v="93.68"/>
    <n v="4"/>
    <n v="0"/>
    <n v="25.293600000000001"/>
  </r>
  <r>
    <s v="Second Class"/>
    <x v="0"/>
    <s v="United States"/>
    <s v="San Francisco"/>
    <x v="1"/>
    <n v="94109"/>
    <x v="1"/>
    <x v="1"/>
    <x v="2"/>
    <n v="21.93"/>
    <n v="3"/>
    <n v="0"/>
    <n v="10.3071"/>
  </r>
  <r>
    <s v="Second Class"/>
    <x v="0"/>
    <s v="United States"/>
    <s v="San Francisco"/>
    <x v="1"/>
    <n v="94109"/>
    <x v="1"/>
    <x v="2"/>
    <x v="7"/>
    <n v="862.34400000000005"/>
    <n v="7"/>
    <n v="0.2"/>
    <n v="97.0137"/>
  </r>
  <r>
    <s v="Second Class"/>
    <x v="0"/>
    <s v="United States"/>
    <s v="San Francisco"/>
    <x v="1"/>
    <n v="94109"/>
    <x v="1"/>
    <x v="1"/>
    <x v="10"/>
    <n v="19.98"/>
    <n v="1"/>
    <n v="0"/>
    <n v="9.3905999999999992"/>
  </r>
  <r>
    <s v="Standard Class"/>
    <x v="0"/>
    <s v="United States"/>
    <s v="Philadelphia"/>
    <x v="9"/>
    <n v="19140"/>
    <x v="3"/>
    <x v="2"/>
    <x v="7"/>
    <n v="13.494"/>
    <n v="1"/>
    <n v="0.4"/>
    <n v="-2.2490000000000001"/>
  </r>
  <r>
    <s v="Standard Class"/>
    <x v="0"/>
    <s v="United States"/>
    <s v="Philadelphia"/>
    <x v="9"/>
    <n v="19140"/>
    <x v="3"/>
    <x v="2"/>
    <x v="7"/>
    <n v="23.988"/>
    <n v="2"/>
    <n v="0.4"/>
    <n v="-13.993"/>
  </r>
  <r>
    <s v="Standard Class"/>
    <x v="0"/>
    <s v="United States"/>
    <s v="Philadelphia"/>
    <x v="9"/>
    <n v="19140"/>
    <x v="3"/>
    <x v="0"/>
    <x v="5"/>
    <n v="31.984000000000002"/>
    <n v="2"/>
    <n v="0.2"/>
    <n v="1.1994"/>
  </r>
  <r>
    <s v="Standard Class"/>
    <x v="0"/>
    <s v="United States"/>
    <s v="Philadelphia"/>
    <x v="9"/>
    <n v="19140"/>
    <x v="3"/>
    <x v="1"/>
    <x v="6"/>
    <n v="41.584000000000003"/>
    <n v="2"/>
    <n v="0.2"/>
    <n v="4.6782000000000004"/>
  </r>
  <r>
    <s v="Second Class"/>
    <x v="1"/>
    <s v="United States"/>
    <s v="El Paso"/>
    <x v="5"/>
    <n v="79907"/>
    <x v="2"/>
    <x v="2"/>
    <x v="11"/>
    <n v="95.975999999999999"/>
    <n v="3"/>
    <n v="0.2"/>
    <n v="-10.7973"/>
  </r>
  <r>
    <s v="First Class"/>
    <x v="2"/>
    <s v="United States"/>
    <s v="Chicago"/>
    <x v="10"/>
    <n v="60653"/>
    <x v="2"/>
    <x v="0"/>
    <x v="5"/>
    <n v="84.272000000000006"/>
    <n v="2"/>
    <n v="0.6"/>
    <n v="-75.844800000000006"/>
  </r>
  <r>
    <s v="Same Day"/>
    <x v="0"/>
    <s v="United States"/>
    <s v="El Paso"/>
    <x v="5"/>
    <n v="79907"/>
    <x v="2"/>
    <x v="1"/>
    <x v="10"/>
    <n v="36.543999999999997"/>
    <n v="2"/>
    <n v="0.2"/>
    <n v="11.876799999999999"/>
  </r>
  <r>
    <s v="Standard Class"/>
    <x v="0"/>
    <s v="United States"/>
    <s v="Seattle"/>
    <x v="4"/>
    <n v="98105"/>
    <x v="1"/>
    <x v="2"/>
    <x v="11"/>
    <n v="479.72"/>
    <n v="4"/>
    <n v="0"/>
    <n v="52.769199999999998"/>
  </r>
  <r>
    <s v="Standard Class"/>
    <x v="1"/>
    <s v="United States"/>
    <s v="New York City"/>
    <x v="15"/>
    <n v="10009"/>
    <x v="3"/>
    <x v="1"/>
    <x v="8"/>
    <n v="102.36799999999999"/>
    <n v="2"/>
    <n v="0.2"/>
    <n v="37.108400000000003"/>
  </r>
  <r>
    <s v="Standard Class"/>
    <x v="1"/>
    <s v="United States"/>
    <s v="New York City"/>
    <x v="15"/>
    <n v="10009"/>
    <x v="3"/>
    <x v="1"/>
    <x v="14"/>
    <n v="28.4"/>
    <n v="5"/>
    <n v="0"/>
    <n v="8.2360000000000007"/>
  </r>
  <r>
    <s v="Standard Class"/>
    <x v="1"/>
    <s v="United States"/>
    <s v="New York City"/>
    <x v="15"/>
    <n v="10009"/>
    <x v="3"/>
    <x v="1"/>
    <x v="4"/>
    <n v="713.88"/>
    <n v="4"/>
    <n v="0"/>
    <n v="214.16399999999999"/>
  </r>
  <r>
    <s v="Standard Class"/>
    <x v="1"/>
    <s v="United States"/>
    <s v="New York City"/>
    <x v="15"/>
    <n v="10009"/>
    <x v="3"/>
    <x v="1"/>
    <x v="10"/>
    <n v="68.52"/>
    <n v="3"/>
    <n v="0"/>
    <n v="31.519200000000001"/>
  </r>
  <r>
    <s v="Standard Class"/>
    <x v="0"/>
    <s v="United States"/>
    <s v="Los Angeles"/>
    <x v="1"/>
    <n v="90032"/>
    <x v="1"/>
    <x v="2"/>
    <x v="7"/>
    <n v="623.96"/>
    <n v="5"/>
    <n v="0.2"/>
    <n v="38.997500000000002"/>
  </r>
  <r>
    <s v="Standard Class"/>
    <x v="1"/>
    <s v="United States"/>
    <s v="Newark"/>
    <x v="13"/>
    <n v="19711"/>
    <x v="3"/>
    <x v="1"/>
    <x v="8"/>
    <n v="11.12"/>
    <n v="4"/>
    <n v="0"/>
    <n v="5.4488000000000003"/>
  </r>
  <r>
    <s v="Standard Class"/>
    <x v="0"/>
    <s v="United States"/>
    <s v="New York City"/>
    <x v="15"/>
    <n v="10011"/>
    <x v="3"/>
    <x v="0"/>
    <x v="0"/>
    <n v="523.91999999999996"/>
    <n v="5"/>
    <n v="0.2"/>
    <n v="-26.196000000000002"/>
  </r>
  <r>
    <s v="Standard Class"/>
    <x v="2"/>
    <s v="United States"/>
    <s v="Roseville"/>
    <x v="1"/>
    <n v="95661"/>
    <x v="1"/>
    <x v="1"/>
    <x v="13"/>
    <n v="2.48"/>
    <n v="2"/>
    <n v="0"/>
    <n v="1.1656"/>
  </r>
  <r>
    <s v="Standard Class"/>
    <x v="0"/>
    <s v="United States"/>
    <s v="Aurora"/>
    <x v="10"/>
    <n v="60505"/>
    <x v="2"/>
    <x v="1"/>
    <x v="4"/>
    <n v="221.024"/>
    <n v="2"/>
    <n v="0.2"/>
    <n v="-55.256"/>
  </r>
  <r>
    <s v="Standard Class"/>
    <x v="0"/>
    <s v="United States"/>
    <s v="Aurora"/>
    <x v="10"/>
    <n v="60505"/>
    <x v="2"/>
    <x v="0"/>
    <x v="1"/>
    <n v="128.05799999999999"/>
    <n v="3"/>
    <n v="0.3"/>
    <n v="-23.7822"/>
  </r>
  <r>
    <s v="Same Day"/>
    <x v="2"/>
    <s v="United States"/>
    <s v="New York City"/>
    <x v="15"/>
    <n v="10011"/>
    <x v="3"/>
    <x v="1"/>
    <x v="8"/>
    <n v="58.408000000000001"/>
    <n v="7"/>
    <n v="0.2"/>
    <n v="18.252500000000001"/>
  </r>
  <r>
    <s v="Same Day"/>
    <x v="2"/>
    <s v="United States"/>
    <s v="New York City"/>
    <x v="15"/>
    <n v="10011"/>
    <x v="3"/>
    <x v="0"/>
    <x v="3"/>
    <n v="79.974000000000004"/>
    <n v="3"/>
    <n v="0.4"/>
    <n v="-29.323799999999999"/>
  </r>
  <r>
    <s v="Standard Class"/>
    <x v="1"/>
    <s v="United States"/>
    <s v="Dallas"/>
    <x v="5"/>
    <n v="75217"/>
    <x v="2"/>
    <x v="2"/>
    <x v="15"/>
    <n v="479.988"/>
    <n v="2"/>
    <n v="0.4"/>
    <n v="55.998600000000003"/>
  </r>
  <r>
    <s v="First Class"/>
    <x v="0"/>
    <s v="United States"/>
    <s v="Los Angeles"/>
    <x v="1"/>
    <n v="90008"/>
    <x v="1"/>
    <x v="1"/>
    <x v="8"/>
    <n v="11.808"/>
    <n v="3"/>
    <n v="0.2"/>
    <n v="4.1327999999999996"/>
  </r>
  <r>
    <s v="First Class"/>
    <x v="0"/>
    <s v="United States"/>
    <s v="Los Angeles"/>
    <x v="1"/>
    <n v="90008"/>
    <x v="1"/>
    <x v="1"/>
    <x v="8"/>
    <n v="53.567999999999998"/>
    <n v="4"/>
    <n v="0.2"/>
    <n v="19.418399999999998"/>
  </r>
  <r>
    <s v="First Class"/>
    <x v="0"/>
    <s v="United States"/>
    <s v="Los Angeles"/>
    <x v="1"/>
    <n v="90008"/>
    <x v="1"/>
    <x v="2"/>
    <x v="7"/>
    <n v="503.96"/>
    <n v="5"/>
    <n v="0.2"/>
    <n v="50.396000000000001"/>
  </r>
  <r>
    <s v="Standard Class"/>
    <x v="1"/>
    <s v="United States"/>
    <s v="Los Angeles"/>
    <x v="1"/>
    <n v="90004"/>
    <x v="1"/>
    <x v="1"/>
    <x v="12"/>
    <n v="21.34"/>
    <n v="2"/>
    <n v="0"/>
    <n v="9.8163999999999998"/>
  </r>
  <r>
    <s v="Standard Class"/>
    <x v="0"/>
    <s v="United States"/>
    <s v="Columbus"/>
    <x v="32"/>
    <n v="31907"/>
    <x v="0"/>
    <x v="1"/>
    <x v="8"/>
    <n v="36.4"/>
    <n v="5"/>
    <n v="0"/>
    <n v="17.108000000000001"/>
  </r>
  <r>
    <s v="Standard Class"/>
    <x v="0"/>
    <s v="United States"/>
    <s v="Columbus"/>
    <x v="32"/>
    <n v="31907"/>
    <x v="0"/>
    <x v="0"/>
    <x v="5"/>
    <n v="51.75"/>
    <n v="1"/>
    <n v="0"/>
    <n v="15.525"/>
  </r>
  <r>
    <s v="Second Class"/>
    <x v="2"/>
    <s v="United States"/>
    <s v="San Francisco"/>
    <x v="1"/>
    <n v="94110"/>
    <x v="1"/>
    <x v="1"/>
    <x v="4"/>
    <n v="15.51"/>
    <n v="1"/>
    <n v="0"/>
    <n v="4.3428000000000004"/>
  </r>
  <r>
    <s v="Second Class"/>
    <x v="2"/>
    <s v="United States"/>
    <s v="San Francisco"/>
    <x v="1"/>
    <n v="94110"/>
    <x v="1"/>
    <x v="1"/>
    <x v="10"/>
    <n v="146.82"/>
    <n v="3"/>
    <n v="0"/>
    <n v="73.41"/>
  </r>
  <r>
    <s v="Second Class"/>
    <x v="2"/>
    <s v="United States"/>
    <s v="San Francisco"/>
    <x v="1"/>
    <n v="94110"/>
    <x v="1"/>
    <x v="1"/>
    <x v="10"/>
    <n v="12.96"/>
    <n v="2"/>
    <n v="0"/>
    <n v="6.2207999999999997"/>
  </r>
  <r>
    <s v="Same Day"/>
    <x v="2"/>
    <s v="United States"/>
    <s v="Riverside"/>
    <x v="1"/>
    <n v="92503"/>
    <x v="1"/>
    <x v="1"/>
    <x v="6"/>
    <n v="7.8"/>
    <n v="3"/>
    <n v="0"/>
    <n v="2.1059999999999999"/>
  </r>
  <r>
    <s v="Second Class"/>
    <x v="1"/>
    <s v="United States"/>
    <s v="Columbia"/>
    <x v="20"/>
    <n v="29203"/>
    <x v="0"/>
    <x v="1"/>
    <x v="12"/>
    <n v="10.199999999999999"/>
    <n v="5"/>
    <n v="0"/>
    <n v="4.7939999999999996"/>
  </r>
  <r>
    <s v="Second Class"/>
    <x v="1"/>
    <s v="United States"/>
    <s v="Columbia"/>
    <x v="20"/>
    <n v="29203"/>
    <x v="0"/>
    <x v="1"/>
    <x v="6"/>
    <n v="22.32"/>
    <n v="3"/>
    <n v="0"/>
    <n v="5.58"/>
  </r>
  <r>
    <s v="Second Class"/>
    <x v="1"/>
    <s v="United States"/>
    <s v="Columbia"/>
    <x v="20"/>
    <n v="29203"/>
    <x v="0"/>
    <x v="1"/>
    <x v="8"/>
    <n v="24.1"/>
    <n v="5"/>
    <n v="0"/>
    <n v="11.086"/>
  </r>
  <r>
    <s v="Second Class"/>
    <x v="1"/>
    <s v="United States"/>
    <s v="Columbia"/>
    <x v="20"/>
    <n v="29203"/>
    <x v="0"/>
    <x v="2"/>
    <x v="11"/>
    <n v="75.98"/>
    <n v="2"/>
    <n v="0"/>
    <n v="18.235199999999999"/>
  </r>
  <r>
    <s v="Second Class"/>
    <x v="1"/>
    <s v="United States"/>
    <s v="Columbia"/>
    <x v="20"/>
    <n v="29203"/>
    <x v="0"/>
    <x v="1"/>
    <x v="8"/>
    <n v="6.46"/>
    <n v="2"/>
    <n v="0"/>
    <n v="3.1654"/>
  </r>
  <r>
    <s v="Second Class"/>
    <x v="1"/>
    <s v="United States"/>
    <s v="Columbia"/>
    <x v="20"/>
    <n v="29203"/>
    <x v="0"/>
    <x v="1"/>
    <x v="10"/>
    <n v="60.12"/>
    <n v="9"/>
    <n v="0"/>
    <n v="28.857600000000001"/>
  </r>
  <r>
    <s v="Second Class"/>
    <x v="1"/>
    <s v="United States"/>
    <s v="New York City"/>
    <x v="15"/>
    <n v="10011"/>
    <x v="3"/>
    <x v="2"/>
    <x v="7"/>
    <n v="824.97"/>
    <n v="3"/>
    <n v="0"/>
    <n v="214.4922"/>
  </r>
  <r>
    <s v="Second Class"/>
    <x v="0"/>
    <s v="United States"/>
    <s v="Longview"/>
    <x v="4"/>
    <n v="98632"/>
    <x v="1"/>
    <x v="0"/>
    <x v="5"/>
    <n v="24.85"/>
    <n v="5"/>
    <n v="0"/>
    <n v="7.7035"/>
  </r>
  <r>
    <s v="Standard Class"/>
    <x v="0"/>
    <s v="United States"/>
    <s v="Phoenix"/>
    <x v="16"/>
    <n v="85023"/>
    <x v="1"/>
    <x v="1"/>
    <x v="4"/>
    <n v="12.624000000000001"/>
    <n v="2"/>
    <n v="0.2"/>
    <n v="-2.5247999999999999"/>
  </r>
  <r>
    <s v="Standard Class"/>
    <x v="0"/>
    <s v="United States"/>
    <s v="Phoenix"/>
    <x v="16"/>
    <n v="85023"/>
    <x v="1"/>
    <x v="2"/>
    <x v="11"/>
    <n v="89.584000000000003"/>
    <n v="2"/>
    <n v="0.2"/>
    <n v="4.4791999999999996"/>
  </r>
  <r>
    <s v="Standard Class"/>
    <x v="0"/>
    <s v="United States"/>
    <s v="Phoenix"/>
    <x v="16"/>
    <n v="85023"/>
    <x v="1"/>
    <x v="2"/>
    <x v="7"/>
    <n v="471.92"/>
    <n v="2"/>
    <n v="0.2"/>
    <n v="29.495000000000001"/>
  </r>
  <r>
    <s v="Standard Class"/>
    <x v="0"/>
    <s v="United States"/>
    <s v="Phoenix"/>
    <x v="16"/>
    <n v="85023"/>
    <x v="1"/>
    <x v="1"/>
    <x v="8"/>
    <n v="18.18"/>
    <n v="4"/>
    <n v="0.7"/>
    <n v="-13.938000000000001"/>
  </r>
  <r>
    <s v="Standard Class"/>
    <x v="0"/>
    <s v="United States"/>
    <s v="Houston"/>
    <x v="5"/>
    <n v="77095"/>
    <x v="2"/>
    <x v="1"/>
    <x v="6"/>
    <n v="31.744"/>
    <n v="2"/>
    <n v="0.2"/>
    <n v="8.3328000000000007"/>
  </r>
  <r>
    <s v="Standard Class"/>
    <x v="1"/>
    <s v="United States"/>
    <s v="Gilbert"/>
    <x v="16"/>
    <n v="85234"/>
    <x v="1"/>
    <x v="1"/>
    <x v="2"/>
    <n v="5.9039999999999999"/>
    <n v="2"/>
    <n v="0.2"/>
    <n v="1.9925999999999999"/>
  </r>
  <r>
    <s v="Standard Class"/>
    <x v="1"/>
    <s v="United States"/>
    <s v="Gilbert"/>
    <x v="16"/>
    <n v="85234"/>
    <x v="1"/>
    <x v="0"/>
    <x v="5"/>
    <n v="621.76"/>
    <n v="4"/>
    <n v="0.2"/>
    <n v="46.631999999999998"/>
  </r>
  <r>
    <s v="First Class"/>
    <x v="0"/>
    <s v="United States"/>
    <s v="Jonesboro"/>
    <x v="36"/>
    <n v="72401"/>
    <x v="0"/>
    <x v="2"/>
    <x v="7"/>
    <n v="59.98"/>
    <n v="2"/>
    <n v="0"/>
    <n v="17.994"/>
  </r>
  <r>
    <s v="Second Class"/>
    <x v="0"/>
    <s v="United States"/>
    <s v="Atlanta"/>
    <x v="32"/>
    <n v="30318"/>
    <x v="0"/>
    <x v="1"/>
    <x v="10"/>
    <n v="48.87"/>
    <n v="9"/>
    <n v="0"/>
    <n v="23.946300000000001"/>
  </r>
  <r>
    <s v="Standard Class"/>
    <x v="0"/>
    <s v="United States"/>
    <s v="Los Angeles"/>
    <x v="1"/>
    <n v="90036"/>
    <x v="1"/>
    <x v="1"/>
    <x v="10"/>
    <n v="154.9"/>
    <n v="5"/>
    <n v="0"/>
    <n v="69.704999999999998"/>
  </r>
  <r>
    <s v="First Class"/>
    <x v="1"/>
    <s v="United States"/>
    <s v="New York City"/>
    <x v="15"/>
    <n v="10024"/>
    <x v="3"/>
    <x v="1"/>
    <x v="13"/>
    <n v="5.92"/>
    <n v="4"/>
    <n v="0"/>
    <n v="2.8416000000000001"/>
  </r>
  <r>
    <s v="First Class"/>
    <x v="1"/>
    <s v="United States"/>
    <s v="New York City"/>
    <x v="15"/>
    <n v="10024"/>
    <x v="3"/>
    <x v="1"/>
    <x v="10"/>
    <n v="30.18"/>
    <n v="3"/>
    <n v="0"/>
    <n v="13.8828"/>
  </r>
  <r>
    <s v="Standard Class"/>
    <x v="0"/>
    <s v="United States"/>
    <s v="Detroit"/>
    <x v="12"/>
    <n v="48227"/>
    <x v="2"/>
    <x v="1"/>
    <x v="8"/>
    <n v="24.1"/>
    <n v="5"/>
    <n v="0"/>
    <n v="11.086"/>
  </r>
  <r>
    <s v="Standard Class"/>
    <x v="0"/>
    <s v="United States"/>
    <s v="Detroit"/>
    <x v="12"/>
    <n v="48227"/>
    <x v="2"/>
    <x v="2"/>
    <x v="7"/>
    <n v="8.7799999999999994"/>
    <n v="1"/>
    <n v="0"/>
    <n v="2.2827999999999999"/>
  </r>
  <r>
    <s v="Standard Class"/>
    <x v="0"/>
    <s v="United States"/>
    <s v="Detroit"/>
    <x v="12"/>
    <n v="48227"/>
    <x v="2"/>
    <x v="1"/>
    <x v="9"/>
    <n v="376.74"/>
    <n v="4"/>
    <n v="0.1"/>
    <n v="71.162000000000006"/>
  </r>
  <r>
    <s v="Standard Class"/>
    <x v="0"/>
    <s v="United States"/>
    <s v="Detroit"/>
    <x v="12"/>
    <n v="48227"/>
    <x v="2"/>
    <x v="1"/>
    <x v="8"/>
    <n v="29.52"/>
    <n v="4"/>
    <n v="0"/>
    <n v="14.4648"/>
  </r>
  <r>
    <s v="Standard Class"/>
    <x v="0"/>
    <s v="United States"/>
    <s v="Detroit"/>
    <x v="12"/>
    <n v="48227"/>
    <x v="2"/>
    <x v="1"/>
    <x v="6"/>
    <n v="11.96"/>
    <n v="2"/>
    <n v="0"/>
    <n v="2.99"/>
  </r>
  <r>
    <s v="Standard Class"/>
    <x v="0"/>
    <s v="United States"/>
    <s v="Detroit"/>
    <x v="12"/>
    <n v="48227"/>
    <x v="2"/>
    <x v="1"/>
    <x v="8"/>
    <n v="26.4"/>
    <n v="5"/>
    <n v="0"/>
    <n v="12.672000000000001"/>
  </r>
  <r>
    <s v="Second Class"/>
    <x v="1"/>
    <s v="United States"/>
    <s v="Fort Lauderdale"/>
    <x v="2"/>
    <n v="33311"/>
    <x v="0"/>
    <x v="1"/>
    <x v="9"/>
    <n v="1158.1199999999999"/>
    <n v="5"/>
    <n v="0.2"/>
    <n v="130.2885"/>
  </r>
  <r>
    <s v="First Class"/>
    <x v="0"/>
    <s v="United States"/>
    <s v="Abilene"/>
    <x v="5"/>
    <n v="79605"/>
    <x v="2"/>
    <x v="1"/>
    <x v="9"/>
    <n v="1.3919999999999999"/>
    <n v="2"/>
    <n v="0.8"/>
    <n v="-3.7584"/>
  </r>
  <r>
    <s v="Second Class"/>
    <x v="0"/>
    <s v="United States"/>
    <s v="Hampton"/>
    <x v="17"/>
    <n v="23666"/>
    <x v="0"/>
    <x v="1"/>
    <x v="9"/>
    <n v="44.43"/>
    <n v="3"/>
    <n v="0"/>
    <n v="18.660599999999999"/>
  </r>
  <r>
    <s v="Second Class"/>
    <x v="0"/>
    <s v="United States"/>
    <s v="Hampton"/>
    <x v="17"/>
    <n v="23666"/>
    <x v="0"/>
    <x v="2"/>
    <x v="7"/>
    <n v="226.2"/>
    <n v="5"/>
    <n v="0"/>
    <n v="58.811999999999998"/>
  </r>
  <r>
    <s v="Second Class"/>
    <x v="0"/>
    <s v="United States"/>
    <s v="Hampton"/>
    <x v="17"/>
    <n v="23666"/>
    <x v="0"/>
    <x v="0"/>
    <x v="5"/>
    <n v="186.54"/>
    <n v="3"/>
    <n v="0"/>
    <n v="41.038800000000002"/>
  </r>
  <r>
    <s v="Second Class"/>
    <x v="0"/>
    <s v="United States"/>
    <s v="Hampton"/>
    <x v="17"/>
    <n v="23666"/>
    <x v="0"/>
    <x v="1"/>
    <x v="6"/>
    <n v="265.86"/>
    <n v="7"/>
    <n v="0"/>
    <n v="79.757999999999996"/>
  </r>
  <r>
    <s v="Second Class"/>
    <x v="0"/>
    <s v="United States"/>
    <s v="Hampton"/>
    <x v="17"/>
    <n v="23666"/>
    <x v="0"/>
    <x v="1"/>
    <x v="6"/>
    <n v="27.9"/>
    <n v="5"/>
    <n v="0"/>
    <n v="6.9749999999999996"/>
  </r>
  <r>
    <s v="Standard Class"/>
    <x v="1"/>
    <s v="United States"/>
    <s v="Las Vegas"/>
    <x v="33"/>
    <n v="89115"/>
    <x v="1"/>
    <x v="1"/>
    <x v="9"/>
    <n v="31.08"/>
    <n v="4"/>
    <n v="0"/>
    <n v="8.3916000000000004"/>
  </r>
  <r>
    <s v="Second Class"/>
    <x v="1"/>
    <s v="United States"/>
    <s v="Rockford"/>
    <x v="10"/>
    <n v="61107"/>
    <x v="2"/>
    <x v="1"/>
    <x v="8"/>
    <n v="13.84"/>
    <n v="4"/>
    <n v="0.8"/>
    <n v="-22.143999999999998"/>
  </r>
  <r>
    <s v="Second Class"/>
    <x v="1"/>
    <s v="United States"/>
    <s v="Rockford"/>
    <x v="10"/>
    <n v="61107"/>
    <x v="2"/>
    <x v="1"/>
    <x v="10"/>
    <n v="175.87200000000001"/>
    <n v="4"/>
    <n v="0.2"/>
    <n v="63.753599999999999"/>
  </r>
  <r>
    <s v="Standard Class"/>
    <x v="2"/>
    <s v="United States"/>
    <s v="Laguna Niguel"/>
    <x v="1"/>
    <n v="92677"/>
    <x v="1"/>
    <x v="1"/>
    <x v="10"/>
    <n v="12.96"/>
    <n v="2"/>
    <n v="0"/>
    <n v="6.3503999999999996"/>
  </r>
  <r>
    <s v="First Class"/>
    <x v="1"/>
    <s v="United States"/>
    <s v="Louisville"/>
    <x v="0"/>
    <n v="40214"/>
    <x v="0"/>
    <x v="1"/>
    <x v="9"/>
    <n v="208.44"/>
    <n v="3"/>
    <n v="0"/>
    <n v="62.531999999999996"/>
  </r>
  <r>
    <s v="First Class"/>
    <x v="1"/>
    <s v="United States"/>
    <s v="Louisville"/>
    <x v="0"/>
    <n v="40214"/>
    <x v="0"/>
    <x v="1"/>
    <x v="14"/>
    <n v="25.76"/>
    <n v="2"/>
    <n v="0"/>
    <n v="0.77280000000000004"/>
  </r>
  <r>
    <s v="Standard Class"/>
    <x v="2"/>
    <s v="United States"/>
    <s v="Normal"/>
    <x v="10"/>
    <n v="61761"/>
    <x v="2"/>
    <x v="0"/>
    <x v="1"/>
    <n v="366.74400000000003"/>
    <n v="4"/>
    <n v="0.3"/>
    <n v="-110.0232"/>
  </r>
  <r>
    <s v="Second Class"/>
    <x v="1"/>
    <s v="United States"/>
    <s v="Los Angeles"/>
    <x v="1"/>
    <n v="90045"/>
    <x v="1"/>
    <x v="0"/>
    <x v="5"/>
    <n v="289.24"/>
    <n v="7"/>
    <n v="0"/>
    <n v="26.031600000000001"/>
  </r>
  <r>
    <s v="Second Class"/>
    <x v="1"/>
    <s v="United States"/>
    <s v="Los Angeles"/>
    <x v="1"/>
    <n v="90045"/>
    <x v="1"/>
    <x v="1"/>
    <x v="8"/>
    <n v="69.456000000000003"/>
    <n v="2"/>
    <n v="0.2"/>
    <n v="22.5732"/>
  </r>
  <r>
    <s v="Standard Class"/>
    <x v="1"/>
    <s v="United States"/>
    <s v="Port Arthur"/>
    <x v="5"/>
    <n v="77642"/>
    <x v="2"/>
    <x v="1"/>
    <x v="10"/>
    <n v="5.1840000000000002"/>
    <n v="1"/>
    <n v="0.2"/>
    <n v="1.8144"/>
  </r>
  <r>
    <s v="Standard Class"/>
    <x v="0"/>
    <s v="United States"/>
    <s v="New York City"/>
    <x v="15"/>
    <n v="10009"/>
    <x v="3"/>
    <x v="0"/>
    <x v="1"/>
    <n v="205.16399999999999"/>
    <n v="2"/>
    <n v="0.1"/>
    <n v="13.6776"/>
  </r>
  <r>
    <s v="Standard Class"/>
    <x v="1"/>
    <s v="United States"/>
    <s v="Chicago"/>
    <x v="10"/>
    <n v="60623"/>
    <x v="2"/>
    <x v="0"/>
    <x v="5"/>
    <n v="8.5440000000000005"/>
    <n v="2"/>
    <n v="0.6"/>
    <n v="-7.476"/>
  </r>
  <r>
    <s v="Standard Class"/>
    <x v="1"/>
    <s v="United States"/>
    <s v="Springfield"/>
    <x v="24"/>
    <n v="45503"/>
    <x v="3"/>
    <x v="1"/>
    <x v="8"/>
    <n v="12.827999999999999"/>
    <n v="2"/>
    <n v="0.7"/>
    <n v="-8.9795999999999996"/>
  </r>
  <r>
    <s v="Standard Class"/>
    <x v="1"/>
    <s v="United States"/>
    <s v="Springfield"/>
    <x v="24"/>
    <n v="45503"/>
    <x v="3"/>
    <x v="0"/>
    <x v="1"/>
    <n v="598.45799999999997"/>
    <n v="3"/>
    <n v="0.3"/>
    <n v="-42.747"/>
  </r>
  <r>
    <s v="Standard Class"/>
    <x v="1"/>
    <s v="United States"/>
    <s v="Springfield"/>
    <x v="24"/>
    <n v="45503"/>
    <x v="3"/>
    <x v="0"/>
    <x v="5"/>
    <n v="25.984000000000002"/>
    <n v="1"/>
    <n v="0.2"/>
    <n v="-3.8976000000000002"/>
  </r>
  <r>
    <s v="Standard Class"/>
    <x v="0"/>
    <s v="United States"/>
    <s v="New York City"/>
    <x v="15"/>
    <n v="10035"/>
    <x v="3"/>
    <x v="1"/>
    <x v="8"/>
    <n v="17.96"/>
    <n v="5"/>
    <n v="0.2"/>
    <n v="5.8369999999999997"/>
  </r>
  <r>
    <s v="Standard Class"/>
    <x v="0"/>
    <s v="United States"/>
    <s v="New York City"/>
    <x v="15"/>
    <n v="10035"/>
    <x v="3"/>
    <x v="1"/>
    <x v="14"/>
    <n v="5.04"/>
    <n v="2"/>
    <n v="0"/>
    <n v="0.1512"/>
  </r>
  <r>
    <s v="Standard Class"/>
    <x v="0"/>
    <s v="United States"/>
    <s v="New York City"/>
    <x v="15"/>
    <n v="10035"/>
    <x v="3"/>
    <x v="1"/>
    <x v="9"/>
    <n v="208.16"/>
    <n v="1"/>
    <n v="0"/>
    <n v="56.203200000000002"/>
  </r>
  <r>
    <s v="Second Class"/>
    <x v="2"/>
    <s v="United States"/>
    <s v="Salinas"/>
    <x v="1"/>
    <n v="93905"/>
    <x v="1"/>
    <x v="0"/>
    <x v="0"/>
    <n v="148.25700000000001"/>
    <n v="3"/>
    <n v="0.15"/>
    <n v="15.697800000000001"/>
  </r>
  <r>
    <s v="Second Class"/>
    <x v="1"/>
    <s v="United States"/>
    <s v="Richmond"/>
    <x v="0"/>
    <n v="40475"/>
    <x v="0"/>
    <x v="1"/>
    <x v="9"/>
    <n v="146.76"/>
    <n v="3"/>
    <n v="0"/>
    <n v="38.157600000000002"/>
  </r>
  <r>
    <s v="Second Class"/>
    <x v="1"/>
    <s v="United States"/>
    <s v="Richmond"/>
    <x v="0"/>
    <n v="40475"/>
    <x v="0"/>
    <x v="2"/>
    <x v="11"/>
    <n v="32.96"/>
    <n v="2"/>
    <n v="0"/>
    <n v="14.172800000000001"/>
  </r>
  <r>
    <s v="Second Class"/>
    <x v="1"/>
    <s v="United States"/>
    <s v="Richmond"/>
    <x v="0"/>
    <n v="40475"/>
    <x v="0"/>
    <x v="2"/>
    <x v="7"/>
    <n v="587.97"/>
    <n v="3"/>
    <n v="0"/>
    <n v="164.63159999999999"/>
  </r>
  <r>
    <s v="Second Class"/>
    <x v="1"/>
    <s v="United States"/>
    <s v="Richmond"/>
    <x v="0"/>
    <n v="40475"/>
    <x v="0"/>
    <x v="1"/>
    <x v="10"/>
    <n v="14.94"/>
    <n v="3"/>
    <n v="0"/>
    <n v="7.0217999999999998"/>
  </r>
  <r>
    <s v="Second Class"/>
    <x v="0"/>
    <s v="United States"/>
    <s v="New York City"/>
    <x v="15"/>
    <n v="10035"/>
    <x v="3"/>
    <x v="1"/>
    <x v="2"/>
    <n v="25.83"/>
    <n v="7"/>
    <n v="0"/>
    <n v="12.1401"/>
  </r>
  <r>
    <s v="Standard Class"/>
    <x v="0"/>
    <s v="United States"/>
    <s v="Denver"/>
    <x v="22"/>
    <n v="80219"/>
    <x v="1"/>
    <x v="1"/>
    <x v="10"/>
    <n v="15.552"/>
    <n v="3"/>
    <n v="0.2"/>
    <n v="5.4432"/>
  </r>
  <r>
    <s v="Standard Class"/>
    <x v="0"/>
    <s v="United States"/>
    <s v="Denver"/>
    <x v="22"/>
    <n v="80219"/>
    <x v="1"/>
    <x v="1"/>
    <x v="14"/>
    <n v="6.8"/>
    <n v="1"/>
    <n v="0.2"/>
    <n v="0.51"/>
  </r>
  <r>
    <s v="Standard Class"/>
    <x v="0"/>
    <s v="United States"/>
    <s v="Denver"/>
    <x v="22"/>
    <n v="80219"/>
    <x v="1"/>
    <x v="0"/>
    <x v="5"/>
    <n v="4.2240000000000002"/>
    <n v="3"/>
    <n v="0.2"/>
    <n v="1.2672000000000001"/>
  </r>
  <r>
    <s v="Standard Class"/>
    <x v="0"/>
    <s v="United States"/>
    <s v="Denver"/>
    <x v="22"/>
    <n v="80219"/>
    <x v="1"/>
    <x v="2"/>
    <x v="7"/>
    <n v="143.63999999999999"/>
    <n v="9"/>
    <n v="0.2"/>
    <n v="10.773"/>
  </r>
  <r>
    <s v="Standard Class"/>
    <x v="0"/>
    <s v="United States"/>
    <s v="Denver"/>
    <x v="22"/>
    <n v="80219"/>
    <x v="1"/>
    <x v="1"/>
    <x v="10"/>
    <n v="31.103999999999999"/>
    <n v="6"/>
    <n v="0.2"/>
    <n v="10.8864"/>
  </r>
  <r>
    <s v="Standard Class"/>
    <x v="0"/>
    <s v="United States"/>
    <s v="Denver"/>
    <x v="22"/>
    <n v="80219"/>
    <x v="1"/>
    <x v="1"/>
    <x v="10"/>
    <n v="223.05600000000001"/>
    <n v="9"/>
    <n v="0.2"/>
    <n v="69.704999999999998"/>
  </r>
  <r>
    <s v="Standard Class"/>
    <x v="1"/>
    <s v="United States"/>
    <s v="New York City"/>
    <x v="15"/>
    <n v="10024"/>
    <x v="3"/>
    <x v="2"/>
    <x v="7"/>
    <n v="227.46"/>
    <n v="6"/>
    <n v="0"/>
    <n v="65.963399999999993"/>
  </r>
  <r>
    <s v="Standard Class"/>
    <x v="1"/>
    <s v="United States"/>
    <s v="New York City"/>
    <x v="15"/>
    <n v="10024"/>
    <x v="3"/>
    <x v="1"/>
    <x v="8"/>
    <n v="46.24"/>
    <n v="4"/>
    <n v="0.2"/>
    <n v="15.606"/>
  </r>
  <r>
    <s v="Standard Class"/>
    <x v="0"/>
    <s v="United States"/>
    <s v="New York City"/>
    <x v="15"/>
    <n v="10011"/>
    <x v="3"/>
    <x v="1"/>
    <x v="2"/>
    <n v="5.22"/>
    <n v="2"/>
    <n v="0"/>
    <n v="2.4011999999999998"/>
  </r>
  <r>
    <s v="Second Class"/>
    <x v="0"/>
    <s v="United States"/>
    <s v="Fremont"/>
    <x v="8"/>
    <n v="68025"/>
    <x v="2"/>
    <x v="1"/>
    <x v="10"/>
    <n v="33.9"/>
    <n v="5"/>
    <n v="0"/>
    <n v="15.593999999999999"/>
  </r>
  <r>
    <s v="Standard Class"/>
    <x v="1"/>
    <s v="United States"/>
    <s v="New York City"/>
    <x v="15"/>
    <n v="10011"/>
    <x v="3"/>
    <x v="1"/>
    <x v="4"/>
    <n v="28.14"/>
    <n v="3"/>
    <n v="0"/>
    <n v="7.8792"/>
  </r>
  <r>
    <s v="Standard Class"/>
    <x v="1"/>
    <s v="United States"/>
    <s v="New York City"/>
    <x v="15"/>
    <n v="10011"/>
    <x v="3"/>
    <x v="2"/>
    <x v="11"/>
    <n v="36"/>
    <n v="2"/>
    <n v="0"/>
    <n v="6.48"/>
  </r>
  <r>
    <s v="Standard Class"/>
    <x v="1"/>
    <s v="United States"/>
    <s v="New York City"/>
    <x v="15"/>
    <n v="10011"/>
    <x v="3"/>
    <x v="1"/>
    <x v="6"/>
    <n v="92.94"/>
    <n v="3"/>
    <n v="0"/>
    <n v="25.093800000000002"/>
  </r>
  <r>
    <s v="Standard Class"/>
    <x v="1"/>
    <s v="United States"/>
    <s v="New York City"/>
    <x v="15"/>
    <n v="10011"/>
    <x v="3"/>
    <x v="0"/>
    <x v="1"/>
    <n v="245.64599999999999"/>
    <n v="3"/>
    <n v="0.1"/>
    <n v="8.1882000000000001"/>
  </r>
  <r>
    <s v="Standard Class"/>
    <x v="1"/>
    <s v="United States"/>
    <s v="New York City"/>
    <x v="15"/>
    <n v="10011"/>
    <x v="3"/>
    <x v="1"/>
    <x v="8"/>
    <n v="55.008000000000003"/>
    <n v="3"/>
    <n v="0.2"/>
    <n v="17.190000000000001"/>
  </r>
  <r>
    <s v="Standard Class"/>
    <x v="1"/>
    <s v="United States"/>
    <s v="New York City"/>
    <x v="15"/>
    <n v="10011"/>
    <x v="3"/>
    <x v="1"/>
    <x v="8"/>
    <n v="35.231999999999999"/>
    <n v="3"/>
    <n v="0.2"/>
    <n v="11.4504"/>
  </r>
  <r>
    <s v="Standard Class"/>
    <x v="1"/>
    <s v="United States"/>
    <s v="San Diego"/>
    <x v="1"/>
    <n v="92105"/>
    <x v="1"/>
    <x v="0"/>
    <x v="1"/>
    <n v="523.39200000000005"/>
    <n v="3"/>
    <n v="0.2"/>
    <n v="52.339199999999998"/>
  </r>
  <r>
    <s v="Second Class"/>
    <x v="0"/>
    <s v="United States"/>
    <s v="Lakeland"/>
    <x v="2"/>
    <n v="33801"/>
    <x v="0"/>
    <x v="2"/>
    <x v="16"/>
    <n v="479.98399999999998"/>
    <n v="2"/>
    <n v="0.2"/>
    <n v="89.997"/>
  </r>
  <r>
    <s v="Standard Class"/>
    <x v="0"/>
    <s v="United States"/>
    <s v="Smyrna"/>
    <x v="32"/>
    <n v="30080"/>
    <x v="0"/>
    <x v="1"/>
    <x v="10"/>
    <n v="12.96"/>
    <n v="2"/>
    <n v="0"/>
    <n v="6.2207999999999997"/>
  </r>
  <r>
    <s v="Standard Class"/>
    <x v="0"/>
    <s v="United States"/>
    <s v="Smyrna"/>
    <x v="32"/>
    <n v="30080"/>
    <x v="0"/>
    <x v="1"/>
    <x v="6"/>
    <n v="17.940000000000001"/>
    <n v="3"/>
    <n v="0"/>
    <n v="6.4584000000000001"/>
  </r>
  <r>
    <s v="Standard Class"/>
    <x v="0"/>
    <s v="United States"/>
    <s v="New York City"/>
    <x v="15"/>
    <n v="10009"/>
    <x v="3"/>
    <x v="1"/>
    <x v="4"/>
    <n v="166.72"/>
    <n v="2"/>
    <n v="0"/>
    <n v="41.68"/>
  </r>
  <r>
    <s v="Standard Class"/>
    <x v="0"/>
    <s v="United States"/>
    <s v="New York City"/>
    <x v="15"/>
    <n v="10009"/>
    <x v="3"/>
    <x v="1"/>
    <x v="8"/>
    <n v="24.815999999999999"/>
    <n v="3"/>
    <n v="0.2"/>
    <n v="8.3754000000000008"/>
  </r>
  <r>
    <s v="Standard Class"/>
    <x v="0"/>
    <s v="United States"/>
    <s v="New York City"/>
    <x v="15"/>
    <n v="10009"/>
    <x v="3"/>
    <x v="0"/>
    <x v="5"/>
    <n v="124.36"/>
    <n v="2"/>
    <n v="0"/>
    <n v="27.359200000000001"/>
  </r>
  <r>
    <s v="Standard Class"/>
    <x v="0"/>
    <s v="United States"/>
    <s v="Philadelphia"/>
    <x v="9"/>
    <n v="19134"/>
    <x v="3"/>
    <x v="2"/>
    <x v="16"/>
    <n v="599.97"/>
    <n v="5"/>
    <n v="0.4"/>
    <n v="69.996499999999997"/>
  </r>
  <r>
    <s v="Standard Class"/>
    <x v="0"/>
    <s v="United States"/>
    <s v="Philadelphia"/>
    <x v="9"/>
    <n v="19134"/>
    <x v="3"/>
    <x v="0"/>
    <x v="1"/>
    <n v="198.744"/>
    <n v="4"/>
    <n v="0.3"/>
    <n v="-14.196"/>
  </r>
  <r>
    <s v="Standard Class"/>
    <x v="0"/>
    <s v="United States"/>
    <s v="Philadelphia"/>
    <x v="9"/>
    <n v="19134"/>
    <x v="3"/>
    <x v="1"/>
    <x v="14"/>
    <n v="9.1839999999999993"/>
    <n v="2"/>
    <n v="0.2"/>
    <n v="1.1479999999999999"/>
  </r>
  <r>
    <s v="Standard Class"/>
    <x v="1"/>
    <s v="United States"/>
    <s v="Dallas"/>
    <x v="5"/>
    <n v="75217"/>
    <x v="2"/>
    <x v="1"/>
    <x v="10"/>
    <n v="9.2479999999999993"/>
    <n v="2"/>
    <n v="0.2"/>
    <n v="3.3523999999999998"/>
  </r>
  <r>
    <s v="Standard Class"/>
    <x v="2"/>
    <s v="United States"/>
    <s v="Concord"/>
    <x v="1"/>
    <n v="94521"/>
    <x v="1"/>
    <x v="0"/>
    <x v="3"/>
    <n v="99.591999999999999"/>
    <n v="1"/>
    <n v="0.2"/>
    <n v="2.4897999999999998"/>
  </r>
  <r>
    <s v="Standard Class"/>
    <x v="2"/>
    <s v="United States"/>
    <s v="Concord"/>
    <x v="1"/>
    <n v="94521"/>
    <x v="1"/>
    <x v="2"/>
    <x v="11"/>
    <n v="399.96"/>
    <n v="4"/>
    <n v="0"/>
    <n v="139.98599999999999"/>
  </r>
  <r>
    <s v="First Class"/>
    <x v="0"/>
    <s v="United States"/>
    <s v="Nashville"/>
    <x v="18"/>
    <n v="37211"/>
    <x v="0"/>
    <x v="1"/>
    <x v="10"/>
    <n v="15.552"/>
    <n v="3"/>
    <n v="0.2"/>
    <n v="5.4432"/>
  </r>
  <r>
    <s v="Standard Class"/>
    <x v="2"/>
    <s v="United States"/>
    <s v="Aurora"/>
    <x v="22"/>
    <n v="80013"/>
    <x v="1"/>
    <x v="1"/>
    <x v="6"/>
    <n v="14.576000000000001"/>
    <n v="2"/>
    <n v="0.2"/>
    <n v="2.3685999999999998"/>
  </r>
  <r>
    <s v="Same Day"/>
    <x v="0"/>
    <s v="United States"/>
    <s v="Anaheim"/>
    <x v="1"/>
    <n v="92804"/>
    <x v="1"/>
    <x v="1"/>
    <x v="8"/>
    <n v="209.6"/>
    <n v="5"/>
    <n v="0.2"/>
    <n v="68.12"/>
  </r>
  <r>
    <s v="Same Day"/>
    <x v="0"/>
    <s v="United States"/>
    <s v="Anaheim"/>
    <x v="1"/>
    <n v="92804"/>
    <x v="1"/>
    <x v="1"/>
    <x v="6"/>
    <n v="23.32"/>
    <n v="2"/>
    <n v="0"/>
    <n v="6.0632000000000001"/>
  </r>
  <r>
    <s v="Same Day"/>
    <x v="0"/>
    <s v="United States"/>
    <s v="Anaheim"/>
    <x v="1"/>
    <n v="92804"/>
    <x v="1"/>
    <x v="1"/>
    <x v="10"/>
    <n v="30.98"/>
    <n v="1"/>
    <n v="0"/>
    <n v="13.941000000000001"/>
  </r>
  <r>
    <s v="Same Day"/>
    <x v="0"/>
    <s v="United States"/>
    <s v="Anaheim"/>
    <x v="1"/>
    <n v="92804"/>
    <x v="1"/>
    <x v="2"/>
    <x v="11"/>
    <n v="119.96"/>
    <n v="4"/>
    <n v="0"/>
    <n v="25.191600000000001"/>
  </r>
  <r>
    <s v="Same Day"/>
    <x v="0"/>
    <s v="United States"/>
    <s v="Anaheim"/>
    <x v="1"/>
    <n v="92804"/>
    <x v="1"/>
    <x v="0"/>
    <x v="1"/>
    <n v="363.92"/>
    <n v="5"/>
    <n v="0.2"/>
    <n v="-31.843"/>
  </r>
  <r>
    <s v="Same Day"/>
    <x v="0"/>
    <s v="United States"/>
    <s v="Anaheim"/>
    <x v="1"/>
    <n v="92804"/>
    <x v="1"/>
    <x v="1"/>
    <x v="8"/>
    <n v="35.808"/>
    <n v="3"/>
    <n v="0.2"/>
    <n v="11.19"/>
  </r>
  <r>
    <s v="Same Day"/>
    <x v="0"/>
    <s v="United States"/>
    <s v="Anaheim"/>
    <x v="1"/>
    <n v="92804"/>
    <x v="1"/>
    <x v="1"/>
    <x v="8"/>
    <n v="122.688"/>
    <n v="9"/>
    <n v="0.2"/>
    <n v="39.873600000000003"/>
  </r>
  <r>
    <s v="Same Day"/>
    <x v="0"/>
    <s v="United States"/>
    <s v="Anaheim"/>
    <x v="1"/>
    <n v="92804"/>
    <x v="1"/>
    <x v="0"/>
    <x v="3"/>
    <n v="892.13599999999997"/>
    <n v="7"/>
    <n v="0.2"/>
    <n v="111.517"/>
  </r>
  <r>
    <s v="Same Day"/>
    <x v="0"/>
    <s v="United States"/>
    <s v="Anaheim"/>
    <x v="1"/>
    <n v="92804"/>
    <x v="1"/>
    <x v="1"/>
    <x v="4"/>
    <n v="50.22"/>
    <n v="3"/>
    <n v="0"/>
    <n v="2.0087999999999999"/>
  </r>
  <r>
    <s v="Same Day"/>
    <x v="0"/>
    <s v="United States"/>
    <s v="Anaheim"/>
    <x v="1"/>
    <n v="92804"/>
    <x v="1"/>
    <x v="1"/>
    <x v="9"/>
    <n v="83.42"/>
    <n v="2"/>
    <n v="0"/>
    <n v="24.191800000000001"/>
  </r>
  <r>
    <s v="Same Day"/>
    <x v="0"/>
    <s v="United States"/>
    <s v="Anaheim"/>
    <x v="1"/>
    <n v="92804"/>
    <x v="1"/>
    <x v="1"/>
    <x v="8"/>
    <n v="5.8719999999999999"/>
    <n v="2"/>
    <n v="0.2"/>
    <n v="2.1286"/>
  </r>
  <r>
    <s v="Second Class"/>
    <x v="1"/>
    <s v="United States"/>
    <s v="Pleasant Grove"/>
    <x v="7"/>
    <n v="84062"/>
    <x v="1"/>
    <x v="1"/>
    <x v="8"/>
    <n v="12.144"/>
    <n v="3"/>
    <n v="0.2"/>
    <n v="4.0986000000000002"/>
  </r>
  <r>
    <s v="Second Class"/>
    <x v="0"/>
    <s v="United States"/>
    <s v="Springfield"/>
    <x v="21"/>
    <n v="97477"/>
    <x v="1"/>
    <x v="1"/>
    <x v="12"/>
    <n v="27.792000000000002"/>
    <n v="3"/>
    <n v="0.2"/>
    <n v="10.422000000000001"/>
  </r>
  <r>
    <s v="Standard Class"/>
    <x v="2"/>
    <s v="United States"/>
    <s v="Salem"/>
    <x v="21"/>
    <n v="97301"/>
    <x v="1"/>
    <x v="1"/>
    <x v="14"/>
    <n v="6.2080000000000002"/>
    <n v="2"/>
    <n v="0.2"/>
    <n v="0.69840000000000002"/>
  </r>
  <r>
    <s v="Standard Class"/>
    <x v="0"/>
    <s v="United States"/>
    <s v="Rochester"/>
    <x v="15"/>
    <n v="14609"/>
    <x v="3"/>
    <x v="1"/>
    <x v="9"/>
    <n v="32.67"/>
    <n v="3"/>
    <n v="0"/>
    <n v="8.4941999999999993"/>
  </r>
  <r>
    <s v="First Class"/>
    <x v="1"/>
    <s v="United States"/>
    <s v="Los Angeles"/>
    <x v="1"/>
    <n v="90008"/>
    <x v="1"/>
    <x v="1"/>
    <x v="4"/>
    <n v="1261.33"/>
    <n v="7"/>
    <n v="0"/>
    <n v="327.94580000000002"/>
  </r>
  <r>
    <s v="Standard Class"/>
    <x v="2"/>
    <s v="United States"/>
    <s v="Los Angeles"/>
    <x v="1"/>
    <n v="90049"/>
    <x v="1"/>
    <x v="1"/>
    <x v="10"/>
    <n v="38.880000000000003"/>
    <n v="6"/>
    <n v="0"/>
    <n v="18.662400000000002"/>
  </r>
  <r>
    <s v="Standard Class"/>
    <x v="1"/>
    <s v="United States"/>
    <s v="Dallas"/>
    <x v="5"/>
    <n v="75081"/>
    <x v="2"/>
    <x v="1"/>
    <x v="8"/>
    <n v="1.964"/>
    <n v="2"/>
    <n v="0.8"/>
    <n v="-3.2406000000000001"/>
  </r>
  <r>
    <s v="Standard Class"/>
    <x v="1"/>
    <s v="United States"/>
    <s v="Dallas"/>
    <x v="5"/>
    <n v="75081"/>
    <x v="2"/>
    <x v="1"/>
    <x v="10"/>
    <n v="82.656000000000006"/>
    <n v="9"/>
    <n v="0.2"/>
    <n v="30.995999999999999"/>
  </r>
  <r>
    <s v="Standard Class"/>
    <x v="0"/>
    <s v="United States"/>
    <s v="Fresno"/>
    <x v="1"/>
    <n v="93727"/>
    <x v="1"/>
    <x v="1"/>
    <x v="10"/>
    <n v="5.98"/>
    <n v="1"/>
    <n v="0"/>
    <n v="2.6909999999999998"/>
  </r>
  <r>
    <s v="Second Class"/>
    <x v="2"/>
    <s v="United States"/>
    <s v="Chicago"/>
    <x v="10"/>
    <n v="60653"/>
    <x v="2"/>
    <x v="1"/>
    <x v="10"/>
    <n v="9.2479999999999993"/>
    <n v="2"/>
    <n v="0.2"/>
    <n v="3.3523999999999998"/>
  </r>
  <r>
    <s v="Standard Class"/>
    <x v="0"/>
    <s v="United States"/>
    <s v="Mcallen"/>
    <x v="5"/>
    <n v="78501"/>
    <x v="2"/>
    <x v="1"/>
    <x v="6"/>
    <n v="4.4480000000000004"/>
    <n v="2"/>
    <n v="0.2"/>
    <n v="0.33360000000000001"/>
  </r>
  <r>
    <s v="Standard Class"/>
    <x v="0"/>
    <s v="United States"/>
    <s v="Mcallen"/>
    <x v="5"/>
    <n v="78501"/>
    <x v="2"/>
    <x v="1"/>
    <x v="10"/>
    <n v="5.1840000000000002"/>
    <n v="1"/>
    <n v="0.2"/>
    <n v="1.8144"/>
  </r>
  <r>
    <s v="Standard Class"/>
    <x v="0"/>
    <s v="United States"/>
    <s v="Mcallen"/>
    <x v="5"/>
    <n v="78501"/>
    <x v="2"/>
    <x v="1"/>
    <x v="6"/>
    <n v="175.92"/>
    <n v="5"/>
    <n v="0.2"/>
    <n v="15.393000000000001"/>
  </r>
  <r>
    <s v="Standard Class"/>
    <x v="0"/>
    <s v="United States"/>
    <s v="Mcallen"/>
    <x v="5"/>
    <n v="78501"/>
    <x v="2"/>
    <x v="1"/>
    <x v="8"/>
    <n v="4.7519999999999998"/>
    <n v="4"/>
    <n v="0.8"/>
    <n v="-8.3160000000000007"/>
  </r>
  <r>
    <s v="Standard Class"/>
    <x v="0"/>
    <s v="United States"/>
    <s v="Mcallen"/>
    <x v="5"/>
    <n v="78501"/>
    <x v="2"/>
    <x v="1"/>
    <x v="14"/>
    <n v="13.343999999999999"/>
    <n v="2"/>
    <n v="0.2"/>
    <n v="1.0007999999999999"/>
  </r>
  <r>
    <s v="Standard Class"/>
    <x v="0"/>
    <s v="United States"/>
    <s v="Seattle"/>
    <x v="4"/>
    <n v="98105"/>
    <x v="1"/>
    <x v="1"/>
    <x v="12"/>
    <n v="54.9"/>
    <n v="5"/>
    <n v="0"/>
    <n v="26.901"/>
  </r>
  <r>
    <s v="Standard Class"/>
    <x v="0"/>
    <s v="United States"/>
    <s v="Charlotte"/>
    <x v="3"/>
    <n v="28205"/>
    <x v="0"/>
    <x v="1"/>
    <x v="8"/>
    <n v="22.911000000000001"/>
    <n v="7"/>
    <n v="0.7"/>
    <n v="-17.565100000000001"/>
  </r>
  <r>
    <s v="Standard Class"/>
    <x v="0"/>
    <s v="United States"/>
    <s v="Charlotte"/>
    <x v="3"/>
    <n v="28205"/>
    <x v="0"/>
    <x v="1"/>
    <x v="9"/>
    <n v="309.45600000000002"/>
    <n v="9"/>
    <n v="0.2"/>
    <n v="34.813800000000001"/>
  </r>
  <r>
    <s v="Standard Class"/>
    <x v="0"/>
    <s v="United States"/>
    <s v="Charlotte"/>
    <x v="3"/>
    <n v="28205"/>
    <x v="0"/>
    <x v="1"/>
    <x v="6"/>
    <n v="19.456"/>
    <n v="4"/>
    <n v="0.2"/>
    <n v="3.4047999999999998"/>
  </r>
  <r>
    <s v="Standard Class"/>
    <x v="0"/>
    <s v="United States"/>
    <s v="Charlotte"/>
    <x v="3"/>
    <n v="28205"/>
    <x v="0"/>
    <x v="0"/>
    <x v="3"/>
    <n v="472.51799999999997"/>
    <n v="3"/>
    <n v="0.4"/>
    <n v="-149.63069999999999"/>
  </r>
  <r>
    <s v="Standard Class"/>
    <x v="0"/>
    <s v="United States"/>
    <s v="Charlotte"/>
    <x v="3"/>
    <n v="28205"/>
    <x v="0"/>
    <x v="2"/>
    <x v="11"/>
    <n v="1012.68"/>
    <n v="3"/>
    <n v="0.2"/>
    <n v="303.80399999999997"/>
  </r>
  <r>
    <s v="Standard Class"/>
    <x v="0"/>
    <s v="United States"/>
    <s v="Charlotte"/>
    <x v="3"/>
    <n v="28205"/>
    <x v="0"/>
    <x v="1"/>
    <x v="8"/>
    <n v="17.22"/>
    <n v="5"/>
    <n v="0.7"/>
    <n v="-12.628"/>
  </r>
  <r>
    <s v="Second Class"/>
    <x v="1"/>
    <s v="United States"/>
    <s v="Concord"/>
    <x v="1"/>
    <n v="94521"/>
    <x v="1"/>
    <x v="1"/>
    <x v="6"/>
    <n v="3.52"/>
    <n v="2"/>
    <n v="0"/>
    <n v="1.6896"/>
  </r>
  <r>
    <s v="Second Class"/>
    <x v="1"/>
    <s v="United States"/>
    <s v="Concord"/>
    <x v="1"/>
    <n v="94521"/>
    <x v="1"/>
    <x v="2"/>
    <x v="7"/>
    <n v="1626.192"/>
    <n v="9"/>
    <n v="0.2"/>
    <n v="121.9644"/>
  </r>
  <r>
    <s v="First Class"/>
    <x v="1"/>
    <s v="United States"/>
    <s v="Chester"/>
    <x v="9"/>
    <n v="19013"/>
    <x v="3"/>
    <x v="1"/>
    <x v="8"/>
    <n v="8.5950000000000006"/>
    <n v="5"/>
    <n v="0.7"/>
    <n v="-6.3029999999999999"/>
  </r>
  <r>
    <s v="First Class"/>
    <x v="1"/>
    <s v="United States"/>
    <s v="Chester"/>
    <x v="9"/>
    <n v="19013"/>
    <x v="3"/>
    <x v="1"/>
    <x v="14"/>
    <n v="190.89599999999999"/>
    <n v="2"/>
    <n v="0.2"/>
    <n v="-42.951599999999999"/>
  </r>
  <r>
    <s v="Second Class"/>
    <x v="0"/>
    <s v="United States"/>
    <s v="Los Angeles"/>
    <x v="1"/>
    <n v="90004"/>
    <x v="1"/>
    <x v="1"/>
    <x v="4"/>
    <n v="99.87"/>
    <n v="3"/>
    <n v="0"/>
    <n v="23.968800000000002"/>
  </r>
  <r>
    <s v="Second Class"/>
    <x v="0"/>
    <s v="United States"/>
    <s v="Sparks"/>
    <x v="33"/>
    <n v="89431"/>
    <x v="1"/>
    <x v="1"/>
    <x v="6"/>
    <n v="79.36"/>
    <n v="4"/>
    <n v="0"/>
    <n v="23.808"/>
  </r>
  <r>
    <s v="Second Class"/>
    <x v="1"/>
    <s v="United States"/>
    <s v="Los Angeles"/>
    <x v="1"/>
    <n v="90032"/>
    <x v="1"/>
    <x v="2"/>
    <x v="7"/>
    <n v="119.96"/>
    <n v="1"/>
    <n v="0.2"/>
    <n v="7.4974999999999996"/>
  </r>
  <r>
    <s v="Standard Class"/>
    <x v="0"/>
    <s v="United States"/>
    <s v="Henderson"/>
    <x v="0"/>
    <n v="42420"/>
    <x v="0"/>
    <x v="1"/>
    <x v="10"/>
    <n v="106.32"/>
    <n v="3"/>
    <n v="0"/>
    <n v="49.970399999999998"/>
  </r>
  <r>
    <s v="Standard Class"/>
    <x v="0"/>
    <s v="United States"/>
    <s v="Henderson"/>
    <x v="0"/>
    <n v="42420"/>
    <x v="0"/>
    <x v="1"/>
    <x v="9"/>
    <n v="163.44"/>
    <n v="3"/>
    <n v="0"/>
    <n v="45.763199999999998"/>
  </r>
  <r>
    <s v="Standard Class"/>
    <x v="0"/>
    <s v="United States"/>
    <s v="Henderson"/>
    <x v="0"/>
    <n v="42420"/>
    <x v="0"/>
    <x v="1"/>
    <x v="6"/>
    <n v="42.76"/>
    <n v="2"/>
    <n v="0"/>
    <n v="11.117599999999999"/>
  </r>
  <r>
    <s v="Standard Class"/>
    <x v="0"/>
    <s v="United States"/>
    <s v="Henderson"/>
    <x v="0"/>
    <n v="42420"/>
    <x v="0"/>
    <x v="1"/>
    <x v="10"/>
    <n v="51.55"/>
    <n v="5"/>
    <n v="0"/>
    <n v="24.2285"/>
  </r>
  <r>
    <s v="Second Class"/>
    <x v="0"/>
    <s v="United States"/>
    <s v="Decatur"/>
    <x v="10"/>
    <n v="62521"/>
    <x v="2"/>
    <x v="2"/>
    <x v="11"/>
    <n v="479.952"/>
    <n v="6"/>
    <n v="0.2"/>
    <n v="89.991"/>
  </r>
  <r>
    <s v="First Class"/>
    <x v="0"/>
    <s v="United States"/>
    <s v="New York City"/>
    <x v="15"/>
    <n v="10009"/>
    <x v="3"/>
    <x v="1"/>
    <x v="8"/>
    <n v="146.68799999999999"/>
    <n v="6"/>
    <n v="0.2"/>
    <n v="55.008000000000003"/>
  </r>
  <r>
    <s v="First Class"/>
    <x v="0"/>
    <s v="United States"/>
    <s v="New York City"/>
    <x v="15"/>
    <n v="10009"/>
    <x v="3"/>
    <x v="1"/>
    <x v="8"/>
    <n v="276.78399999999999"/>
    <n v="2"/>
    <n v="0.2"/>
    <n v="89.954800000000006"/>
  </r>
  <r>
    <s v="First Class"/>
    <x v="0"/>
    <s v="United States"/>
    <s v="New York City"/>
    <x v="15"/>
    <n v="10009"/>
    <x v="3"/>
    <x v="1"/>
    <x v="8"/>
    <n v="25.32"/>
    <n v="5"/>
    <n v="0.2"/>
    <n v="9.1784999999999997"/>
  </r>
  <r>
    <s v="Standard Class"/>
    <x v="0"/>
    <s v="United States"/>
    <s v="New York City"/>
    <x v="15"/>
    <n v="10011"/>
    <x v="3"/>
    <x v="1"/>
    <x v="10"/>
    <n v="318.95999999999998"/>
    <n v="9"/>
    <n v="0"/>
    <n v="149.91120000000001"/>
  </r>
  <r>
    <s v="Second Class"/>
    <x v="0"/>
    <s v="United States"/>
    <s v="New York City"/>
    <x v="15"/>
    <n v="10009"/>
    <x v="3"/>
    <x v="1"/>
    <x v="10"/>
    <n v="212.64"/>
    <n v="6"/>
    <n v="0"/>
    <n v="99.940799999999996"/>
  </r>
  <r>
    <s v="Standard Class"/>
    <x v="0"/>
    <s v="United States"/>
    <s v="Scottsdale"/>
    <x v="16"/>
    <n v="85254"/>
    <x v="1"/>
    <x v="1"/>
    <x v="12"/>
    <n v="23.472000000000001"/>
    <n v="3"/>
    <n v="0.2"/>
    <n v="8.8019999999999996"/>
  </r>
  <r>
    <s v="Second Class"/>
    <x v="1"/>
    <s v="United States"/>
    <s v="Amarillo"/>
    <x v="5"/>
    <n v="79109"/>
    <x v="2"/>
    <x v="1"/>
    <x v="10"/>
    <n v="19.648"/>
    <n v="2"/>
    <n v="0.2"/>
    <n v="6.6311999999999998"/>
  </r>
  <r>
    <s v="First Class"/>
    <x v="0"/>
    <s v="United States"/>
    <s v="Philadelphia"/>
    <x v="9"/>
    <n v="19140"/>
    <x v="3"/>
    <x v="1"/>
    <x v="8"/>
    <n v="6.57"/>
    <n v="3"/>
    <n v="0.7"/>
    <n v="-5.0369999999999999"/>
  </r>
  <r>
    <s v="Standard Class"/>
    <x v="0"/>
    <s v="United States"/>
    <s v="Santa Ana"/>
    <x v="1"/>
    <n v="92704"/>
    <x v="1"/>
    <x v="1"/>
    <x v="4"/>
    <n v="421.1"/>
    <n v="2"/>
    <n v="0"/>
    <n v="105.27500000000001"/>
  </r>
  <r>
    <s v="Second Class"/>
    <x v="1"/>
    <s v="United States"/>
    <s v="Newark"/>
    <x v="24"/>
    <n v="43055"/>
    <x v="3"/>
    <x v="0"/>
    <x v="1"/>
    <n v="760.11599999999999"/>
    <n v="6"/>
    <n v="0.3"/>
    <n v="-43.435200000000002"/>
  </r>
  <r>
    <s v="Second Class"/>
    <x v="1"/>
    <s v="United States"/>
    <s v="Newark"/>
    <x v="24"/>
    <n v="43055"/>
    <x v="3"/>
    <x v="0"/>
    <x v="5"/>
    <n v="38.783999999999999"/>
    <n v="3"/>
    <n v="0.2"/>
    <n v="7.2720000000000002"/>
  </r>
  <r>
    <s v="Second Class"/>
    <x v="1"/>
    <s v="United States"/>
    <s v="Newark"/>
    <x v="24"/>
    <n v="43055"/>
    <x v="3"/>
    <x v="2"/>
    <x v="11"/>
    <n v="122.328"/>
    <n v="9"/>
    <n v="0.2"/>
    <n v="1.5290999999999999"/>
  </r>
  <r>
    <s v="Standard Class"/>
    <x v="0"/>
    <s v="United States"/>
    <s v="New York City"/>
    <x v="15"/>
    <n v="10035"/>
    <x v="3"/>
    <x v="2"/>
    <x v="7"/>
    <n v="25.98"/>
    <n v="2"/>
    <n v="0"/>
    <n v="0.77939999999999998"/>
  </r>
  <r>
    <s v="Standard Class"/>
    <x v="0"/>
    <s v="United States"/>
    <s v="New York City"/>
    <x v="15"/>
    <n v="10035"/>
    <x v="3"/>
    <x v="1"/>
    <x v="6"/>
    <n v="3.28"/>
    <n v="2"/>
    <n v="0"/>
    <n v="1.476"/>
  </r>
  <r>
    <s v="Standard Class"/>
    <x v="0"/>
    <s v="United States"/>
    <s v="New York City"/>
    <x v="15"/>
    <n v="10035"/>
    <x v="3"/>
    <x v="1"/>
    <x v="4"/>
    <n v="459.88"/>
    <n v="4"/>
    <n v="0"/>
    <n v="13.7964"/>
  </r>
  <r>
    <s v="Standard Class"/>
    <x v="0"/>
    <s v="United States"/>
    <s v="New York City"/>
    <x v="15"/>
    <n v="10035"/>
    <x v="3"/>
    <x v="1"/>
    <x v="14"/>
    <n v="7.76"/>
    <n v="2"/>
    <n v="0"/>
    <n v="2.2504"/>
  </r>
  <r>
    <s v="Standard Class"/>
    <x v="0"/>
    <s v="United States"/>
    <s v="New York City"/>
    <x v="15"/>
    <n v="10035"/>
    <x v="3"/>
    <x v="1"/>
    <x v="6"/>
    <n v="71.959999999999994"/>
    <n v="2"/>
    <n v="0"/>
    <n v="17.989999999999998"/>
  </r>
  <r>
    <s v="Standard Class"/>
    <x v="0"/>
    <s v="United States"/>
    <s v="New York City"/>
    <x v="15"/>
    <n v="10035"/>
    <x v="3"/>
    <x v="1"/>
    <x v="14"/>
    <n v="54.9"/>
    <n v="5"/>
    <n v="0"/>
    <n v="15.372"/>
  </r>
  <r>
    <s v="Standard Class"/>
    <x v="0"/>
    <s v="United States"/>
    <s v="New York City"/>
    <x v="15"/>
    <n v="10035"/>
    <x v="3"/>
    <x v="1"/>
    <x v="8"/>
    <n v="9.2799999999999994"/>
    <n v="2"/>
    <n v="0.2"/>
    <n v="3.2480000000000002"/>
  </r>
  <r>
    <s v="First Class"/>
    <x v="1"/>
    <s v="United States"/>
    <s v="Henderson"/>
    <x v="33"/>
    <n v="89015"/>
    <x v="1"/>
    <x v="0"/>
    <x v="3"/>
    <n v="1685.88"/>
    <n v="6"/>
    <n v="0"/>
    <n v="320.31720000000001"/>
  </r>
  <r>
    <s v="First Class"/>
    <x v="1"/>
    <s v="United States"/>
    <s v="Henderson"/>
    <x v="33"/>
    <n v="89015"/>
    <x v="1"/>
    <x v="1"/>
    <x v="8"/>
    <n v="5.7279999999999998"/>
    <n v="2"/>
    <n v="0.2"/>
    <n v="2.0047999999999999"/>
  </r>
  <r>
    <s v="Second Class"/>
    <x v="0"/>
    <s v="United States"/>
    <s v="Seattle"/>
    <x v="4"/>
    <n v="98103"/>
    <x v="1"/>
    <x v="1"/>
    <x v="10"/>
    <n v="61.96"/>
    <n v="2"/>
    <n v="0"/>
    <n v="27.882000000000001"/>
  </r>
  <r>
    <s v="Second Class"/>
    <x v="0"/>
    <s v="United States"/>
    <s v="Seattle"/>
    <x v="4"/>
    <n v="98103"/>
    <x v="1"/>
    <x v="1"/>
    <x v="8"/>
    <n v="1.3440000000000001"/>
    <n v="1"/>
    <n v="0.2"/>
    <n v="0.47039999999999998"/>
  </r>
  <r>
    <s v="Standard Class"/>
    <x v="1"/>
    <s v="United States"/>
    <s v="New York City"/>
    <x v="15"/>
    <n v="10009"/>
    <x v="3"/>
    <x v="1"/>
    <x v="10"/>
    <n v="17.940000000000001"/>
    <n v="3"/>
    <n v="0"/>
    <n v="8.7905999999999995"/>
  </r>
  <r>
    <s v="Standard Class"/>
    <x v="1"/>
    <s v="United States"/>
    <s v="Seattle"/>
    <x v="4"/>
    <n v="98103"/>
    <x v="1"/>
    <x v="1"/>
    <x v="8"/>
    <n v="13.904"/>
    <n v="2"/>
    <n v="0.2"/>
    <n v="4.5187999999999997"/>
  </r>
  <r>
    <s v="Standard Class"/>
    <x v="1"/>
    <s v="United States"/>
    <s v="Smyrna"/>
    <x v="18"/>
    <n v="37167"/>
    <x v="0"/>
    <x v="1"/>
    <x v="8"/>
    <n v="67.194000000000003"/>
    <n v="1"/>
    <n v="0.7"/>
    <n v="-51.5154"/>
  </r>
  <r>
    <s v="Standard Class"/>
    <x v="0"/>
    <s v="United States"/>
    <s v="Seattle"/>
    <x v="4"/>
    <n v="98105"/>
    <x v="1"/>
    <x v="1"/>
    <x v="10"/>
    <n v="41.86"/>
    <n v="7"/>
    <n v="0"/>
    <n v="18.837"/>
  </r>
  <r>
    <s v="Standard Class"/>
    <x v="0"/>
    <s v="United States"/>
    <s v="Seattle"/>
    <x v="4"/>
    <n v="98105"/>
    <x v="1"/>
    <x v="0"/>
    <x v="0"/>
    <n v="141.96"/>
    <n v="2"/>
    <n v="0"/>
    <n v="41.168399999999998"/>
  </r>
  <r>
    <s v="Standard Class"/>
    <x v="1"/>
    <s v="United States"/>
    <s v="New York City"/>
    <x v="15"/>
    <n v="10035"/>
    <x v="3"/>
    <x v="0"/>
    <x v="5"/>
    <n v="10.02"/>
    <n v="3"/>
    <n v="0"/>
    <n v="4.4088000000000003"/>
  </r>
  <r>
    <s v="Standard Class"/>
    <x v="1"/>
    <s v="United States"/>
    <s v="New York City"/>
    <x v="15"/>
    <n v="10035"/>
    <x v="3"/>
    <x v="1"/>
    <x v="10"/>
    <n v="144.12"/>
    <n v="3"/>
    <n v="0"/>
    <n v="69.177599999999998"/>
  </r>
  <r>
    <s v="Second Class"/>
    <x v="0"/>
    <s v="United States"/>
    <s v="Atlanta"/>
    <x v="32"/>
    <n v="30318"/>
    <x v="0"/>
    <x v="1"/>
    <x v="10"/>
    <n v="17.940000000000001"/>
    <n v="3"/>
    <n v="0"/>
    <n v="8.7905999999999995"/>
  </r>
  <r>
    <s v="Second Class"/>
    <x v="0"/>
    <s v="United States"/>
    <s v="Atlanta"/>
    <x v="32"/>
    <n v="30318"/>
    <x v="0"/>
    <x v="1"/>
    <x v="6"/>
    <n v="13.89"/>
    <n v="3"/>
    <n v="0"/>
    <n v="4.5837000000000003"/>
  </r>
  <r>
    <s v="Standard Class"/>
    <x v="0"/>
    <s v="United States"/>
    <s v="Newark"/>
    <x v="13"/>
    <n v="19711"/>
    <x v="3"/>
    <x v="1"/>
    <x v="10"/>
    <n v="16.45"/>
    <n v="5"/>
    <n v="0"/>
    <n v="7.5670000000000002"/>
  </r>
  <r>
    <s v="Standard Class"/>
    <x v="0"/>
    <s v="United States"/>
    <s v="Newark"/>
    <x v="13"/>
    <n v="19711"/>
    <x v="3"/>
    <x v="0"/>
    <x v="5"/>
    <n v="19.920000000000002"/>
    <n v="4"/>
    <n v="0"/>
    <n v="6.5735999999999999"/>
  </r>
  <r>
    <s v="Standard Class"/>
    <x v="0"/>
    <s v="United States"/>
    <s v="Nashville"/>
    <x v="18"/>
    <n v="37211"/>
    <x v="0"/>
    <x v="2"/>
    <x v="11"/>
    <n v="35.167999999999999"/>
    <n v="4"/>
    <n v="0.2"/>
    <n v="8.3523999999999994"/>
  </r>
  <r>
    <s v="Standard Class"/>
    <x v="0"/>
    <s v="United States"/>
    <s v="Nashville"/>
    <x v="18"/>
    <n v="37211"/>
    <x v="0"/>
    <x v="1"/>
    <x v="10"/>
    <n v="123.08799999999999"/>
    <n v="7"/>
    <n v="0.2"/>
    <n v="40.003599999999999"/>
  </r>
  <r>
    <s v="Standard Class"/>
    <x v="2"/>
    <s v="United States"/>
    <s v="Richmond"/>
    <x v="14"/>
    <n v="47374"/>
    <x v="2"/>
    <x v="0"/>
    <x v="3"/>
    <n v="257.94"/>
    <n v="3"/>
    <n v="0"/>
    <n v="67.064400000000006"/>
  </r>
  <r>
    <s v="Standard Class"/>
    <x v="2"/>
    <s v="United States"/>
    <s v="Richmond"/>
    <x v="14"/>
    <n v="47374"/>
    <x v="2"/>
    <x v="2"/>
    <x v="7"/>
    <n v="1879.96"/>
    <n v="4"/>
    <n v="0"/>
    <n v="545.1884"/>
  </r>
  <r>
    <s v="Standard Class"/>
    <x v="2"/>
    <s v="United States"/>
    <s v="Richmond"/>
    <x v="14"/>
    <n v="47374"/>
    <x v="2"/>
    <x v="0"/>
    <x v="5"/>
    <n v="27.46"/>
    <n v="2"/>
    <n v="0"/>
    <n v="9.8856000000000002"/>
  </r>
  <r>
    <s v="Standard Class"/>
    <x v="2"/>
    <s v="United States"/>
    <s v="Richmond"/>
    <x v="14"/>
    <n v="47374"/>
    <x v="2"/>
    <x v="2"/>
    <x v="7"/>
    <n v="89.98"/>
    <n v="2"/>
    <n v="0"/>
    <n v="43.190399999999997"/>
  </r>
  <r>
    <s v="Standard Class"/>
    <x v="2"/>
    <s v="United States"/>
    <s v="Richmond"/>
    <x v="14"/>
    <n v="47374"/>
    <x v="2"/>
    <x v="0"/>
    <x v="1"/>
    <n v="828.6"/>
    <n v="3"/>
    <n v="0"/>
    <n v="240.29400000000001"/>
  </r>
  <r>
    <s v="Standard Class"/>
    <x v="0"/>
    <s v="United States"/>
    <s v="Miami"/>
    <x v="2"/>
    <n v="33180"/>
    <x v="0"/>
    <x v="1"/>
    <x v="8"/>
    <n v="7.23"/>
    <n v="5"/>
    <n v="0.7"/>
    <n v="-5.7839999999999998"/>
  </r>
  <r>
    <s v="Standard Class"/>
    <x v="0"/>
    <s v="United States"/>
    <s v="Miami"/>
    <x v="2"/>
    <n v="33180"/>
    <x v="0"/>
    <x v="1"/>
    <x v="4"/>
    <n v="17.440000000000001"/>
    <n v="2"/>
    <n v="0.2"/>
    <n v="1.3080000000000001"/>
  </r>
  <r>
    <s v="Standard Class"/>
    <x v="0"/>
    <s v="United States"/>
    <s v="Miami"/>
    <x v="2"/>
    <n v="33180"/>
    <x v="0"/>
    <x v="1"/>
    <x v="8"/>
    <n v="62.88"/>
    <n v="4"/>
    <n v="0.7"/>
    <n v="-50.304000000000002"/>
  </r>
  <r>
    <s v="Standard Class"/>
    <x v="0"/>
    <s v="United States"/>
    <s v="Miami"/>
    <x v="2"/>
    <n v="33180"/>
    <x v="0"/>
    <x v="0"/>
    <x v="0"/>
    <n v="290.35199999999998"/>
    <n v="3"/>
    <n v="0.2"/>
    <n v="-36.293999999999997"/>
  </r>
  <r>
    <s v="Same Day"/>
    <x v="0"/>
    <s v="United States"/>
    <s v="Saint Charles"/>
    <x v="25"/>
    <n v="63301"/>
    <x v="2"/>
    <x v="2"/>
    <x v="11"/>
    <n v="113.52"/>
    <n v="4"/>
    <n v="0"/>
    <n v="46.543199999999999"/>
  </r>
  <r>
    <s v="Same Day"/>
    <x v="0"/>
    <s v="United States"/>
    <s v="Saint Charles"/>
    <x v="25"/>
    <n v="63301"/>
    <x v="2"/>
    <x v="0"/>
    <x v="5"/>
    <n v="135.30000000000001"/>
    <n v="5"/>
    <n v="0"/>
    <n v="37.884"/>
  </r>
  <r>
    <s v="Standard Class"/>
    <x v="2"/>
    <s v="United States"/>
    <s v="Virginia Beach"/>
    <x v="17"/>
    <n v="23464"/>
    <x v="0"/>
    <x v="0"/>
    <x v="5"/>
    <n v="111.15"/>
    <n v="5"/>
    <n v="0"/>
    <n v="48.905999999999999"/>
  </r>
  <r>
    <s v="Standard Class"/>
    <x v="2"/>
    <s v="United States"/>
    <s v="Philadelphia"/>
    <x v="9"/>
    <n v="19140"/>
    <x v="3"/>
    <x v="2"/>
    <x v="7"/>
    <n v="776.85"/>
    <n v="5"/>
    <n v="0.4"/>
    <n v="-181.26499999999999"/>
  </r>
  <r>
    <s v="Standard Class"/>
    <x v="2"/>
    <s v="United States"/>
    <s v="Philadelphia"/>
    <x v="9"/>
    <n v="19140"/>
    <x v="3"/>
    <x v="1"/>
    <x v="8"/>
    <n v="12.294"/>
    <n v="1"/>
    <n v="0.7"/>
    <n v="-8.6058000000000003"/>
  </r>
  <r>
    <s v="Standard Class"/>
    <x v="2"/>
    <s v="United States"/>
    <s v="Philadelphia"/>
    <x v="9"/>
    <n v="19140"/>
    <x v="3"/>
    <x v="0"/>
    <x v="3"/>
    <n v="154.76400000000001"/>
    <n v="3"/>
    <n v="0.4"/>
    <n v="-46.429200000000002"/>
  </r>
  <r>
    <s v="Standard Class"/>
    <x v="2"/>
    <s v="United States"/>
    <s v="Philadelphia"/>
    <x v="9"/>
    <n v="19140"/>
    <x v="3"/>
    <x v="1"/>
    <x v="4"/>
    <n v="43.28"/>
    <n v="1"/>
    <n v="0.2"/>
    <n v="3.246"/>
  </r>
  <r>
    <s v="Standard Class"/>
    <x v="0"/>
    <s v="United States"/>
    <s v="Long Beach"/>
    <x v="15"/>
    <n v="11561"/>
    <x v="3"/>
    <x v="1"/>
    <x v="10"/>
    <n v="92.94"/>
    <n v="3"/>
    <n v="0"/>
    <n v="41.823"/>
  </r>
  <r>
    <s v="Standard Class"/>
    <x v="0"/>
    <s v="United States"/>
    <s v="Long Beach"/>
    <x v="15"/>
    <n v="11561"/>
    <x v="3"/>
    <x v="1"/>
    <x v="9"/>
    <n v="52.56"/>
    <n v="3"/>
    <n v="0"/>
    <n v="18.396000000000001"/>
  </r>
  <r>
    <s v="Standard Class"/>
    <x v="0"/>
    <s v="United States"/>
    <s v="Houston"/>
    <x v="5"/>
    <n v="77070"/>
    <x v="2"/>
    <x v="2"/>
    <x v="7"/>
    <n v="971.88"/>
    <n v="3"/>
    <n v="0.2"/>
    <n v="109.3365"/>
  </r>
  <r>
    <s v="Standard Class"/>
    <x v="2"/>
    <s v="United States"/>
    <s v="Tuscaloosa"/>
    <x v="19"/>
    <n v="35401"/>
    <x v="0"/>
    <x v="0"/>
    <x v="1"/>
    <n v="141.96"/>
    <n v="2"/>
    <n v="0"/>
    <n v="35.49"/>
  </r>
  <r>
    <s v="Second Class"/>
    <x v="0"/>
    <s v="United States"/>
    <s v="Mesa"/>
    <x v="16"/>
    <n v="85204"/>
    <x v="1"/>
    <x v="0"/>
    <x v="3"/>
    <n v="182.55"/>
    <n v="2"/>
    <n v="0.5"/>
    <n v="-135.08699999999999"/>
  </r>
  <r>
    <s v="Standard Class"/>
    <x v="1"/>
    <s v="United States"/>
    <s v="Jacksonville"/>
    <x v="3"/>
    <n v="28540"/>
    <x v="0"/>
    <x v="1"/>
    <x v="10"/>
    <n v="88.768000000000001"/>
    <n v="2"/>
    <n v="0.2"/>
    <n v="31.0688"/>
  </r>
  <r>
    <s v="Standard Class"/>
    <x v="0"/>
    <s v="United States"/>
    <s v="Chicago"/>
    <x v="10"/>
    <n v="60610"/>
    <x v="2"/>
    <x v="1"/>
    <x v="9"/>
    <n v="53.088000000000001"/>
    <n v="7"/>
    <n v="0.8"/>
    <n v="-108.8304"/>
  </r>
  <r>
    <s v="Second Class"/>
    <x v="0"/>
    <s v="United States"/>
    <s v="Columbus"/>
    <x v="32"/>
    <n v="31907"/>
    <x v="0"/>
    <x v="0"/>
    <x v="5"/>
    <n v="275.88"/>
    <n v="6"/>
    <n v="0"/>
    <n v="46.8996"/>
  </r>
  <r>
    <s v="Second Class"/>
    <x v="0"/>
    <s v="United States"/>
    <s v="Columbus"/>
    <x v="32"/>
    <n v="31907"/>
    <x v="0"/>
    <x v="1"/>
    <x v="8"/>
    <n v="157.9"/>
    <n v="5"/>
    <n v="0"/>
    <n v="74.212999999999994"/>
  </r>
  <r>
    <s v="Standard Class"/>
    <x v="0"/>
    <s v="United States"/>
    <s v="Orange"/>
    <x v="30"/>
    <n v="7050"/>
    <x v="3"/>
    <x v="1"/>
    <x v="2"/>
    <n v="4.91"/>
    <n v="1"/>
    <n v="0"/>
    <n v="2.4058999999999999"/>
  </r>
  <r>
    <s v="Second Class"/>
    <x v="0"/>
    <s v="United States"/>
    <s v="Los Angeles"/>
    <x v="1"/>
    <n v="90032"/>
    <x v="1"/>
    <x v="1"/>
    <x v="4"/>
    <n v="87.92"/>
    <n v="4"/>
    <n v="0"/>
    <n v="0.87919999999999998"/>
  </r>
  <r>
    <s v="Second Class"/>
    <x v="0"/>
    <s v="United States"/>
    <s v="Los Angeles"/>
    <x v="1"/>
    <n v="90032"/>
    <x v="1"/>
    <x v="1"/>
    <x v="10"/>
    <n v="5.98"/>
    <n v="1"/>
    <n v="0"/>
    <n v="2.9302000000000001"/>
  </r>
  <r>
    <s v="Second Class"/>
    <x v="2"/>
    <s v="United States"/>
    <s v="Chicago"/>
    <x v="10"/>
    <n v="60623"/>
    <x v="2"/>
    <x v="2"/>
    <x v="7"/>
    <n v="222.38399999999999"/>
    <n v="2"/>
    <n v="0.2"/>
    <n v="16.678799999999999"/>
  </r>
  <r>
    <s v="Second Class"/>
    <x v="2"/>
    <s v="United States"/>
    <s v="Chicago"/>
    <x v="10"/>
    <n v="60623"/>
    <x v="2"/>
    <x v="1"/>
    <x v="13"/>
    <n v="16"/>
    <n v="4"/>
    <n v="0.2"/>
    <n v="5.6"/>
  </r>
  <r>
    <s v="Standard Class"/>
    <x v="0"/>
    <s v="United States"/>
    <s v="Richmond"/>
    <x v="17"/>
    <n v="23223"/>
    <x v="0"/>
    <x v="1"/>
    <x v="10"/>
    <n v="21.84"/>
    <n v="3"/>
    <n v="0"/>
    <n v="10.92"/>
  </r>
  <r>
    <s v="Standard Class"/>
    <x v="0"/>
    <s v="United States"/>
    <s v="Richmond"/>
    <x v="17"/>
    <n v="23223"/>
    <x v="0"/>
    <x v="1"/>
    <x v="8"/>
    <n v="15.6"/>
    <n v="5"/>
    <n v="0"/>
    <n v="7.6440000000000001"/>
  </r>
  <r>
    <s v="Second Class"/>
    <x v="1"/>
    <s v="United States"/>
    <s v="Troy"/>
    <x v="15"/>
    <n v="12180"/>
    <x v="3"/>
    <x v="1"/>
    <x v="12"/>
    <n v="247.84"/>
    <n v="8"/>
    <n v="0"/>
    <n v="121.44159999999999"/>
  </r>
  <r>
    <s v="Second Class"/>
    <x v="1"/>
    <s v="United States"/>
    <s v="Troy"/>
    <x v="15"/>
    <n v="12180"/>
    <x v="3"/>
    <x v="1"/>
    <x v="8"/>
    <n v="9.9120000000000008"/>
    <n v="3"/>
    <n v="0.2"/>
    <n v="3.3452999999999999"/>
  </r>
  <r>
    <s v="First Class"/>
    <x v="0"/>
    <s v="United States"/>
    <s v="Providence"/>
    <x v="34"/>
    <n v="2908"/>
    <x v="3"/>
    <x v="1"/>
    <x v="4"/>
    <n v="69.52"/>
    <n v="2"/>
    <n v="0"/>
    <n v="17.38"/>
  </r>
  <r>
    <s v="Second Class"/>
    <x v="0"/>
    <s v="United States"/>
    <s v="San Francisco"/>
    <x v="1"/>
    <n v="94122"/>
    <x v="1"/>
    <x v="1"/>
    <x v="6"/>
    <n v="11.52"/>
    <n v="4"/>
    <n v="0"/>
    <n v="3.2256"/>
  </r>
  <r>
    <s v="Second Class"/>
    <x v="0"/>
    <s v="United States"/>
    <s v="San Francisco"/>
    <x v="1"/>
    <n v="94122"/>
    <x v="1"/>
    <x v="0"/>
    <x v="1"/>
    <n v="717.72"/>
    <n v="3"/>
    <n v="0.2"/>
    <n v="71.772000000000006"/>
  </r>
  <r>
    <s v="Second Class"/>
    <x v="0"/>
    <s v="United States"/>
    <s v="San Francisco"/>
    <x v="1"/>
    <n v="94122"/>
    <x v="1"/>
    <x v="1"/>
    <x v="4"/>
    <n v="236.5"/>
    <n v="10"/>
    <n v="0"/>
    <n v="68.584999999999994"/>
  </r>
  <r>
    <s v="Second Class"/>
    <x v="0"/>
    <s v="United States"/>
    <s v="San Francisco"/>
    <x v="1"/>
    <n v="94122"/>
    <x v="1"/>
    <x v="0"/>
    <x v="3"/>
    <n v="170.352"/>
    <n v="3"/>
    <n v="0.2"/>
    <n v="19.1646"/>
  </r>
  <r>
    <s v="Standard Class"/>
    <x v="0"/>
    <s v="United States"/>
    <s v="New York City"/>
    <x v="15"/>
    <n v="10009"/>
    <x v="3"/>
    <x v="0"/>
    <x v="1"/>
    <n v="145.76400000000001"/>
    <n v="2"/>
    <n v="0.1"/>
    <n v="3.2391999999999999"/>
  </r>
  <r>
    <s v="Second Class"/>
    <x v="0"/>
    <s v="United States"/>
    <s v="San Francisco"/>
    <x v="1"/>
    <n v="94109"/>
    <x v="1"/>
    <x v="2"/>
    <x v="11"/>
    <n v="107.97"/>
    <n v="3"/>
    <n v="0"/>
    <n v="22.6737"/>
  </r>
  <r>
    <s v="Standard Class"/>
    <x v="1"/>
    <s v="United States"/>
    <s v="Houston"/>
    <x v="5"/>
    <n v="77070"/>
    <x v="2"/>
    <x v="2"/>
    <x v="11"/>
    <n v="143.96"/>
    <n v="5"/>
    <n v="0.2"/>
    <n v="1.7995000000000001"/>
  </r>
  <r>
    <s v="Standard Class"/>
    <x v="1"/>
    <s v="United States"/>
    <s v="Houston"/>
    <x v="5"/>
    <n v="77070"/>
    <x v="2"/>
    <x v="2"/>
    <x v="16"/>
    <n v="2399.96"/>
    <n v="5"/>
    <n v="0.2"/>
    <n v="569.9905"/>
  </r>
  <r>
    <s v="Standard Class"/>
    <x v="1"/>
    <s v="United States"/>
    <s v="Houston"/>
    <x v="5"/>
    <n v="77070"/>
    <x v="2"/>
    <x v="1"/>
    <x v="10"/>
    <n v="74.352000000000004"/>
    <n v="3"/>
    <n v="0.2"/>
    <n v="23.234999999999999"/>
  </r>
  <r>
    <s v="Standard Class"/>
    <x v="1"/>
    <s v="United States"/>
    <s v="Houston"/>
    <x v="5"/>
    <n v="77070"/>
    <x v="2"/>
    <x v="1"/>
    <x v="9"/>
    <n v="87.168000000000006"/>
    <n v="8"/>
    <n v="0.8"/>
    <n v="-226.63679999999999"/>
  </r>
  <r>
    <s v="Standard Class"/>
    <x v="1"/>
    <s v="United States"/>
    <s v="Houston"/>
    <x v="5"/>
    <n v="77070"/>
    <x v="2"/>
    <x v="1"/>
    <x v="4"/>
    <n v="32.231999999999999"/>
    <n v="3"/>
    <n v="0.2"/>
    <n v="2.4174000000000002"/>
  </r>
  <r>
    <s v="Standard Class"/>
    <x v="1"/>
    <s v="United States"/>
    <s v="Philadelphia"/>
    <x v="9"/>
    <n v="19140"/>
    <x v="3"/>
    <x v="1"/>
    <x v="8"/>
    <n v="2.202"/>
    <n v="2"/>
    <n v="0.7"/>
    <n v="-1.5414000000000001"/>
  </r>
  <r>
    <s v="Standard Class"/>
    <x v="1"/>
    <s v="United States"/>
    <s v="Philadelphia"/>
    <x v="9"/>
    <n v="19140"/>
    <x v="3"/>
    <x v="1"/>
    <x v="8"/>
    <n v="9.3960000000000008"/>
    <n v="3"/>
    <n v="0.7"/>
    <n v="-7.5167999999999999"/>
  </r>
  <r>
    <s v="Standard Class"/>
    <x v="0"/>
    <s v="United States"/>
    <s v="Baltimore"/>
    <x v="39"/>
    <n v="21215"/>
    <x v="3"/>
    <x v="2"/>
    <x v="7"/>
    <n v="89.97"/>
    <n v="3"/>
    <n v="0"/>
    <n v="25.191600000000001"/>
  </r>
  <r>
    <s v="First Class"/>
    <x v="1"/>
    <s v="United States"/>
    <s v="Athens"/>
    <x v="32"/>
    <n v="30605"/>
    <x v="0"/>
    <x v="1"/>
    <x v="6"/>
    <n v="12.78"/>
    <n v="3"/>
    <n v="0"/>
    <n v="5.2397999999999998"/>
  </r>
  <r>
    <s v="Second Class"/>
    <x v="0"/>
    <s v="United States"/>
    <s v="Lancaster"/>
    <x v="24"/>
    <n v="43130"/>
    <x v="3"/>
    <x v="2"/>
    <x v="11"/>
    <n v="40"/>
    <n v="2"/>
    <n v="0.2"/>
    <n v="0.5"/>
  </r>
  <r>
    <s v="Standard Class"/>
    <x v="2"/>
    <s v="United States"/>
    <s v="Los Angeles"/>
    <x v="1"/>
    <n v="90032"/>
    <x v="1"/>
    <x v="1"/>
    <x v="8"/>
    <n v="23.24"/>
    <n v="5"/>
    <n v="0.2"/>
    <n v="7.5529999999999999"/>
  </r>
  <r>
    <s v="First Class"/>
    <x v="0"/>
    <s v="United States"/>
    <s v="Baltimore"/>
    <x v="39"/>
    <n v="21215"/>
    <x v="3"/>
    <x v="0"/>
    <x v="1"/>
    <n v="908.82"/>
    <n v="9"/>
    <n v="0"/>
    <n v="227.20500000000001"/>
  </r>
  <r>
    <s v="Standard Class"/>
    <x v="2"/>
    <s v="United States"/>
    <s v="Houston"/>
    <x v="5"/>
    <n v="77095"/>
    <x v="2"/>
    <x v="1"/>
    <x v="14"/>
    <n v="5.5519999999999996"/>
    <n v="2"/>
    <n v="0.2"/>
    <n v="-1.0409999999999999"/>
  </r>
  <r>
    <s v="Standard Class"/>
    <x v="2"/>
    <s v="United States"/>
    <s v="Houston"/>
    <x v="5"/>
    <n v="77095"/>
    <x v="2"/>
    <x v="1"/>
    <x v="6"/>
    <n v="8.016"/>
    <n v="3"/>
    <n v="0.2"/>
    <n v="1.002"/>
  </r>
  <r>
    <s v="Standard Class"/>
    <x v="2"/>
    <s v="United States"/>
    <s v="Houston"/>
    <x v="5"/>
    <n v="77095"/>
    <x v="2"/>
    <x v="0"/>
    <x v="1"/>
    <n v="74.591999999999999"/>
    <n v="4"/>
    <n v="0.3"/>
    <n v="-2.1312000000000002"/>
  </r>
  <r>
    <s v="Standard Class"/>
    <x v="2"/>
    <s v="United States"/>
    <s v="Houston"/>
    <x v="5"/>
    <n v="77095"/>
    <x v="2"/>
    <x v="0"/>
    <x v="5"/>
    <n v="16.783999999999999"/>
    <n v="2"/>
    <n v="0.6"/>
    <n v="-22.238800000000001"/>
  </r>
  <r>
    <s v="Standard Class"/>
    <x v="2"/>
    <s v="United States"/>
    <s v="Houston"/>
    <x v="5"/>
    <n v="77095"/>
    <x v="2"/>
    <x v="1"/>
    <x v="9"/>
    <n v="38.863999999999997"/>
    <n v="4"/>
    <n v="0.8"/>
    <n v="-99.103200000000001"/>
  </r>
  <r>
    <s v="First Class"/>
    <x v="2"/>
    <s v="United States"/>
    <s v="San Diego"/>
    <x v="1"/>
    <n v="92024"/>
    <x v="1"/>
    <x v="2"/>
    <x v="7"/>
    <n v="203.976"/>
    <n v="3"/>
    <n v="0.2"/>
    <n v="25.497"/>
  </r>
  <r>
    <s v="First Class"/>
    <x v="2"/>
    <s v="United States"/>
    <s v="San Diego"/>
    <x v="1"/>
    <n v="92024"/>
    <x v="1"/>
    <x v="0"/>
    <x v="3"/>
    <n v="674.35199999999998"/>
    <n v="3"/>
    <n v="0.2"/>
    <n v="-8.4293999999999993"/>
  </r>
  <r>
    <s v="Second Class"/>
    <x v="0"/>
    <s v="United States"/>
    <s v="Hialeah"/>
    <x v="2"/>
    <n v="33012"/>
    <x v="0"/>
    <x v="1"/>
    <x v="8"/>
    <n v="5.3879999999999999"/>
    <n v="4"/>
    <n v="0.7"/>
    <n v="-4.49"/>
  </r>
  <r>
    <s v="Second Class"/>
    <x v="0"/>
    <s v="United States"/>
    <s v="Hialeah"/>
    <x v="2"/>
    <n v="33012"/>
    <x v="0"/>
    <x v="1"/>
    <x v="6"/>
    <n v="30.975999999999999"/>
    <n v="8"/>
    <n v="0.2"/>
    <n v="5.0335999999999999"/>
  </r>
  <r>
    <s v="First Class"/>
    <x v="0"/>
    <s v="United States"/>
    <s v="Atlanta"/>
    <x v="32"/>
    <n v="30318"/>
    <x v="0"/>
    <x v="1"/>
    <x v="4"/>
    <n v="1350.12"/>
    <n v="6"/>
    <n v="0"/>
    <n v="175.51560000000001"/>
  </r>
  <r>
    <s v="First Class"/>
    <x v="0"/>
    <s v="United States"/>
    <s v="Atlanta"/>
    <x v="32"/>
    <n v="30318"/>
    <x v="0"/>
    <x v="1"/>
    <x v="8"/>
    <n v="15.92"/>
    <n v="4"/>
    <n v="0"/>
    <n v="7.4824000000000002"/>
  </r>
  <r>
    <s v="Standard Class"/>
    <x v="2"/>
    <s v="United States"/>
    <s v="Seattle"/>
    <x v="4"/>
    <n v="98103"/>
    <x v="1"/>
    <x v="0"/>
    <x v="5"/>
    <n v="19.54"/>
    <n v="2"/>
    <n v="0"/>
    <n v="7.2298"/>
  </r>
  <r>
    <s v="Standard Class"/>
    <x v="2"/>
    <s v="United States"/>
    <s v="Los Angeles"/>
    <x v="1"/>
    <n v="90036"/>
    <x v="1"/>
    <x v="1"/>
    <x v="6"/>
    <n v="21.4"/>
    <n v="5"/>
    <n v="0"/>
    <n v="6.2060000000000004"/>
  </r>
  <r>
    <s v="Standard Class"/>
    <x v="2"/>
    <s v="United States"/>
    <s v="Los Angeles"/>
    <x v="1"/>
    <n v="90036"/>
    <x v="1"/>
    <x v="1"/>
    <x v="2"/>
    <n v="12.6"/>
    <n v="2"/>
    <n v="0"/>
    <n v="5.7960000000000003"/>
  </r>
  <r>
    <s v="Standard Class"/>
    <x v="2"/>
    <s v="United States"/>
    <s v="New York City"/>
    <x v="15"/>
    <n v="10035"/>
    <x v="3"/>
    <x v="1"/>
    <x v="6"/>
    <n v="11.96"/>
    <n v="2"/>
    <n v="0"/>
    <n v="3.1095999999999999"/>
  </r>
  <r>
    <s v="Standard Class"/>
    <x v="2"/>
    <s v="United States"/>
    <s v="New York City"/>
    <x v="15"/>
    <n v="10035"/>
    <x v="3"/>
    <x v="2"/>
    <x v="7"/>
    <n v="138"/>
    <n v="2"/>
    <n v="0"/>
    <n v="34.5"/>
  </r>
  <r>
    <s v="Standard Class"/>
    <x v="0"/>
    <s v="United States"/>
    <s v="Fort Lauderdale"/>
    <x v="2"/>
    <n v="33311"/>
    <x v="0"/>
    <x v="2"/>
    <x v="7"/>
    <n v="116.76"/>
    <n v="1"/>
    <n v="0.2"/>
    <n v="14.595000000000001"/>
  </r>
  <r>
    <s v="Standard Class"/>
    <x v="0"/>
    <s v="United States"/>
    <s v="Fort Lauderdale"/>
    <x v="2"/>
    <n v="33311"/>
    <x v="0"/>
    <x v="0"/>
    <x v="3"/>
    <n v="331.02300000000002"/>
    <n v="7"/>
    <n v="0.45"/>
    <n v="-114.35339999999999"/>
  </r>
  <r>
    <s v="Same Day"/>
    <x v="1"/>
    <s v="United States"/>
    <s v="Rochester"/>
    <x v="15"/>
    <n v="14609"/>
    <x v="3"/>
    <x v="0"/>
    <x v="5"/>
    <n v="756.8"/>
    <n v="5"/>
    <n v="0"/>
    <n v="75.680000000000007"/>
  </r>
  <r>
    <s v="Standard Class"/>
    <x v="2"/>
    <s v="United States"/>
    <s v="Saint Charles"/>
    <x v="10"/>
    <n v="60174"/>
    <x v="2"/>
    <x v="0"/>
    <x v="5"/>
    <n v="8.7360000000000007"/>
    <n v="3"/>
    <n v="0.6"/>
    <n v="-4.8048000000000002"/>
  </r>
  <r>
    <s v="Standard Class"/>
    <x v="0"/>
    <s v="United States"/>
    <s v="New York City"/>
    <x v="15"/>
    <n v="10024"/>
    <x v="3"/>
    <x v="1"/>
    <x v="6"/>
    <n v="6.08"/>
    <n v="2"/>
    <n v="0"/>
    <n v="2.0672000000000001"/>
  </r>
  <r>
    <s v="Standard Class"/>
    <x v="0"/>
    <s v="United States"/>
    <s v="San Francisco"/>
    <x v="1"/>
    <n v="94109"/>
    <x v="1"/>
    <x v="0"/>
    <x v="5"/>
    <n v="17.46"/>
    <n v="2"/>
    <n v="0"/>
    <n v="5.9363999999999999"/>
  </r>
  <r>
    <s v="Standard Class"/>
    <x v="0"/>
    <s v="United States"/>
    <s v="San Francisco"/>
    <x v="1"/>
    <n v="94109"/>
    <x v="1"/>
    <x v="2"/>
    <x v="15"/>
    <n v="369.16"/>
    <n v="11"/>
    <n v="0.2"/>
    <n v="32.301499999999997"/>
  </r>
  <r>
    <s v="First Class"/>
    <x v="1"/>
    <s v="United States"/>
    <s v="Phoenix"/>
    <x v="16"/>
    <n v="85023"/>
    <x v="1"/>
    <x v="1"/>
    <x v="6"/>
    <n v="2.9119999999999999"/>
    <n v="2"/>
    <n v="0.2"/>
    <n v="0.91"/>
  </r>
  <r>
    <s v="First Class"/>
    <x v="1"/>
    <s v="United States"/>
    <s v="Phoenix"/>
    <x v="16"/>
    <n v="85023"/>
    <x v="1"/>
    <x v="1"/>
    <x v="10"/>
    <n v="20.736000000000001"/>
    <n v="4"/>
    <n v="0.2"/>
    <n v="7.2576000000000001"/>
  </r>
  <r>
    <s v="First Class"/>
    <x v="1"/>
    <s v="United States"/>
    <s v="Phoenix"/>
    <x v="16"/>
    <n v="85023"/>
    <x v="1"/>
    <x v="1"/>
    <x v="10"/>
    <n v="9.5679999999999996"/>
    <n v="2"/>
    <n v="0.2"/>
    <n v="2.99"/>
  </r>
  <r>
    <s v="Standard Class"/>
    <x v="1"/>
    <s v="United States"/>
    <s v="Seattle"/>
    <x v="4"/>
    <n v="98115"/>
    <x v="1"/>
    <x v="1"/>
    <x v="10"/>
    <n v="30.18"/>
    <n v="3"/>
    <n v="0"/>
    <n v="13.8828"/>
  </r>
  <r>
    <s v="Standard Class"/>
    <x v="1"/>
    <s v="United States"/>
    <s v="Seattle"/>
    <x v="4"/>
    <n v="98115"/>
    <x v="1"/>
    <x v="1"/>
    <x v="8"/>
    <n v="51.648000000000003"/>
    <n v="12"/>
    <n v="0.2"/>
    <n v="18.7224"/>
  </r>
  <r>
    <s v="Standard Class"/>
    <x v="1"/>
    <s v="United States"/>
    <s v="Seattle"/>
    <x v="4"/>
    <n v="98115"/>
    <x v="1"/>
    <x v="1"/>
    <x v="8"/>
    <n v="11.231999999999999"/>
    <n v="3"/>
    <n v="0.2"/>
    <n v="3.9312"/>
  </r>
  <r>
    <s v="Standard Class"/>
    <x v="0"/>
    <s v="United States"/>
    <s v="Camarillo"/>
    <x v="1"/>
    <n v="93010"/>
    <x v="1"/>
    <x v="1"/>
    <x v="2"/>
    <n v="14.73"/>
    <n v="3"/>
    <n v="0"/>
    <n v="7.2176999999999998"/>
  </r>
  <r>
    <s v="Second Class"/>
    <x v="1"/>
    <s v="United States"/>
    <s v="Detroit"/>
    <x v="12"/>
    <n v="48205"/>
    <x v="2"/>
    <x v="1"/>
    <x v="6"/>
    <n v="16.399999999999999"/>
    <n v="5"/>
    <n v="0"/>
    <n v="4.7560000000000002"/>
  </r>
  <r>
    <s v="Second Class"/>
    <x v="1"/>
    <s v="United States"/>
    <s v="Detroit"/>
    <x v="12"/>
    <n v="48205"/>
    <x v="2"/>
    <x v="1"/>
    <x v="10"/>
    <n v="25.92"/>
    <n v="4"/>
    <n v="0"/>
    <n v="12.441599999999999"/>
  </r>
  <r>
    <s v="First Class"/>
    <x v="0"/>
    <s v="United States"/>
    <s v="San Francisco"/>
    <x v="1"/>
    <n v="94109"/>
    <x v="1"/>
    <x v="1"/>
    <x v="6"/>
    <n v="8.82"/>
    <n v="3"/>
    <n v="0"/>
    <n v="2.5577999999999999"/>
  </r>
  <r>
    <s v="First Class"/>
    <x v="0"/>
    <s v="United States"/>
    <s v="San Francisco"/>
    <x v="1"/>
    <n v="94109"/>
    <x v="1"/>
    <x v="1"/>
    <x v="8"/>
    <n v="62.496000000000002"/>
    <n v="2"/>
    <n v="0.2"/>
    <n v="21.8736"/>
  </r>
  <r>
    <s v="First Class"/>
    <x v="0"/>
    <s v="United States"/>
    <s v="San Francisco"/>
    <x v="1"/>
    <n v="94109"/>
    <x v="1"/>
    <x v="2"/>
    <x v="11"/>
    <n v="339.96"/>
    <n v="4"/>
    <n v="0"/>
    <n v="122.3856"/>
  </r>
  <r>
    <s v="First Class"/>
    <x v="0"/>
    <s v="United States"/>
    <s v="San Francisco"/>
    <x v="1"/>
    <n v="94109"/>
    <x v="1"/>
    <x v="1"/>
    <x v="8"/>
    <n v="49.567999999999998"/>
    <n v="2"/>
    <n v="0.2"/>
    <n v="17.348800000000001"/>
  </r>
  <r>
    <s v="Standard Class"/>
    <x v="0"/>
    <s v="United States"/>
    <s v="Philadelphia"/>
    <x v="9"/>
    <n v="19140"/>
    <x v="3"/>
    <x v="1"/>
    <x v="8"/>
    <n v="274.49099999999999"/>
    <n v="3"/>
    <n v="0.7"/>
    <n v="-228.74250000000001"/>
  </r>
  <r>
    <s v="Standard Class"/>
    <x v="0"/>
    <s v="United States"/>
    <s v="New York City"/>
    <x v="15"/>
    <n v="10035"/>
    <x v="3"/>
    <x v="2"/>
    <x v="7"/>
    <n v="137.94"/>
    <n v="3"/>
    <n v="0"/>
    <n v="35.864400000000003"/>
  </r>
  <r>
    <s v="Standard Class"/>
    <x v="0"/>
    <s v="United States"/>
    <s v="Chicago"/>
    <x v="10"/>
    <n v="60623"/>
    <x v="2"/>
    <x v="2"/>
    <x v="11"/>
    <n v="40.68"/>
    <n v="3"/>
    <n v="0.2"/>
    <n v="-7.1189999999999998"/>
  </r>
  <r>
    <s v="Standard Class"/>
    <x v="0"/>
    <s v="United States"/>
    <s v="San Francisco"/>
    <x v="1"/>
    <n v="94122"/>
    <x v="1"/>
    <x v="2"/>
    <x v="7"/>
    <n v="110.376"/>
    <n v="3"/>
    <n v="0.2"/>
    <n v="12.417299999999999"/>
  </r>
  <r>
    <s v="Standard Class"/>
    <x v="0"/>
    <s v="United States"/>
    <s v="San Francisco"/>
    <x v="1"/>
    <n v="94122"/>
    <x v="1"/>
    <x v="1"/>
    <x v="9"/>
    <n v="151.62"/>
    <n v="7"/>
    <n v="0"/>
    <n v="50.034599999999998"/>
  </r>
  <r>
    <s v="Standard Class"/>
    <x v="0"/>
    <s v="United States"/>
    <s v="San Francisco"/>
    <x v="1"/>
    <n v="94122"/>
    <x v="1"/>
    <x v="0"/>
    <x v="5"/>
    <n v="30.8"/>
    <n v="4"/>
    <n v="0"/>
    <n v="10.164"/>
  </r>
  <r>
    <s v="Standard Class"/>
    <x v="1"/>
    <s v="United States"/>
    <s v="Philadelphia"/>
    <x v="9"/>
    <n v="19134"/>
    <x v="3"/>
    <x v="1"/>
    <x v="10"/>
    <n v="123.92"/>
    <n v="5"/>
    <n v="0.2"/>
    <n v="38.725000000000001"/>
  </r>
  <r>
    <s v="Standard Class"/>
    <x v="1"/>
    <s v="United States"/>
    <s v="Philadelphia"/>
    <x v="9"/>
    <n v="19134"/>
    <x v="3"/>
    <x v="2"/>
    <x v="11"/>
    <n v="1319.8"/>
    <n v="5"/>
    <n v="0.2"/>
    <n v="214.4675"/>
  </r>
  <r>
    <s v="First Class"/>
    <x v="0"/>
    <s v="United States"/>
    <s v="San Francisco"/>
    <x v="1"/>
    <n v="94122"/>
    <x v="1"/>
    <x v="1"/>
    <x v="8"/>
    <n v="89.712000000000003"/>
    <n v="6"/>
    <n v="0.2"/>
    <n v="30.277799999999999"/>
  </r>
  <r>
    <s v="First Class"/>
    <x v="0"/>
    <s v="United States"/>
    <s v="San Francisco"/>
    <x v="1"/>
    <n v="94122"/>
    <x v="1"/>
    <x v="1"/>
    <x v="10"/>
    <n v="22.83"/>
    <n v="3"/>
    <n v="0"/>
    <n v="10.7301"/>
  </r>
  <r>
    <s v="First Class"/>
    <x v="0"/>
    <s v="United States"/>
    <s v="Fairfield"/>
    <x v="29"/>
    <n v="6824"/>
    <x v="3"/>
    <x v="1"/>
    <x v="8"/>
    <n v="30.88"/>
    <n v="2"/>
    <n v="0"/>
    <n v="15.44"/>
  </r>
  <r>
    <s v="First Class"/>
    <x v="0"/>
    <s v="United States"/>
    <s v="Fairfield"/>
    <x v="29"/>
    <n v="6824"/>
    <x v="3"/>
    <x v="1"/>
    <x v="9"/>
    <n v="465.16"/>
    <n v="2"/>
    <n v="0"/>
    <n v="120.94159999999999"/>
  </r>
  <r>
    <s v="First Class"/>
    <x v="0"/>
    <s v="United States"/>
    <s v="Fairfield"/>
    <x v="29"/>
    <n v="6824"/>
    <x v="3"/>
    <x v="1"/>
    <x v="10"/>
    <n v="27.12"/>
    <n v="4"/>
    <n v="0"/>
    <n v="12.475199999999999"/>
  </r>
  <r>
    <s v="Standard Class"/>
    <x v="0"/>
    <s v="United States"/>
    <s v="New York City"/>
    <x v="15"/>
    <n v="10011"/>
    <x v="3"/>
    <x v="0"/>
    <x v="5"/>
    <n v="113.6"/>
    <n v="8"/>
    <n v="0"/>
    <n v="44.304000000000002"/>
  </r>
  <r>
    <s v="Standard Class"/>
    <x v="0"/>
    <s v="United States"/>
    <s v="New York City"/>
    <x v="15"/>
    <n v="10011"/>
    <x v="3"/>
    <x v="1"/>
    <x v="10"/>
    <n v="12.96"/>
    <n v="2"/>
    <n v="0"/>
    <n v="6.3503999999999996"/>
  </r>
  <r>
    <s v="Standard Class"/>
    <x v="0"/>
    <s v="United States"/>
    <s v="New York City"/>
    <x v="15"/>
    <n v="10011"/>
    <x v="3"/>
    <x v="1"/>
    <x v="8"/>
    <n v="69.456000000000003"/>
    <n v="2"/>
    <n v="0.2"/>
    <n v="22.5732"/>
  </r>
  <r>
    <s v="First Class"/>
    <x v="0"/>
    <s v="United States"/>
    <s v="Los Angeles"/>
    <x v="1"/>
    <n v="90049"/>
    <x v="1"/>
    <x v="1"/>
    <x v="6"/>
    <n v="8.64"/>
    <n v="3"/>
    <n v="0"/>
    <n v="2.4192"/>
  </r>
  <r>
    <s v="Same Day"/>
    <x v="1"/>
    <s v="United States"/>
    <s v="Philadelphia"/>
    <x v="9"/>
    <n v="19143"/>
    <x v="3"/>
    <x v="2"/>
    <x v="15"/>
    <n v="341.99099999999999"/>
    <n v="3"/>
    <n v="0.7"/>
    <n v="-319.19159999999999"/>
  </r>
  <r>
    <s v="Standard Class"/>
    <x v="0"/>
    <s v="United States"/>
    <s v="San Jose"/>
    <x v="1"/>
    <n v="95123"/>
    <x v="1"/>
    <x v="0"/>
    <x v="5"/>
    <n v="43.96"/>
    <n v="7"/>
    <n v="0"/>
    <n v="18.463200000000001"/>
  </r>
  <r>
    <s v="Standard Class"/>
    <x v="0"/>
    <s v="United States"/>
    <s v="San Jose"/>
    <x v="1"/>
    <n v="95123"/>
    <x v="1"/>
    <x v="1"/>
    <x v="12"/>
    <n v="39.76"/>
    <n v="7"/>
    <n v="0"/>
    <n v="18.687200000000001"/>
  </r>
  <r>
    <s v="Second Class"/>
    <x v="0"/>
    <s v="United States"/>
    <s v="Pasadena"/>
    <x v="1"/>
    <n v="91104"/>
    <x v="1"/>
    <x v="0"/>
    <x v="5"/>
    <n v="66.36"/>
    <n v="7"/>
    <n v="0"/>
    <n v="26.544"/>
  </r>
  <r>
    <s v="Second Class"/>
    <x v="0"/>
    <s v="United States"/>
    <s v="Pasadena"/>
    <x v="1"/>
    <n v="91104"/>
    <x v="1"/>
    <x v="1"/>
    <x v="8"/>
    <n v="92.88"/>
    <n v="6"/>
    <n v="0.2"/>
    <n v="30.186"/>
  </r>
  <r>
    <s v="Second Class"/>
    <x v="0"/>
    <s v="United States"/>
    <s v="Pasadena"/>
    <x v="1"/>
    <n v="91104"/>
    <x v="1"/>
    <x v="0"/>
    <x v="5"/>
    <n v="24.14"/>
    <n v="2"/>
    <n v="0"/>
    <n v="7.9661999999999997"/>
  </r>
  <r>
    <s v="Second Class"/>
    <x v="0"/>
    <s v="United States"/>
    <s v="Philadelphia"/>
    <x v="9"/>
    <n v="19134"/>
    <x v="3"/>
    <x v="0"/>
    <x v="1"/>
    <n v="4416.174"/>
    <n v="9"/>
    <n v="0.3"/>
    <n v="-630.88199999999995"/>
  </r>
  <r>
    <s v="First Class"/>
    <x v="0"/>
    <s v="United States"/>
    <s v="Los Angeles"/>
    <x v="1"/>
    <n v="90049"/>
    <x v="1"/>
    <x v="1"/>
    <x v="6"/>
    <n v="49.56"/>
    <n v="7"/>
    <n v="0"/>
    <n v="18.832799999999999"/>
  </r>
  <r>
    <s v="Standard Class"/>
    <x v="0"/>
    <s v="United States"/>
    <s v="Los Angeles"/>
    <x v="1"/>
    <n v="90032"/>
    <x v="1"/>
    <x v="1"/>
    <x v="4"/>
    <n v="354.9"/>
    <n v="5"/>
    <n v="0"/>
    <n v="17.745000000000001"/>
  </r>
  <r>
    <s v="Standard Class"/>
    <x v="1"/>
    <s v="United States"/>
    <s v="Columbus"/>
    <x v="24"/>
    <n v="43229"/>
    <x v="3"/>
    <x v="1"/>
    <x v="2"/>
    <n v="15.12"/>
    <n v="3"/>
    <n v="0.2"/>
    <n v="4.9139999999999997"/>
  </r>
  <r>
    <s v="Standard Class"/>
    <x v="1"/>
    <s v="United States"/>
    <s v="Columbus"/>
    <x v="24"/>
    <n v="43229"/>
    <x v="3"/>
    <x v="0"/>
    <x v="0"/>
    <n v="302.45"/>
    <n v="5"/>
    <n v="0.5"/>
    <n v="-199.61699999999999"/>
  </r>
  <r>
    <s v="Standard Class"/>
    <x v="1"/>
    <s v="United States"/>
    <s v="Columbus"/>
    <x v="24"/>
    <n v="43229"/>
    <x v="3"/>
    <x v="1"/>
    <x v="4"/>
    <n v="44.671999999999997"/>
    <n v="8"/>
    <n v="0.2"/>
    <n v="-10.0512"/>
  </r>
  <r>
    <s v="Second Class"/>
    <x v="0"/>
    <s v="United States"/>
    <s v="Los Angeles"/>
    <x v="1"/>
    <n v="90008"/>
    <x v="1"/>
    <x v="2"/>
    <x v="11"/>
    <n v="119.98"/>
    <n v="2"/>
    <n v="0"/>
    <n v="35.994"/>
  </r>
  <r>
    <s v="Second Class"/>
    <x v="0"/>
    <s v="United States"/>
    <s v="Los Angeles"/>
    <x v="1"/>
    <n v="90008"/>
    <x v="1"/>
    <x v="2"/>
    <x v="11"/>
    <n v="989.97"/>
    <n v="3"/>
    <n v="0"/>
    <n v="395.988"/>
  </r>
  <r>
    <s v="Standard Class"/>
    <x v="1"/>
    <s v="United States"/>
    <s v="Hollywood"/>
    <x v="2"/>
    <n v="33021"/>
    <x v="0"/>
    <x v="1"/>
    <x v="2"/>
    <n v="9.2159999999999993"/>
    <n v="4"/>
    <n v="0.2"/>
    <n v="3.3408000000000002"/>
  </r>
  <r>
    <s v="Standard Class"/>
    <x v="1"/>
    <s v="United States"/>
    <s v="Roseville"/>
    <x v="12"/>
    <n v="48066"/>
    <x v="2"/>
    <x v="1"/>
    <x v="10"/>
    <n v="68.52"/>
    <n v="3"/>
    <n v="0"/>
    <n v="31.519200000000001"/>
  </r>
  <r>
    <s v="Standard Class"/>
    <x v="2"/>
    <s v="United States"/>
    <s v="Superior"/>
    <x v="6"/>
    <n v="54880"/>
    <x v="2"/>
    <x v="1"/>
    <x v="9"/>
    <n v="364.74"/>
    <n v="3"/>
    <n v="0"/>
    <n v="109.422"/>
  </r>
  <r>
    <s v="Standard Class"/>
    <x v="2"/>
    <s v="United States"/>
    <s v="Superior"/>
    <x v="6"/>
    <n v="54880"/>
    <x v="2"/>
    <x v="0"/>
    <x v="5"/>
    <n v="47.4"/>
    <n v="5"/>
    <n v="0"/>
    <n v="21.33"/>
  </r>
  <r>
    <s v="Standard Class"/>
    <x v="2"/>
    <s v="United States"/>
    <s v="Superior"/>
    <x v="6"/>
    <n v="54880"/>
    <x v="2"/>
    <x v="1"/>
    <x v="4"/>
    <n v="49.76"/>
    <n v="4"/>
    <n v="0"/>
    <n v="13.9328"/>
  </r>
  <r>
    <s v="Standard Class"/>
    <x v="2"/>
    <s v="United States"/>
    <s v="Superior"/>
    <x v="6"/>
    <n v="54880"/>
    <x v="2"/>
    <x v="1"/>
    <x v="6"/>
    <n v="5.56"/>
    <n v="2"/>
    <n v="0"/>
    <n v="1.4456"/>
  </r>
  <r>
    <s v="Standard Class"/>
    <x v="2"/>
    <s v="United States"/>
    <s v="Superior"/>
    <x v="6"/>
    <n v="54880"/>
    <x v="2"/>
    <x v="1"/>
    <x v="10"/>
    <n v="629.1"/>
    <n v="6"/>
    <n v="0"/>
    <n v="301.96800000000002"/>
  </r>
  <r>
    <s v="Standard Class"/>
    <x v="2"/>
    <s v="United States"/>
    <s v="Superior"/>
    <x v="6"/>
    <n v="54880"/>
    <x v="2"/>
    <x v="1"/>
    <x v="6"/>
    <n v="14.7"/>
    <n v="5"/>
    <n v="0"/>
    <n v="3.9689999999999999"/>
  </r>
  <r>
    <s v="Standard Class"/>
    <x v="2"/>
    <s v="United States"/>
    <s v="Superior"/>
    <x v="6"/>
    <n v="54880"/>
    <x v="2"/>
    <x v="1"/>
    <x v="10"/>
    <n v="45.36"/>
    <n v="7"/>
    <n v="0"/>
    <n v="21.7728"/>
  </r>
  <r>
    <s v="Standard Class"/>
    <x v="2"/>
    <s v="United States"/>
    <s v="Superior"/>
    <x v="6"/>
    <n v="54880"/>
    <x v="2"/>
    <x v="2"/>
    <x v="7"/>
    <n v="125.99"/>
    <n v="1"/>
    <n v="0"/>
    <n v="35.277200000000001"/>
  </r>
  <r>
    <s v="Second Class"/>
    <x v="1"/>
    <s v="United States"/>
    <s v="Thousand Oaks"/>
    <x v="1"/>
    <n v="91360"/>
    <x v="1"/>
    <x v="1"/>
    <x v="6"/>
    <n v="14.7"/>
    <n v="7"/>
    <n v="0"/>
    <n v="4.1159999999999997"/>
  </r>
  <r>
    <s v="Standard Class"/>
    <x v="1"/>
    <s v="United States"/>
    <s v="Philadelphia"/>
    <x v="9"/>
    <n v="19134"/>
    <x v="3"/>
    <x v="2"/>
    <x v="7"/>
    <n v="32.700000000000003"/>
    <n v="5"/>
    <n v="0.4"/>
    <n v="-6.54"/>
  </r>
  <r>
    <s v="Standard Class"/>
    <x v="1"/>
    <s v="United States"/>
    <s v="Philadelphia"/>
    <x v="9"/>
    <n v="19134"/>
    <x v="3"/>
    <x v="1"/>
    <x v="12"/>
    <n v="31.68"/>
    <n v="4"/>
    <n v="0.2"/>
    <n v="11.087999999999999"/>
  </r>
  <r>
    <s v="Standard Class"/>
    <x v="0"/>
    <s v="United States"/>
    <s v="Springfield"/>
    <x v="17"/>
    <n v="22153"/>
    <x v="0"/>
    <x v="1"/>
    <x v="6"/>
    <n v="181.86"/>
    <n v="7"/>
    <n v="0"/>
    <n v="50.9208"/>
  </r>
  <r>
    <s v="Second Class"/>
    <x v="1"/>
    <s v="United States"/>
    <s v="Houston"/>
    <x v="5"/>
    <n v="77095"/>
    <x v="2"/>
    <x v="0"/>
    <x v="1"/>
    <n v="155.37200000000001"/>
    <n v="2"/>
    <n v="0.3"/>
    <n v="-35.513599999999997"/>
  </r>
  <r>
    <s v="Same Day"/>
    <x v="0"/>
    <s v="United States"/>
    <s v="Columbia"/>
    <x v="18"/>
    <n v="38401"/>
    <x v="0"/>
    <x v="1"/>
    <x v="8"/>
    <n v="13.428000000000001"/>
    <n v="3"/>
    <n v="0.7"/>
    <n v="-11.19"/>
  </r>
  <r>
    <s v="Same Day"/>
    <x v="0"/>
    <s v="United States"/>
    <s v="Columbia"/>
    <x v="18"/>
    <n v="38401"/>
    <x v="0"/>
    <x v="1"/>
    <x v="4"/>
    <n v="67.135999999999996"/>
    <n v="4"/>
    <n v="0.2"/>
    <n v="-0.83919999999999995"/>
  </r>
  <r>
    <s v="Standard Class"/>
    <x v="0"/>
    <s v="United States"/>
    <s v="Concord"/>
    <x v="3"/>
    <n v="28027"/>
    <x v="0"/>
    <x v="1"/>
    <x v="10"/>
    <n v="89.567999999999998"/>
    <n v="2"/>
    <n v="0.2"/>
    <n v="32.468400000000003"/>
  </r>
  <r>
    <s v="Standard Class"/>
    <x v="0"/>
    <s v="United States"/>
    <s v="Concord"/>
    <x v="3"/>
    <n v="28027"/>
    <x v="0"/>
    <x v="0"/>
    <x v="5"/>
    <n v="315.77600000000001"/>
    <n v="8"/>
    <n v="0.2"/>
    <n v="31.5776"/>
  </r>
  <r>
    <s v="Standard Class"/>
    <x v="1"/>
    <s v="United States"/>
    <s v="San Jose"/>
    <x v="1"/>
    <n v="95123"/>
    <x v="1"/>
    <x v="0"/>
    <x v="0"/>
    <n v="273.666"/>
    <n v="2"/>
    <n v="0.15"/>
    <n v="-12.878399999999999"/>
  </r>
  <r>
    <s v="Standard Class"/>
    <x v="1"/>
    <s v="United States"/>
    <s v="San Jose"/>
    <x v="1"/>
    <n v="95123"/>
    <x v="1"/>
    <x v="1"/>
    <x v="9"/>
    <n v="17.48"/>
    <n v="4"/>
    <n v="0"/>
    <n v="4.5448000000000004"/>
  </r>
  <r>
    <s v="Standard Class"/>
    <x v="1"/>
    <s v="United States"/>
    <s v="Greensboro"/>
    <x v="3"/>
    <n v="27405"/>
    <x v="0"/>
    <x v="1"/>
    <x v="14"/>
    <n v="20.608000000000001"/>
    <n v="2"/>
    <n v="0.2"/>
    <n v="-4.3792"/>
  </r>
  <r>
    <s v="Standard Class"/>
    <x v="1"/>
    <s v="United States"/>
    <s v="Greensboro"/>
    <x v="3"/>
    <n v="27405"/>
    <x v="0"/>
    <x v="1"/>
    <x v="8"/>
    <n v="4.0949999999999998"/>
    <n v="3"/>
    <n v="0.7"/>
    <n v="-2.73"/>
  </r>
  <r>
    <s v="Standard Class"/>
    <x v="2"/>
    <s v="United States"/>
    <s v="Helena"/>
    <x v="37"/>
    <n v="59601"/>
    <x v="1"/>
    <x v="2"/>
    <x v="7"/>
    <n v="339.96"/>
    <n v="5"/>
    <n v="0.2"/>
    <n v="42.494999999999997"/>
  </r>
  <r>
    <s v="Standard Class"/>
    <x v="2"/>
    <s v="United States"/>
    <s v="Helena"/>
    <x v="37"/>
    <n v="59601"/>
    <x v="1"/>
    <x v="0"/>
    <x v="5"/>
    <n v="63.98"/>
    <n v="7"/>
    <n v="0"/>
    <n v="21.7532"/>
  </r>
  <r>
    <s v="Standard Class"/>
    <x v="2"/>
    <s v="United States"/>
    <s v="Fort Lauderdale"/>
    <x v="2"/>
    <n v="33311"/>
    <x v="0"/>
    <x v="2"/>
    <x v="11"/>
    <n v="799.92"/>
    <n v="10"/>
    <n v="0.2"/>
    <n v="239.976"/>
  </r>
  <r>
    <s v="First Class"/>
    <x v="2"/>
    <s v="United States"/>
    <s v="San Francisco"/>
    <x v="1"/>
    <n v="94110"/>
    <x v="1"/>
    <x v="2"/>
    <x v="7"/>
    <n v="35.984000000000002"/>
    <n v="2"/>
    <n v="0.2"/>
    <n v="4.4980000000000002"/>
  </r>
  <r>
    <s v="First Class"/>
    <x v="2"/>
    <s v="United States"/>
    <s v="San Francisco"/>
    <x v="1"/>
    <n v="94110"/>
    <x v="1"/>
    <x v="2"/>
    <x v="11"/>
    <n v="389.97"/>
    <n v="3"/>
    <n v="0"/>
    <n v="132.5898"/>
  </r>
  <r>
    <s v="Same Day"/>
    <x v="1"/>
    <s v="United States"/>
    <s v="Yuma"/>
    <x v="16"/>
    <n v="85364"/>
    <x v="1"/>
    <x v="2"/>
    <x v="11"/>
    <n v="185.52799999999999"/>
    <n v="7"/>
    <n v="0.2"/>
    <n v="48.701099999999997"/>
  </r>
  <r>
    <s v="Standard Class"/>
    <x v="0"/>
    <s v="United States"/>
    <s v="Columbia"/>
    <x v="39"/>
    <n v="21044"/>
    <x v="3"/>
    <x v="1"/>
    <x v="8"/>
    <n v="2541.98"/>
    <n v="2"/>
    <n v="0"/>
    <n v="1270.99"/>
  </r>
  <r>
    <s v="Standard Class"/>
    <x v="2"/>
    <s v="United States"/>
    <s v="Yuma"/>
    <x v="16"/>
    <n v="85364"/>
    <x v="1"/>
    <x v="2"/>
    <x v="15"/>
    <n v="599.98500000000001"/>
    <n v="5"/>
    <n v="0.7"/>
    <n v="-479.988"/>
  </r>
  <r>
    <s v="Standard Class"/>
    <x v="0"/>
    <s v="United States"/>
    <s v="Chicago"/>
    <x v="10"/>
    <n v="60653"/>
    <x v="2"/>
    <x v="1"/>
    <x v="8"/>
    <n v="3.036"/>
    <n v="3"/>
    <n v="0.8"/>
    <n v="-5.0094000000000003"/>
  </r>
  <r>
    <s v="Standard Class"/>
    <x v="0"/>
    <s v="United States"/>
    <s v="Cleveland"/>
    <x v="24"/>
    <n v="44105"/>
    <x v="3"/>
    <x v="1"/>
    <x v="6"/>
    <n v="25.92"/>
    <n v="5"/>
    <n v="0.2"/>
    <n v="3.8879999999999999"/>
  </r>
  <r>
    <s v="Standard Class"/>
    <x v="0"/>
    <s v="United States"/>
    <s v="Cleveland"/>
    <x v="24"/>
    <n v="44105"/>
    <x v="3"/>
    <x v="0"/>
    <x v="5"/>
    <n v="66.111999999999995"/>
    <n v="2"/>
    <n v="0.2"/>
    <n v="-9.0904000000000007"/>
  </r>
  <r>
    <s v="Standard Class"/>
    <x v="0"/>
    <s v="United States"/>
    <s v="San Francisco"/>
    <x v="1"/>
    <n v="94110"/>
    <x v="1"/>
    <x v="2"/>
    <x v="11"/>
    <n v="46.36"/>
    <n v="4"/>
    <n v="0"/>
    <n v="15.2988"/>
  </r>
  <r>
    <s v="Standard Class"/>
    <x v="1"/>
    <s v="United States"/>
    <s v="Oklahoma City"/>
    <x v="26"/>
    <n v="73120"/>
    <x v="2"/>
    <x v="2"/>
    <x v="11"/>
    <n v="6.9"/>
    <n v="1"/>
    <n v="0"/>
    <n v="0.55200000000000005"/>
  </r>
  <r>
    <s v="Standard Class"/>
    <x v="1"/>
    <s v="United States"/>
    <s v="Oklahoma City"/>
    <x v="26"/>
    <n v="73120"/>
    <x v="2"/>
    <x v="0"/>
    <x v="5"/>
    <n v="57.69"/>
    <n v="3"/>
    <n v="0"/>
    <n v="23.652899999999999"/>
  </r>
  <r>
    <s v="Standard Class"/>
    <x v="1"/>
    <s v="United States"/>
    <s v="Houston"/>
    <x v="5"/>
    <n v="77095"/>
    <x v="2"/>
    <x v="2"/>
    <x v="15"/>
    <n v="559.71"/>
    <n v="3"/>
    <n v="0.4"/>
    <n v="-121.2705"/>
  </r>
  <r>
    <s v="First Class"/>
    <x v="0"/>
    <s v="United States"/>
    <s v="San Francisco"/>
    <x v="1"/>
    <n v="94122"/>
    <x v="1"/>
    <x v="1"/>
    <x v="4"/>
    <n v="305.01"/>
    <n v="9"/>
    <n v="0"/>
    <n v="76.252499999999998"/>
  </r>
  <r>
    <s v="First Class"/>
    <x v="0"/>
    <s v="United States"/>
    <s v="San Francisco"/>
    <x v="1"/>
    <n v="94122"/>
    <x v="1"/>
    <x v="1"/>
    <x v="8"/>
    <n v="50.783999999999999"/>
    <n v="2"/>
    <n v="0.2"/>
    <n v="17.7744"/>
  </r>
  <r>
    <s v="First Class"/>
    <x v="0"/>
    <s v="United States"/>
    <s v="San Francisco"/>
    <x v="1"/>
    <n v="94122"/>
    <x v="1"/>
    <x v="1"/>
    <x v="2"/>
    <n v="26.01"/>
    <n v="9"/>
    <n v="0"/>
    <n v="12.2247"/>
  </r>
  <r>
    <s v="Standard Class"/>
    <x v="0"/>
    <s v="United States"/>
    <s v="Nashville"/>
    <x v="18"/>
    <n v="37211"/>
    <x v="0"/>
    <x v="2"/>
    <x v="15"/>
    <n v="649"/>
    <n v="2"/>
    <n v="0.5"/>
    <n v="-272.58"/>
  </r>
  <r>
    <s v="Standard Class"/>
    <x v="0"/>
    <s v="United States"/>
    <s v="Los Angeles"/>
    <x v="1"/>
    <n v="90036"/>
    <x v="1"/>
    <x v="0"/>
    <x v="5"/>
    <n v="59.99"/>
    <n v="7"/>
    <n v="0"/>
    <n v="21.596399999999999"/>
  </r>
  <r>
    <s v="Standard Class"/>
    <x v="0"/>
    <s v="United States"/>
    <s v="Bellevue"/>
    <x v="4"/>
    <n v="98006"/>
    <x v="1"/>
    <x v="0"/>
    <x v="5"/>
    <n v="20.239999999999998"/>
    <n v="1"/>
    <n v="0"/>
    <n v="7.8936000000000002"/>
  </r>
  <r>
    <s v="First Class"/>
    <x v="0"/>
    <s v="United States"/>
    <s v="Houston"/>
    <x v="5"/>
    <n v="77036"/>
    <x v="2"/>
    <x v="1"/>
    <x v="6"/>
    <n v="37.840000000000003"/>
    <n v="2"/>
    <n v="0.2"/>
    <n v="2.8380000000000001"/>
  </r>
  <r>
    <s v="First Class"/>
    <x v="0"/>
    <s v="United States"/>
    <s v="Houston"/>
    <x v="5"/>
    <n v="77036"/>
    <x v="2"/>
    <x v="1"/>
    <x v="13"/>
    <n v="5.4720000000000004"/>
    <n v="6"/>
    <n v="0.2"/>
    <n v="1.8468"/>
  </r>
  <r>
    <s v="Second Class"/>
    <x v="1"/>
    <s v="United States"/>
    <s v="Philadelphia"/>
    <x v="9"/>
    <n v="19143"/>
    <x v="3"/>
    <x v="1"/>
    <x v="4"/>
    <n v="77.239999999999995"/>
    <n v="5"/>
    <n v="0.2"/>
    <n v="7.7240000000000002"/>
  </r>
  <r>
    <s v="First Class"/>
    <x v="0"/>
    <s v="United States"/>
    <s v="Des Plaines"/>
    <x v="10"/>
    <n v="60016"/>
    <x v="2"/>
    <x v="0"/>
    <x v="3"/>
    <n v="292.10000000000002"/>
    <n v="4"/>
    <n v="0.5"/>
    <n v="-175.26"/>
  </r>
  <r>
    <s v="First Class"/>
    <x v="0"/>
    <s v="United States"/>
    <s v="Des Plaines"/>
    <x v="10"/>
    <n v="60016"/>
    <x v="2"/>
    <x v="0"/>
    <x v="5"/>
    <n v="8.5440000000000005"/>
    <n v="2"/>
    <n v="0.6"/>
    <n v="-7.476"/>
  </r>
  <r>
    <s v="First Class"/>
    <x v="0"/>
    <s v="United States"/>
    <s v="Des Plaines"/>
    <x v="10"/>
    <n v="60016"/>
    <x v="2"/>
    <x v="0"/>
    <x v="0"/>
    <n v="424.11599999999999"/>
    <n v="6"/>
    <n v="0.3"/>
    <n v="-30.294"/>
  </r>
  <r>
    <s v="First Class"/>
    <x v="0"/>
    <s v="United States"/>
    <s v="Des Plaines"/>
    <x v="10"/>
    <n v="60016"/>
    <x v="2"/>
    <x v="1"/>
    <x v="8"/>
    <n v="2.8919999999999999"/>
    <n v="3"/>
    <n v="0.8"/>
    <n v="-4.9164000000000003"/>
  </r>
  <r>
    <s v="First Class"/>
    <x v="0"/>
    <s v="United States"/>
    <s v="Des Plaines"/>
    <x v="10"/>
    <n v="60016"/>
    <x v="2"/>
    <x v="1"/>
    <x v="4"/>
    <n v="381.72"/>
    <n v="5"/>
    <n v="0.2"/>
    <n v="-66.801000000000002"/>
  </r>
  <r>
    <s v="Standard Class"/>
    <x v="0"/>
    <s v="United States"/>
    <s v="Boynton Beach"/>
    <x v="2"/>
    <n v="33437"/>
    <x v="0"/>
    <x v="0"/>
    <x v="1"/>
    <n v="97.183999999999997"/>
    <n v="2"/>
    <n v="0.2"/>
    <n v="6.0739999999999998"/>
  </r>
  <r>
    <s v="Standard Class"/>
    <x v="0"/>
    <s v="United States"/>
    <s v="Boynton Beach"/>
    <x v="2"/>
    <n v="33437"/>
    <x v="0"/>
    <x v="1"/>
    <x v="10"/>
    <n v="10.368"/>
    <n v="2"/>
    <n v="0.2"/>
    <n v="3.6288"/>
  </r>
  <r>
    <s v="Standard Class"/>
    <x v="0"/>
    <s v="United States"/>
    <s v="Plano"/>
    <x v="5"/>
    <n v="75023"/>
    <x v="2"/>
    <x v="0"/>
    <x v="3"/>
    <n v="890.84100000000001"/>
    <n v="3"/>
    <n v="0.3"/>
    <n v="-152.71559999999999"/>
  </r>
  <r>
    <s v="Second Class"/>
    <x v="0"/>
    <s v="United States"/>
    <s v="San Jose"/>
    <x v="1"/>
    <n v="95123"/>
    <x v="1"/>
    <x v="2"/>
    <x v="11"/>
    <n v="72"/>
    <n v="4"/>
    <n v="0"/>
    <n v="12.96"/>
  </r>
  <r>
    <s v="Second Class"/>
    <x v="0"/>
    <s v="United States"/>
    <s v="San Jose"/>
    <x v="1"/>
    <n v="95123"/>
    <x v="1"/>
    <x v="0"/>
    <x v="1"/>
    <n v="113.88800000000001"/>
    <n v="2"/>
    <n v="0.2"/>
    <n v="9.9651999999999994"/>
  </r>
  <r>
    <s v="Second Class"/>
    <x v="0"/>
    <s v="United States"/>
    <s v="San Jose"/>
    <x v="1"/>
    <n v="95123"/>
    <x v="1"/>
    <x v="1"/>
    <x v="12"/>
    <n v="158.13"/>
    <n v="3"/>
    <n v="0"/>
    <n v="77.483699999999999"/>
  </r>
  <r>
    <s v="Second Class"/>
    <x v="1"/>
    <s v="United States"/>
    <s v="New York City"/>
    <x v="15"/>
    <n v="10024"/>
    <x v="3"/>
    <x v="1"/>
    <x v="13"/>
    <n v="14.13"/>
    <n v="3"/>
    <n v="0"/>
    <n v="0.70650000000000002"/>
  </r>
  <r>
    <s v="Standard Class"/>
    <x v="0"/>
    <s v="United States"/>
    <s v="Detroit"/>
    <x v="12"/>
    <n v="48227"/>
    <x v="2"/>
    <x v="1"/>
    <x v="8"/>
    <n v="64.75"/>
    <n v="5"/>
    <n v="0"/>
    <n v="29.137499999999999"/>
  </r>
  <r>
    <s v="Standard Class"/>
    <x v="0"/>
    <s v="United States"/>
    <s v="Miami"/>
    <x v="2"/>
    <n v="33178"/>
    <x v="0"/>
    <x v="1"/>
    <x v="8"/>
    <n v="1.8720000000000001"/>
    <n v="2"/>
    <n v="0.7"/>
    <n v="-1.3104"/>
  </r>
  <r>
    <s v="Standard Class"/>
    <x v="0"/>
    <s v="United States"/>
    <s v="Miami"/>
    <x v="2"/>
    <n v="33178"/>
    <x v="0"/>
    <x v="1"/>
    <x v="8"/>
    <n v="11.214"/>
    <n v="2"/>
    <n v="0.7"/>
    <n v="-8.5974000000000004"/>
  </r>
  <r>
    <s v="Standard Class"/>
    <x v="0"/>
    <s v="United States"/>
    <s v="Miami"/>
    <x v="2"/>
    <n v="33178"/>
    <x v="0"/>
    <x v="1"/>
    <x v="6"/>
    <n v="37.375999999999998"/>
    <n v="8"/>
    <n v="0.2"/>
    <n v="7.4752000000000001"/>
  </r>
  <r>
    <s v="Standard Class"/>
    <x v="2"/>
    <s v="United States"/>
    <s v="Park Ridge"/>
    <x v="10"/>
    <n v="60068"/>
    <x v="2"/>
    <x v="2"/>
    <x v="7"/>
    <n v="286.39999999999998"/>
    <n v="1"/>
    <n v="0.2"/>
    <n v="25.06"/>
  </r>
  <r>
    <s v="Second Class"/>
    <x v="0"/>
    <s v="United States"/>
    <s v="New York City"/>
    <x v="15"/>
    <n v="10024"/>
    <x v="3"/>
    <x v="1"/>
    <x v="6"/>
    <n v="43.92"/>
    <n v="3"/>
    <n v="0"/>
    <n v="12.736800000000001"/>
  </r>
  <r>
    <s v="Standard Class"/>
    <x v="1"/>
    <s v="United States"/>
    <s v="New York City"/>
    <x v="15"/>
    <n v="10011"/>
    <x v="3"/>
    <x v="0"/>
    <x v="3"/>
    <n v="142.18199999999999"/>
    <n v="1"/>
    <n v="0.4"/>
    <n v="-37.915199999999999"/>
  </r>
  <r>
    <s v="Standard Class"/>
    <x v="1"/>
    <s v="United States"/>
    <s v="Hillsboro"/>
    <x v="21"/>
    <n v="97123"/>
    <x v="1"/>
    <x v="1"/>
    <x v="10"/>
    <n v="19.608000000000001"/>
    <n v="3"/>
    <n v="0.2"/>
    <n v="6.6177000000000001"/>
  </r>
  <r>
    <s v="Standard Class"/>
    <x v="1"/>
    <s v="United States"/>
    <s v="Hillsboro"/>
    <x v="21"/>
    <n v="97123"/>
    <x v="1"/>
    <x v="1"/>
    <x v="8"/>
    <n v="4.1580000000000004"/>
    <n v="7"/>
    <n v="0.7"/>
    <n v="-3.4649999999999999"/>
  </r>
  <r>
    <s v="Second Class"/>
    <x v="0"/>
    <s v="United States"/>
    <s v="New York City"/>
    <x v="15"/>
    <n v="10009"/>
    <x v="3"/>
    <x v="2"/>
    <x v="7"/>
    <n v="979.95"/>
    <n v="5"/>
    <n v="0"/>
    <n v="264.5865"/>
  </r>
  <r>
    <s v="Second Class"/>
    <x v="0"/>
    <s v="United States"/>
    <s v="New York City"/>
    <x v="15"/>
    <n v="10009"/>
    <x v="3"/>
    <x v="0"/>
    <x v="5"/>
    <n v="135.30000000000001"/>
    <n v="5"/>
    <n v="0"/>
    <n v="37.884"/>
  </r>
  <r>
    <s v="Standard Class"/>
    <x v="1"/>
    <s v="United States"/>
    <s v="Chicago"/>
    <x v="10"/>
    <n v="60623"/>
    <x v="2"/>
    <x v="1"/>
    <x v="10"/>
    <n v="8.9039999999999999"/>
    <n v="3"/>
    <n v="0.2"/>
    <n v="3.339"/>
  </r>
  <r>
    <s v="Standard Class"/>
    <x v="1"/>
    <s v="United States"/>
    <s v="Chicago"/>
    <x v="10"/>
    <n v="60623"/>
    <x v="2"/>
    <x v="2"/>
    <x v="11"/>
    <n v="100.8"/>
    <n v="2"/>
    <n v="0.2"/>
    <n v="21.42"/>
  </r>
  <r>
    <s v="First Class"/>
    <x v="0"/>
    <s v="United States"/>
    <s v="New York City"/>
    <x v="15"/>
    <n v="10024"/>
    <x v="3"/>
    <x v="0"/>
    <x v="5"/>
    <n v="41.96"/>
    <n v="2"/>
    <n v="0"/>
    <n v="10.909599999999999"/>
  </r>
  <r>
    <s v="First Class"/>
    <x v="0"/>
    <s v="United States"/>
    <s v="New York City"/>
    <x v="15"/>
    <n v="10024"/>
    <x v="3"/>
    <x v="1"/>
    <x v="2"/>
    <n v="9.4499999999999993"/>
    <n v="3"/>
    <n v="0"/>
    <n v="4.5359999999999996"/>
  </r>
  <r>
    <s v="Standard Class"/>
    <x v="0"/>
    <s v="United States"/>
    <s v="Pasco"/>
    <x v="4"/>
    <n v="99301"/>
    <x v="1"/>
    <x v="1"/>
    <x v="9"/>
    <n v="400.8"/>
    <n v="5"/>
    <n v="0"/>
    <n v="112.224"/>
  </r>
  <r>
    <s v="Standard Class"/>
    <x v="0"/>
    <s v="United States"/>
    <s v="Pasco"/>
    <x v="4"/>
    <n v="99301"/>
    <x v="1"/>
    <x v="1"/>
    <x v="8"/>
    <n v="28.792000000000002"/>
    <n v="1"/>
    <n v="0.2"/>
    <n v="10.077199999999999"/>
  </r>
  <r>
    <s v="Standard Class"/>
    <x v="2"/>
    <s v="United States"/>
    <s v="Burbank"/>
    <x v="1"/>
    <n v="91505"/>
    <x v="1"/>
    <x v="0"/>
    <x v="5"/>
    <n v="111"/>
    <n v="2"/>
    <n v="0"/>
    <n v="14.43"/>
  </r>
  <r>
    <s v="Standard Class"/>
    <x v="2"/>
    <s v="United States"/>
    <s v="Burbank"/>
    <x v="1"/>
    <n v="91505"/>
    <x v="1"/>
    <x v="2"/>
    <x v="15"/>
    <n v="1279.9680000000001"/>
    <n v="4"/>
    <n v="0.2"/>
    <n v="415.9896"/>
  </r>
  <r>
    <s v="Standard Class"/>
    <x v="2"/>
    <s v="United States"/>
    <s v="Burbank"/>
    <x v="1"/>
    <n v="91505"/>
    <x v="1"/>
    <x v="1"/>
    <x v="4"/>
    <n v="1856.19"/>
    <n v="7"/>
    <n v="0"/>
    <n v="334.11419999999998"/>
  </r>
  <r>
    <s v="First Class"/>
    <x v="1"/>
    <s v="United States"/>
    <s v="Chicago"/>
    <x v="10"/>
    <n v="60623"/>
    <x v="2"/>
    <x v="0"/>
    <x v="5"/>
    <n v="22.751999999999999"/>
    <n v="6"/>
    <n v="0.6"/>
    <n v="-8.532"/>
  </r>
  <r>
    <s v="Standard Class"/>
    <x v="1"/>
    <s v="United States"/>
    <s v="Lancaster"/>
    <x v="9"/>
    <n v="17602"/>
    <x v="3"/>
    <x v="2"/>
    <x v="7"/>
    <n v="61.542000000000002"/>
    <n v="1"/>
    <n v="0.4"/>
    <n v="-13.334099999999999"/>
  </r>
  <r>
    <s v="Standard Class"/>
    <x v="1"/>
    <s v="United States"/>
    <s v="Lancaster"/>
    <x v="9"/>
    <n v="17602"/>
    <x v="3"/>
    <x v="1"/>
    <x v="8"/>
    <n v="81.438000000000002"/>
    <n v="7"/>
    <n v="0.7"/>
    <n v="-65.150400000000005"/>
  </r>
  <r>
    <s v="Standard Class"/>
    <x v="0"/>
    <s v="United States"/>
    <s v="Tampa"/>
    <x v="2"/>
    <n v="33614"/>
    <x v="0"/>
    <x v="0"/>
    <x v="5"/>
    <n v="67.36"/>
    <n v="2"/>
    <n v="0.2"/>
    <n v="10.103999999999999"/>
  </r>
  <r>
    <s v="Standard Class"/>
    <x v="0"/>
    <s v="United States"/>
    <s v="Tampa"/>
    <x v="2"/>
    <n v="33614"/>
    <x v="0"/>
    <x v="0"/>
    <x v="5"/>
    <n v="54.527999999999999"/>
    <n v="3"/>
    <n v="0.2"/>
    <n v="14.313599999999999"/>
  </r>
  <r>
    <s v="Standard Class"/>
    <x v="0"/>
    <s v="United States"/>
    <s v="New York City"/>
    <x v="15"/>
    <n v="10024"/>
    <x v="3"/>
    <x v="2"/>
    <x v="11"/>
    <n v="843.9"/>
    <n v="2"/>
    <n v="0"/>
    <n v="371.31599999999997"/>
  </r>
  <r>
    <s v="Standard Class"/>
    <x v="0"/>
    <s v="United States"/>
    <s v="New York City"/>
    <x v="15"/>
    <n v="10024"/>
    <x v="3"/>
    <x v="0"/>
    <x v="0"/>
    <n v="449.56799999999998"/>
    <n v="2"/>
    <n v="0.2"/>
    <n v="56.195999999999998"/>
  </r>
  <r>
    <s v="First Class"/>
    <x v="1"/>
    <s v="United States"/>
    <s v="Los Angeles"/>
    <x v="1"/>
    <n v="90045"/>
    <x v="1"/>
    <x v="1"/>
    <x v="4"/>
    <n v="15.51"/>
    <n v="1"/>
    <n v="0"/>
    <n v="3.8774999999999999"/>
  </r>
  <r>
    <s v="Second Class"/>
    <x v="1"/>
    <s v="United States"/>
    <s v="New York City"/>
    <x v="15"/>
    <n v="10035"/>
    <x v="3"/>
    <x v="0"/>
    <x v="1"/>
    <n v="192.18600000000001"/>
    <n v="3"/>
    <n v="0.1"/>
    <n v="36.3018"/>
  </r>
  <r>
    <s v="First Class"/>
    <x v="1"/>
    <s v="United States"/>
    <s v="New York City"/>
    <x v="15"/>
    <n v="10009"/>
    <x v="3"/>
    <x v="1"/>
    <x v="6"/>
    <n v="5.76"/>
    <n v="2"/>
    <n v="0"/>
    <n v="1.6128"/>
  </r>
  <r>
    <s v="Standard Class"/>
    <x v="0"/>
    <s v="United States"/>
    <s v="Atlanta"/>
    <x v="32"/>
    <n v="30318"/>
    <x v="0"/>
    <x v="0"/>
    <x v="1"/>
    <n v="67.88"/>
    <n v="2"/>
    <n v="0"/>
    <n v="18.3276"/>
  </r>
  <r>
    <s v="Standard Class"/>
    <x v="0"/>
    <s v="United States"/>
    <s v="Atlanta"/>
    <x v="32"/>
    <n v="30318"/>
    <x v="0"/>
    <x v="1"/>
    <x v="2"/>
    <n v="162.88999999999999"/>
    <n v="13"/>
    <n v="0"/>
    <n v="76.558300000000003"/>
  </r>
  <r>
    <s v="Standard Class"/>
    <x v="0"/>
    <s v="United States"/>
    <s v="Atlanta"/>
    <x v="32"/>
    <n v="30318"/>
    <x v="0"/>
    <x v="0"/>
    <x v="5"/>
    <n v="25.71"/>
    <n v="3"/>
    <n v="0"/>
    <n v="9.2555999999999994"/>
  </r>
  <r>
    <s v="Standard Class"/>
    <x v="0"/>
    <s v="United States"/>
    <s v="New York City"/>
    <x v="15"/>
    <n v="10009"/>
    <x v="3"/>
    <x v="1"/>
    <x v="4"/>
    <n v="191.88"/>
    <n v="6"/>
    <n v="0"/>
    <n v="19.187999999999999"/>
  </r>
  <r>
    <s v="Standard Class"/>
    <x v="1"/>
    <s v="United States"/>
    <s v="Jacksonville"/>
    <x v="2"/>
    <n v="32216"/>
    <x v="0"/>
    <x v="0"/>
    <x v="3"/>
    <n v="721.875"/>
    <n v="6"/>
    <n v="0.45"/>
    <n v="-420"/>
  </r>
  <r>
    <s v="Standard Class"/>
    <x v="1"/>
    <s v="United States"/>
    <s v="Jacksonville"/>
    <x v="2"/>
    <n v="32216"/>
    <x v="0"/>
    <x v="2"/>
    <x v="7"/>
    <n v="73.567999999999998"/>
    <n v="4"/>
    <n v="0.2"/>
    <n v="-16.552800000000001"/>
  </r>
  <r>
    <s v="Standard Class"/>
    <x v="1"/>
    <s v="United States"/>
    <s v="Jacksonville"/>
    <x v="2"/>
    <n v="32216"/>
    <x v="0"/>
    <x v="1"/>
    <x v="6"/>
    <n v="13.584"/>
    <n v="1"/>
    <n v="0.2"/>
    <n v="1.3584000000000001"/>
  </r>
  <r>
    <s v="Standard Class"/>
    <x v="1"/>
    <s v="United States"/>
    <s v="Jacksonville"/>
    <x v="2"/>
    <n v="32216"/>
    <x v="0"/>
    <x v="0"/>
    <x v="1"/>
    <n v="64.784000000000006"/>
    <n v="1"/>
    <n v="0.2"/>
    <n v="-12.147"/>
  </r>
  <r>
    <s v="Standard Class"/>
    <x v="0"/>
    <s v="United States"/>
    <s v="Houston"/>
    <x v="5"/>
    <n v="77095"/>
    <x v="2"/>
    <x v="1"/>
    <x v="9"/>
    <n v="176.77199999999999"/>
    <n v="3"/>
    <n v="0.8"/>
    <n v="-459.60719999999998"/>
  </r>
  <r>
    <s v="Standard Class"/>
    <x v="1"/>
    <s v="United States"/>
    <s v="Milwaukee"/>
    <x v="6"/>
    <n v="53209"/>
    <x v="2"/>
    <x v="1"/>
    <x v="8"/>
    <n v="38.82"/>
    <n v="6"/>
    <n v="0"/>
    <n v="19.41"/>
  </r>
  <r>
    <s v="Standard Class"/>
    <x v="1"/>
    <s v="United States"/>
    <s v="Milwaukee"/>
    <x v="6"/>
    <n v="53209"/>
    <x v="2"/>
    <x v="1"/>
    <x v="8"/>
    <n v="21.9"/>
    <n v="5"/>
    <n v="0"/>
    <n v="10.512"/>
  </r>
  <r>
    <s v="Standard Class"/>
    <x v="0"/>
    <s v="United States"/>
    <s v="Modesto"/>
    <x v="1"/>
    <n v="95351"/>
    <x v="1"/>
    <x v="2"/>
    <x v="11"/>
    <n v="111.79"/>
    <n v="7"/>
    <n v="0"/>
    <n v="43.598100000000002"/>
  </r>
  <r>
    <s v="Second Class"/>
    <x v="2"/>
    <s v="United States"/>
    <s v="Lakewood"/>
    <x v="24"/>
    <n v="44107"/>
    <x v="3"/>
    <x v="2"/>
    <x v="7"/>
    <n v="445.44"/>
    <n v="8"/>
    <n v="0.4"/>
    <n v="-81.664000000000001"/>
  </r>
  <r>
    <s v="Standard Class"/>
    <x v="2"/>
    <s v="United States"/>
    <s v="Philadelphia"/>
    <x v="9"/>
    <n v="19134"/>
    <x v="3"/>
    <x v="1"/>
    <x v="2"/>
    <n v="16.52"/>
    <n v="5"/>
    <n v="0.2"/>
    <n v="5.3689999999999998"/>
  </r>
  <r>
    <s v="Standard Class"/>
    <x v="2"/>
    <s v="United States"/>
    <s v="San Francisco"/>
    <x v="1"/>
    <n v="94109"/>
    <x v="1"/>
    <x v="1"/>
    <x v="10"/>
    <n v="29.9"/>
    <n v="5"/>
    <n v="0"/>
    <n v="13.455"/>
  </r>
  <r>
    <s v="Second Class"/>
    <x v="1"/>
    <s v="United States"/>
    <s v="Detroit"/>
    <x v="12"/>
    <n v="48205"/>
    <x v="2"/>
    <x v="1"/>
    <x v="8"/>
    <n v="116.4"/>
    <n v="8"/>
    <n v="0"/>
    <n v="52.38"/>
  </r>
  <r>
    <s v="Standard Class"/>
    <x v="2"/>
    <s v="United States"/>
    <s v="Phoenix"/>
    <x v="16"/>
    <n v="85023"/>
    <x v="1"/>
    <x v="1"/>
    <x v="6"/>
    <n v="1.4079999999999999"/>
    <n v="1"/>
    <n v="0.2"/>
    <n v="0.15840000000000001"/>
  </r>
  <r>
    <s v="Standard Class"/>
    <x v="2"/>
    <s v="United States"/>
    <s v="Phoenix"/>
    <x v="16"/>
    <n v="85023"/>
    <x v="1"/>
    <x v="0"/>
    <x v="5"/>
    <n v="169.56800000000001"/>
    <n v="2"/>
    <n v="0.2"/>
    <n v="0"/>
  </r>
  <r>
    <s v="Second Class"/>
    <x v="1"/>
    <s v="United States"/>
    <s v="Philadelphia"/>
    <x v="9"/>
    <n v="19143"/>
    <x v="3"/>
    <x v="2"/>
    <x v="7"/>
    <n v="251.964"/>
    <n v="6"/>
    <n v="0.4"/>
    <n v="-50.392800000000001"/>
  </r>
  <r>
    <s v="Second Class"/>
    <x v="1"/>
    <s v="United States"/>
    <s v="Philadelphia"/>
    <x v="9"/>
    <n v="19143"/>
    <x v="3"/>
    <x v="0"/>
    <x v="3"/>
    <n v="523.76400000000001"/>
    <n v="3"/>
    <n v="0.4"/>
    <n v="-192.04679999999999"/>
  </r>
  <r>
    <s v="First Class"/>
    <x v="0"/>
    <s v="United States"/>
    <s v="Los Angeles"/>
    <x v="1"/>
    <n v="90036"/>
    <x v="1"/>
    <x v="1"/>
    <x v="10"/>
    <n v="19.440000000000001"/>
    <n v="3"/>
    <n v="0"/>
    <n v="9.3312000000000008"/>
  </r>
  <r>
    <s v="First Class"/>
    <x v="0"/>
    <s v="United States"/>
    <s v="Los Angeles"/>
    <x v="1"/>
    <n v="90036"/>
    <x v="1"/>
    <x v="0"/>
    <x v="1"/>
    <n v="194.352"/>
    <n v="3"/>
    <n v="0.2"/>
    <n v="-36.441000000000003"/>
  </r>
  <r>
    <s v="First Class"/>
    <x v="0"/>
    <s v="United States"/>
    <s v="Los Angeles"/>
    <x v="1"/>
    <n v="90036"/>
    <x v="1"/>
    <x v="1"/>
    <x v="8"/>
    <n v="36.624000000000002"/>
    <n v="3"/>
    <n v="0.2"/>
    <n v="13.734"/>
  </r>
  <r>
    <s v="Standard Class"/>
    <x v="1"/>
    <s v="United States"/>
    <s v="Philadelphia"/>
    <x v="9"/>
    <n v="19140"/>
    <x v="3"/>
    <x v="2"/>
    <x v="7"/>
    <n v="340.18200000000002"/>
    <n v="3"/>
    <n v="0.4"/>
    <n v="-73.706100000000006"/>
  </r>
  <r>
    <s v="Standard Class"/>
    <x v="1"/>
    <s v="United States"/>
    <s v="Philadelphia"/>
    <x v="9"/>
    <n v="19140"/>
    <x v="3"/>
    <x v="1"/>
    <x v="13"/>
    <n v="12.672000000000001"/>
    <n v="8"/>
    <n v="0.2"/>
    <n v="2.6928000000000001"/>
  </r>
  <r>
    <s v="Standard Class"/>
    <x v="1"/>
    <s v="United States"/>
    <s v="Philadelphia"/>
    <x v="9"/>
    <n v="19140"/>
    <x v="3"/>
    <x v="1"/>
    <x v="8"/>
    <n v="6.8879999999999999"/>
    <n v="2"/>
    <n v="0.7"/>
    <n v="-5.0511999999999997"/>
  </r>
  <r>
    <s v="Standard Class"/>
    <x v="1"/>
    <s v="United States"/>
    <s v="Philadelphia"/>
    <x v="9"/>
    <n v="19140"/>
    <x v="3"/>
    <x v="1"/>
    <x v="4"/>
    <n v="32.543999999999997"/>
    <n v="2"/>
    <n v="0.2"/>
    <n v="-7.7291999999999996"/>
  </r>
  <r>
    <s v="Standard Class"/>
    <x v="1"/>
    <s v="United States"/>
    <s v="Philadelphia"/>
    <x v="9"/>
    <n v="19140"/>
    <x v="3"/>
    <x v="0"/>
    <x v="1"/>
    <n v="347.80200000000002"/>
    <n v="7"/>
    <n v="0.3"/>
    <n v="-24.843"/>
  </r>
  <r>
    <s v="First Class"/>
    <x v="1"/>
    <s v="United States"/>
    <s v="Miami"/>
    <x v="2"/>
    <n v="33180"/>
    <x v="0"/>
    <x v="1"/>
    <x v="8"/>
    <n v="15.57"/>
    <n v="3"/>
    <n v="0.7"/>
    <n v="-11.936999999999999"/>
  </r>
  <r>
    <s v="Second Class"/>
    <x v="0"/>
    <s v="United States"/>
    <s v="Raleigh"/>
    <x v="3"/>
    <n v="27604"/>
    <x v="0"/>
    <x v="1"/>
    <x v="2"/>
    <n v="4.6079999999999997"/>
    <n v="2"/>
    <n v="0.2"/>
    <n v="1.6704000000000001"/>
  </r>
  <r>
    <s v="Standard Class"/>
    <x v="1"/>
    <s v="United States"/>
    <s v="Garden City"/>
    <x v="41"/>
    <n v="67846"/>
    <x v="2"/>
    <x v="2"/>
    <x v="7"/>
    <n v="257.98"/>
    <n v="2"/>
    <n v="0"/>
    <n v="74.8142"/>
  </r>
  <r>
    <s v="Second Class"/>
    <x v="0"/>
    <s v="United States"/>
    <s v="Long Beach"/>
    <x v="1"/>
    <n v="90805"/>
    <x v="1"/>
    <x v="1"/>
    <x v="4"/>
    <n v="153.78"/>
    <n v="11"/>
    <n v="0"/>
    <n v="44.596200000000003"/>
  </r>
  <r>
    <s v="Second Class"/>
    <x v="0"/>
    <s v="United States"/>
    <s v="Long Beach"/>
    <x v="1"/>
    <n v="90805"/>
    <x v="1"/>
    <x v="1"/>
    <x v="4"/>
    <n v="61.02"/>
    <n v="3"/>
    <n v="0"/>
    <n v="0.61019999999999996"/>
  </r>
  <r>
    <s v="Second Class"/>
    <x v="0"/>
    <s v="United States"/>
    <s v="Long Beach"/>
    <x v="1"/>
    <n v="90805"/>
    <x v="1"/>
    <x v="1"/>
    <x v="14"/>
    <n v="110.11"/>
    <n v="7"/>
    <n v="0"/>
    <n v="31.931899999999999"/>
  </r>
  <r>
    <s v="Second Class"/>
    <x v="0"/>
    <s v="United States"/>
    <s v="Long Beach"/>
    <x v="1"/>
    <n v="90805"/>
    <x v="1"/>
    <x v="1"/>
    <x v="13"/>
    <n v="7.89"/>
    <n v="1"/>
    <n v="0"/>
    <n v="3.5505"/>
  </r>
  <r>
    <s v="Standard Class"/>
    <x v="1"/>
    <s v="United States"/>
    <s v="San Diego"/>
    <x v="1"/>
    <n v="92037"/>
    <x v="1"/>
    <x v="1"/>
    <x v="8"/>
    <n v="36.024000000000001"/>
    <n v="3"/>
    <n v="0.2"/>
    <n v="11.707800000000001"/>
  </r>
  <r>
    <s v="First Class"/>
    <x v="1"/>
    <s v="United States"/>
    <s v="Bloomington"/>
    <x v="10"/>
    <n v="61701"/>
    <x v="2"/>
    <x v="1"/>
    <x v="6"/>
    <n v="54.335999999999999"/>
    <n v="4"/>
    <n v="0.2"/>
    <n v="5.4336000000000002"/>
  </r>
  <r>
    <s v="Standard Class"/>
    <x v="1"/>
    <s v="United States"/>
    <s v="Seattle"/>
    <x v="4"/>
    <n v="98115"/>
    <x v="1"/>
    <x v="1"/>
    <x v="4"/>
    <n v="92.52"/>
    <n v="6"/>
    <n v="0"/>
    <n v="24.980399999999999"/>
  </r>
  <r>
    <s v="Same Day"/>
    <x v="0"/>
    <s v="United States"/>
    <s v="Fayetteville"/>
    <x v="3"/>
    <n v="28314"/>
    <x v="0"/>
    <x v="1"/>
    <x v="6"/>
    <n v="10.272"/>
    <n v="3"/>
    <n v="0.2"/>
    <n v="1.1556"/>
  </r>
  <r>
    <s v="Standard Class"/>
    <x v="0"/>
    <s v="United States"/>
    <s v="Omaha"/>
    <x v="8"/>
    <n v="68104"/>
    <x v="2"/>
    <x v="1"/>
    <x v="4"/>
    <n v="40.74"/>
    <n v="3"/>
    <n v="0"/>
    <n v="0.40739999999999998"/>
  </r>
  <r>
    <s v="Standard Class"/>
    <x v="0"/>
    <s v="United States"/>
    <s v="Omaha"/>
    <x v="8"/>
    <n v="68104"/>
    <x v="2"/>
    <x v="1"/>
    <x v="2"/>
    <n v="14.4"/>
    <n v="5"/>
    <n v="0"/>
    <n v="7.056"/>
  </r>
  <r>
    <s v="Standard Class"/>
    <x v="0"/>
    <s v="United States"/>
    <s v="Omaha"/>
    <x v="8"/>
    <n v="68104"/>
    <x v="2"/>
    <x v="2"/>
    <x v="7"/>
    <n v="149.94999999999999"/>
    <n v="5"/>
    <n v="0"/>
    <n v="41.985999999999997"/>
  </r>
  <r>
    <s v="Standard Class"/>
    <x v="0"/>
    <s v="United States"/>
    <s v="Omaha"/>
    <x v="8"/>
    <n v="68104"/>
    <x v="2"/>
    <x v="1"/>
    <x v="14"/>
    <n v="16.899999999999999"/>
    <n v="2"/>
    <n v="0"/>
    <n v="5.07"/>
  </r>
  <r>
    <s v="Standard Class"/>
    <x v="0"/>
    <s v="United States"/>
    <s v="Omaha"/>
    <x v="8"/>
    <n v="68104"/>
    <x v="2"/>
    <x v="1"/>
    <x v="10"/>
    <n v="17.61"/>
    <n v="3"/>
    <n v="0"/>
    <n v="8.4527999999999999"/>
  </r>
  <r>
    <s v="Standard Class"/>
    <x v="0"/>
    <s v="United States"/>
    <s v="Omaha"/>
    <x v="8"/>
    <n v="68104"/>
    <x v="2"/>
    <x v="1"/>
    <x v="9"/>
    <n v="378"/>
    <n v="2"/>
    <n v="0"/>
    <n v="136.08000000000001"/>
  </r>
  <r>
    <s v="Standard Class"/>
    <x v="0"/>
    <s v="United States"/>
    <s v="Omaha"/>
    <x v="8"/>
    <n v="68104"/>
    <x v="2"/>
    <x v="1"/>
    <x v="10"/>
    <n v="17.64"/>
    <n v="3"/>
    <n v="0"/>
    <n v="8.6435999999999993"/>
  </r>
  <r>
    <s v="Standard Class"/>
    <x v="0"/>
    <s v="United States"/>
    <s v="Omaha"/>
    <x v="8"/>
    <n v="68104"/>
    <x v="2"/>
    <x v="1"/>
    <x v="4"/>
    <n v="373.08"/>
    <n v="6"/>
    <n v="0"/>
    <n v="100.7316"/>
  </r>
  <r>
    <s v="Standard Class"/>
    <x v="0"/>
    <s v="United States"/>
    <s v="Omaha"/>
    <x v="8"/>
    <n v="68104"/>
    <x v="2"/>
    <x v="0"/>
    <x v="5"/>
    <n v="1336.44"/>
    <n v="14"/>
    <n v="0"/>
    <n v="387.56760000000003"/>
  </r>
  <r>
    <s v="Standard Class"/>
    <x v="0"/>
    <s v="United States"/>
    <s v="Omaha"/>
    <x v="8"/>
    <n v="68104"/>
    <x v="2"/>
    <x v="2"/>
    <x v="7"/>
    <n v="29.97"/>
    <n v="3"/>
    <n v="0"/>
    <n v="0.29970000000000002"/>
  </r>
  <r>
    <s v="Standard Class"/>
    <x v="0"/>
    <s v="United States"/>
    <s v="Chattanooga"/>
    <x v="18"/>
    <n v="37421"/>
    <x v="0"/>
    <x v="0"/>
    <x v="1"/>
    <n v="390.36799999999999"/>
    <n v="2"/>
    <n v="0.2"/>
    <n v="48.795999999999999"/>
  </r>
  <r>
    <s v="Standard Class"/>
    <x v="0"/>
    <s v="United States"/>
    <s v="Chattanooga"/>
    <x v="18"/>
    <n v="37421"/>
    <x v="0"/>
    <x v="0"/>
    <x v="5"/>
    <n v="101.52"/>
    <n v="5"/>
    <n v="0.2"/>
    <n v="19.035"/>
  </r>
  <r>
    <s v="Second Class"/>
    <x v="0"/>
    <s v="United States"/>
    <s v="Fairfield"/>
    <x v="24"/>
    <n v="45014"/>
    <x v="3"/>
    <x v="1"/>
    <x v="10"/>
    <n v="74.352000000000004"/>
    <n v="3"/>
    <n v="0.2"/>
    <n v="23.234999999999999"/>
  </r>
  <r>
    <s v="Standard Class"/>
    <x v="0"/>
    <s v="United States"/>
    <s v="Los Angeles"/>
    <x v="1"/>
    <n v="90049"/>
    <x v="1"/>
    <x v="1"/>
    <x v="10"/>
    <n v="15.7"/>
    <n v="5"/>
    <n v="0"/>
    <n v="7.0650000000000004"/>
  </r>
  <r>
    <s v="Standard Class"/>
    <x v="0"/>
    <s v="United States"/>
    <s v="Los Angeles"/>
    <x v="1"/>
    <n v="90049"/>
    <x v="1"/>
    <x v="1"/>
    <x v="6"/>
    <n v="59.52"/>
    <n v="3"/>
    <n v="0"/>
    <n v="15.475199999999999"/>
  </r>
  <r>
    <s v="Standard Class"/>
    <x v="0"/>
    <s v="United States"/>
    <s v="Los Angeles"/>
    <x v="1"/>
    <n v="90049"/>
    <x v="1"/>
    <x v="1"/>
    <x v="10"/>
    <n v="34.4"/>
    <n v="5"/>
    <n v="0"/>
    <n v="15.824"/>
  </r>
  <r>
    <s v="Standard Class"/>
    <x v="1"/>
    <s v="United States"/>
    <s v="New York City"/>
    <x v="15"/>
    <n v="10024"/>
    <x v="3"/>
    <x v="0"/>
    <x v="3"/>
    <n v="313.17599999999999"/>
    <n v="2"/>
    <n v="0.4"/>
    <n v="-120.0508"/>
  </r>
  <r>
    <s v="Standard Class"/>
    <x v="1"/>
    <s v="United States"/>
    <s v="New York City"/>
    <x v="15"/>
    <n v="10024"/>
    <x v="3"/>
    <x v="0"/>
    <x v="1"/>
    <n v="866.64599999999996"/>
    <n v="3"/>
    <n v="0.1"/>
    <n v="173.32919999999999"/>
  </r>
  <r>
    <s v="Same Day"/>
    <x v="1"/>
    <s v="United States"/>
    <s v="Fairfield"/>
    <x v="24"/>
    <n v="45014"/>
    <x v="3"/>
    <x v="1"/>
    <x v="9"/>
    <n v="795.40800000000002"/>
    <n v="6"/>
    <n v="0.2"/>
    <n v="59.6556"/>
  </r>
  <r>
    <s v="Second Class"/>
    <x v="0"/>
    <s v="United States"/>
    <s v="Chicago"/>
    <x v="10"/>
    <n v="60610"/>
    <x v="2"/>
    <x v="1"/>
    <x v="10"/>
    <n v="35.856000000000002"/>
    <n v="9"/>
    <n v="0.2"/>
    <n v="12.9978"/>
  </r>
  <r>
    <s v="Second Class"/>
    <x v="0"/>
    <s v="United States"/>
    <s v="Chicago"/>
    <x v="10"/>
    <n v="60610"/>
    <x v="2"/>
    <x v="2"/>
    <x v="11"/>
    <n v="23.84"/>
    <n v="4"/>
    <n v="0.2"/>
    <n v="3.278"/>
  </r>
  <r>
    <s v="Standard Class"/>
    <x v="0"/>
    <s v="United States"/>
    <s v="Seattle"/>
    <x v="4"/>
    <n v="98103"/>
    <x v="1"/>
    <x v="0"/>
    <x v="5"/>
    <n v="43.13"/>
    <n v="1"/>
    <n v="0"/>
    <n v="14.664199999999999"/>
  </r>
  <r>
    <s v="Standard Class"/>
    <x v="0"/>
    <s v="United States"/>
    <s v="Seattle"/>
    <x v="4"/>
    <n v="98103"/>
    <x v="1"/>
    <x v="1"/>
    <x v="10"/>
    <n v="30.87"/>
    <n v="7"/>
    <n v="0"/>
    <n v="14.200200000000001"/>
  </r>
  <r>
    <s v="Standard Class"/>
    <x v="0"/>
    <s v="United States"/>
    <s v="New York City"/>
    <x v="15"/>
    <n v="10011"/>
    <x v="3"/>
    <x v="1"/>
    <x v="14"/>
    <n v="70.12"/>
    <n v="4"/>
    <n v="0"/>
    <n v="21.036000000000001"/>
  </r>
  <r>
    <s v="Standard Class"/>
    <x v="1"/>
    <s v="United States"/>
    <s v="Camarillo"/>
    <x v="1"/>
    <n v="93010"/>
    <x v="1"/>
    <x v="0"/>
    <x v="0"/>
    <n v="509.95749999999998"/>
    <n v="5"/>
    <n v="0.15"/>
    <n v="41.996499999999997"/>
  </r>
  <r>
    <s v="Standard Class"/>
    <x v="1"/>
    <s v="United States"/>
    <s v="Camarillo"/>
    <x v="1"/>
    <n v="93010"/>
    <x v="1"/>
    <x v="0"/>
    <x v="5"/>
    <n v="122.91"/>
    <n v="3"/>
    <n v="0"/>
    <n v="34.4148"/>
  </r>
  <r>
    <s v="Standard Class"/>
    <x v="1"/>
    <s v="United States"/>
    <s v="Camarillo"/>
    <x v="1"/>
    <n v="93010"/>
    <x v="1"/>
    <x v="0"/>
    <x v="1"/>
    <n v="97.567999999999998"/>
    <n v="2"/>
    <n v="0.2"/>
    <n v="-6.0979999999999999"/>
  </r>
  <r>
    <s v="Standard Class"/>
    <x v="1"/>
    <s v="United States"/>
    <s v="Camarillo"/>
    <x v="1"/>
    <n v="93010"/>
    <x v="1"/>
    <x v="0"/>
    <x v="1"/>
    <n v="722.35199999999998"/>
    <n v="3"/>
    <n v="0.2"/>
    <n v="81.264600000000002"/>
  </r>
  <r>
    <s v="First Class"/>
    <x v="0"/>
    <s v="United States"/>
    <s v="Chicago"/>
    <x v="10"/>
    <n v="60653"/>
    <x v="2"/>
    <x v="1"/>
    <x v="2"/>
    <n v="11.52"/>
    <n v="5"/>
    <n v="0.2"/>
    <n v="4.1760000000000002"/>
  </r>
  <r>
    <s v="Standard Class"/>
    <x v="1"/>
    <s v="United States"/>
    <s v="Los Angeles"/>
    <x v="1"/>
    <n v="90032"/>
    <x v="1"/>
    <x v="0"/>
    <x v="5"/>
    <n v="167.84"/>
    <n v="8"/>
    <n v="0"/>
    <n v="11.748799999999999"/>
  </r>
  <r>
    <s v="Standard Class"/>
    <x v="0"/>
    <s v="United States"/>
    <s v="Toledo"/>
    <x v="24"/>
    <n v="43615"/>
    <x v="3"/>
    <x v="0"/>
    <x v="3"/>
    <n v="172.11"/>
    <n v="1"/>
    <n v="0.4"/>
    <n v="-94.660499999999999"/>
  </r>
  <r>
    <s v="First Class"/>
    <x v="0"/>
    <s v="United States"/>
    <s v="New York City"/>
    <x v="15"/>
    <n v="10011"/>
    <x v="3"/>
    <x v="2"/>
    <x v="11"/>
    <n v="99.98"/>
    <n v="2"/>
    <n v="0"/>
    <n v="7.9984000000000002"/>
  </r>
  <r>
    <s v="Standard Class"/>
    <x v="2"/>
    <s v="United States"/>
    <s v="Tigard"/>
    <x v="21"/>
    <n v="97224"/>
    <x v="1"/>
    <x v="2"/>
    <x v="7"/>
    <n v="156.792"/>
    <n v="1"/>
    <n v="0.2"/>
    <n v="17.639099999999999"/>
  </r>
  <r>
    <s v="Standard Class"/>
    <x v="2"/>
    <s v="United States"/>
    <s v="Tigard"/>
    <x v="21"/>
    <n v="97224"/>
    <x v="1"/>
    <x v="2"/>
    <x v="11"/>
    <n v="35.36"/>
    <n v="2"/>
    <n v="0.2"/>
    <n v="-3.0939999999999999"/>
  </r>
  <r>
    <s v="Standard Class"/>
    <x v="2"/>
    <s v="United States"/>
    <s v="Tigard"/>
    <x v="21"/>
    <n v="97224"/>
    <x v="1"/>
    <x v="0"/>
    <x v="5"/>
    <n v="13.592000000000001"/>
    <n v="1"/>
    <n v="0.2"/>
    <n v="-0.33979999999999999"/>
  </r>
  <r>
    <s v="Second Class"/>
    <x v="1"/>
    <s v="United States"/>
    <s v="Philadelphia"/>
    <x v="9"/>
    <n v="19134"/>
    <x v="3"/>
    <x v="0"/>
    <x v="1"/>
    <n v="386.68"/>
    <n v="2"/>
    <n v="0.3"/>
    <n v="-5.524"/>
  </r>
  <r>
    <s v="Second Class"/>
    <x v="1"/>
    <s v="United States"/>
    <s v="Philadelphia"/>
    <x v="9"/>
    <n v="19134"/>
    <x v="3"/>
    <x v="2"/>
    <x v="11"/>
    <n v="379.96"/>
    <n v="5"/>
    <n v="0.2"/>
    <n v="47.494999999999997"/>
  </r>
  <r>
    <s v="Second Class"/>
    <x v="1"/>
    <s v="United States"/>
    <s v="Philadelphia"/>
    <x v="9"/>
    <n v="19134"/>
    <x v="3"/>
    <x v="2"/>
    <x v="7"/>
    <n v="539.91"/>
    <n v="3"/>
    <n v="0.4"/>
    <n v="-116.98050000000001"/>
  </r>
  <r>
    <s v="Second Class"/>
    <x v="1"/>
    <s v="United States"/>
    <s v="Philadelphia"/>
    <x v="9"/>
    <n v="19134"/>
    <x v="3"/>
    <x v="1"/>
    <x v="10"/>
    <n v="41.24"/>
    <n v="5"/>
    <n v="0.2"/>
    <n v="13.9185"/>
  </r>
  <r>
    <s v="Second Class"/>
    <x v="1"/>
    <s v="United States"/>
    <s v="Philadelphia"/>
    <x v="9"/>
    <n v="19134"/>
    <x v="3"/>
    <x v="1"/>
    <x v="8"/>
    <n v="51.896999999999998"/>
    <n v="1"/>
    <n v="0.7"/>
    <n v="-41.517600000000002"/>
  </r>
  <r>
    <s v="Second Class"/>
    <x v="1"/>
    <s v="United States"/>
    <s v="Philadelphia"/>
    <x v="9"/>
    <n v="19134"/>
    <x v="3"/>
    <x v="1"/>
    <x v="4"/>
    <n v="552.55999999999995"/>
    <n v="5"/>
    <n v="0.2"/>
    <n v="-138.13999999999999"/>
  </r>
  <r>
    <s v="Second Class"/>
    <x v="1"/>
    <s v="United States"/>
    <s v="Philadelphia"/>
    <x v="9"/>
    <n v="19134"/>
    <x v="3"/>
    <x v="1"/>
    <x v="8"/>
    <n v="23.16"/>
    <n v="5"/>
    <n v="0.7"/>
    <n v="-15.44"/>
  </r>
  <r>
    <s v="Second Class"/>
    <x v="1"/>
    <s v="United States"/>
    <s v="Philadelphia"/>
    <x v="9"/>
    <n v="19134"/>
    <x v="3"/>
    <x v="1"/>
    <x v="4"/>
    <n v="126.08"/>
    <n v="2"/>
    <n v="0.2"/>
    <n v="-28.367999999999999"/>
  </r>
  <r>
    <s v="Second Class"/>
    <x v="1"/>
    <s v="United States"/>
    <s v="Philadelphia"/>
    <x v="9"/>
    <n v="19134"/>
    <x v="3"/>
    <x v="2"/>
    <x v="15"/>
    <n v="449.1"/>
    <n v="3"/>
    <n v="0.7"/>
    <n v="-643.71"/>
  </r>
  <r>
    <s v="Standard Class"/>
    <x v="0"/>
    <s v="United States"/>
    <s v="Philadelphia"/>
    <x v="9"/>
    <n v="19143"/>
    <x v="3"/>
    <x v="1"/>
    <x v="9"/>
    <n v="195.10400000000001"/>
    <n v="4"/>
    <n v="0.2"/>
    <n v="21.949200000000001"/>
  </r>
  <r>
    <s v="Standard Class"/>
    <x v="0"/>
    <s v="United States"/>
    <s v="Philadelphia"/>
    <x v="9"/>
    <n v="19143"/>
    <x v="3"/>
    <x v="0"/>
    <x v="5"/>
    <n v="36.671999999999997"/>
    <n v="3"/>
    <n v="0.2"/>
    <n v="6.4176000000000002"/>
  </r>
  <r>
    <s v="Second Class"/>
    <x v="0"/>
    <s v="United States"/>
    <s v="Houston"/>
    <x v="5"/>
    <n v="77070"/>
    <x v="2"/>
    <x v="0"/>
    <x v="1"/>
    <n v="85.245999999999995"/>
    <n v="2"/>
    <n v="0.3"/>
    <n v="-6.0890000000000004"/>
  </r>
  <r>
    <s v="Second Class"/>
    <x v="0"/>
    <s v="United States"/>
    <s v="Houston"/>
    <x v="5"/>
    <n v="77070"/>
    <x v="2"/>
    <x v="0"/>
    <x v="5"/>
    <n v="32.712000000000003"/>
    <n v="2"/>
    <n v="0.6"/>
    <n v="-26.169599999999999"/>
  </r>
  <r>
    <s v="Standard Class"/>
    <x v="1"/>
    <s v="United States"/>
    <s v="Jackson"/>
    <x v="35"/>
    <n v="39212"/>
    <x v="0"/>
    <x v="1"/>
    <x v="8"/>
    <n v="11.43"/>
    <n v="3"/>
    <n v="0"/>
    <n v="5.3720999999999997"/>
  </r>
  <r>
    <s v="Standard Class"/>
    <x v="1"/>
    <s v="United States"/>
    <s v="Jackson"/>
    <x v="35"/>
    <n v="39212"/>
    <x v="0"/>
    <x v="1"/>
    <x v="8"/>
    <n v="30.44"/>
    <n v="2"/>
    <n v="0"/>
    <n v="14.9156"/>
  </r>
  <r>
    <s v="Standard Class"/>
    <x v="1"/>
    <s v="United States"/>
    <s v="Jackson"/>
    <x v="35"/>
    <n v="39212"/>
    <x v="0"/>
    <x v="1"/>
    <x v="10"/>
    <n v="12.96"/>
    <n v="2"/>
    <n v="0"/>
    <n v="6.3503999999999996"/>
  </r>
  <r>
    <s v="Standard Class"/>
    <x v="1"/>
    <s v="United States"/>
    <s v="Jackson"/>
    <x v="35"/>
    <n v="39212"/>
    <x v="0"/>
    <x v="1"/>
    <x v="10"/>
    <n v="16"/>
    <n v="4"/>
    <n v="0"/>
    <n v="7.68"/>
  </r>
  <r>
    <s v="Standard Class"/>
    <x v="1"/>
    <s v="United States"/>
    <s v="Jackson"/>
    <x v="35"/>
    <n v="39212"/>
    <x v="0"/>
    <x v="1"/>
    <x v="9"/>
    <n v="32.67"/>
    <n v="3"/>
    <n v="0"/>
    <n v="8.4941999999999993"/>
  </r>
  <r>
    <s v="Standard Class"/>
    <x v="0"/>
    <s v="United States"/>
    <s v="Phoenix"/>
    <x v="16"/>
    <n v="85023"/>
    <x v="1"/>
    <x v="1"/>
    <x v="13"/>
    <n v="4.4640000000000004"/>
    <n v="3"/>
    <n v="0.2"/>
    <n v="-0.9486"/>
  </r>
  <r>
    <s v="Standard Class"/>
    <x v="0"/>
    <s v="United States"/>
    <s v="Phoenix"/>
    <x v="16"/>
    <n v="85023"/>
    <x v="1"/>
    <x v="1"/>
    <x v="8"/>
    <n v="9.3450000000000006"/>
    <n v="5"/>
    <n v="0.7"/>
    <n v="-6.5415000000000001"/>
  </r>
  <r>
    <s v="Standard Class"/>
    <x v="1"/>
    <s v="United States"/>
    <s v="Oxnard"/>
    <x v="1"/>
    <n v="93030"/>
    <x v="1"/>
    <x v="1"/>
    <x v="8"/>
    <n v="9.1440000000000001"/>
    <n v="3"/>
    <n v="0.2"/>
    <n v="3.0861000000000001"/>
  </r>
  <r>
    <s v="Standard Class"/>
    <x v="1"/>
    <s v="United States"/>
    <s v="Oxnard"/>
    <x v="1"/>
    <n v="93030"/>
    <x v="1"/>
    <x v="1"/>
    <x v="8"/>
    <n v="23.135999999999999"/>
    <n v="6"/>
    <n v="0.2"/>
    <n v="8.3867999999999991"/>
  </r>
  <r>
    <s v="Standard Class"/>
    <x v="1"/>
    <s v="United States"/>
    <s v="Oxnard"/>
    <x v="1"/>
    <n v="93030"/>
    <x v="1"/>
    <x v="1"/>
    <x v="6"/>
    <n v="99.2"/>
    <n v="5"/>
    <n v="0"/>
    <n v="25.792000000000002"/>
  </r>
  <r>
    <s v="Standard Class"/>
    <x v="1"/>
    <s v="United States"/>
    <s v="Seattle"/>
    <x v="4"/>
    <n v="98105"/>
    <x v="1"/>
    <x v="1"/>
    <x v="8"/>
    <n v="21.36"/>
    <n v="5"/>
    <n v="0.2"/>
    <n v="7.2089999999999996"/>
  </r>
  <r>
    <s v="Second Class"/>
    <x v="1"/>
    <s v="United States"/>
    <s v="Covington"/>
    <x v="4"/>
    <n v="98042"/>
    <x v="1"/>
    <x v="0"/>
    <x v="5"/>
    <n v="46.9"/>
    <n v="5"/>
    <n v="0"/>
    <n v="13.132"/>
  </r>
  <r>
    <s v="Standard Class"/>
    <x v="0"/>
    <s v="United States"/>
    <s v="Los Angeles"/>
    <x v="1"/>
    <n v="90049"/>
    <x v="1"/>
    <x v="1"/>
    <x v="8"/>
    <n v="18.72"/>
    <n v="5"/>
    <n v="0.2"/>
    <n v="6.5519999999999996"/>
  </r>
  <r>
    <s v="Standard Class"/>
    <x v="0"/>
    <s v="United States"/>
    <s v="Los Angeles"/>
    <x v="1"/>
    <n v="90049"/>
    <x v="1"/>
    <x v="0"/>
    <x v="3"/>
    <n v="236.52799999999999"/>
    <n v="2"/>
    <n v="0.2"/>
    <n v="-2.9565999999999999"/>
  </r>
  <r>
    <s v="First Class"/>
    <x v="1"/>
    <s v="United States"/>
    <s v="San Diego"/>
    <x v="1"/>
    <n v="92105"/>
    <x v="1"/>
    <x v="1"/>
    <x v="2"/>
    <n v="18.899999999999999"/>
    <n v="3"/>
    <n v="0"/>
    <n v="8.6940000000000008"/>
  </r>
  <r>
    <s v="First Class"/>
    <x v="1"/>
    <s v="United States"/>
    <s v="Brownsville"/>
    <x v="5"/>
    <n v="78521"/>
    <x v="2"/>
    <x v="1"/>
    <x v="10"/>
    <n v="10.688000000000001"/>
    <n v="2"/>
    <n v="0.2"/>
    <n v="3.7408000000000001"/>
  </r>
  <r>
    <s v="First Class"/>
    <x v="1"/>
    <s v="United States"/>
    <s v="Brownsville"/>
    <x v="5"/>
    <n v="78521"/>
    <x v="2"/>
    <x v="1"/>
    <x v="4"/>
    <n v="237.096"/>
    <n v="3"/>
    <n v="0.2"/>
    <n v="20.745899999999999"/>
  </r>
  <r>
    <s v="Second Class"/>
    <x v="2"/>
    <s v="United States"/>
    <s v="Chicago"/>
    <x v="10"/>
    <n v="60610"/>
    <x v="2"/>
    <x v="1"/>
    <x v="10"/>
    <n v="5.1840000000000002"/>
    <n v="1"/>
    <n v="0.2"/>
    <n v="1.8144"/>
  </r>
  <r>
    <s v="Second Class"/>
    <x v="2"/>
    <s v="United States"/>
    <s v="Chicago"/>
    <x v="10"/>
    <n v="60610"/>
    <x v="2"/>
    <x v="1"/>
    <x v="10"/>
    <n v="65.584000000000003"/>
    <n v="2"/>
    <n v="0.2"/>
    <n v="23.7742"/>
  </r>
  <r>
    <s v="Second Class"/>
    <x v="2"/>
    <s v="United States"/>
    <s v="Chicago"/>
    <x v="10"/>
    <n v="60610"/>
    <x v="2"/>
    <x v="0"/>
    <x v="5"/>
    <n v="22.2"/>
    <n v="1"/>
    <n v="0.6"/>
    <n v="-26.085000000000001"/>
  </r>
  <r>
    <s v="Second Class"/>
    <x v="2"/>
    <s v="United States"/>
    <s v="Chicago"/>
    <x v="10"/>
    <n v="60610"/>
    <x v="2"/>
    <x v="1"/>
    <x v="10"/>
    <n v="419.4"/>
    <n v="5"/>
    <n v="0.2"/>
    <n v="146.79"/>
  </r>
  <r>
    <s v="First Class"/>
    <x v="0"/>
    <s v="United States"/>
    <s v="Knoxville"/>
    <x v="18"/>
    <n v="37918"/>
    <x v="0"/>
    <x v="0"/>
    <x v="5"/>
    <n v="88.92"/>
    <n v="5"/>
    <n v="0.2"/>
    <n v="14.4495"/>
  </r>
  <r>
    <s v="Second Class"/>
    <x v="2"/>
    <s v="United States"/>
    <s v="Houston"/>
    <x v="5"/>
    <n v="77036"/>
    <x v="2"/>
    <x v="1"/>
    <x v="6"/>
    <n v="9.9120000000000008"/>
    <n v="3"/>
    <n v="0.2"/>
    <n v="3.2214"/>
  </r>
  <r>
    <s v="Second Class"/>
    <x v="2"/>
    <s v="United States"/>
    <s v="Houston"/>
    <x v="5"/>
    <n v="77036"/>
    <x v="2"/>
    <x v="0"/>
    <x v="1"/>
    <n v="318.43"/>
    <n v="5"/>
    <n v="0.3"/>
    <n v="-77.332999999999998"/>
  </r>
  <r>
    <s v="Second Class"/>
    <x v="2"/>
    <s v="United States"/>
    <s v="Houston"/>
    <x v="5"/>
    <n v="77036"/>
    <x v="2"/>
    <x v="1"/>
    <x v="8"/>
    <n v="5.8"/>
    <n v="5"/>
    <n v="0.8"/>
    <n v="-10.15"/>
  </r>
  <r>
    <s v="Second Class"/>
    <x v="2"/>
    <s v="United States"/>
    <s v="Houston"/>
    <x v="5"/>
    <n v="77036"/>
    <x v="2"/>
    <x v="2"/>
    <x v="7"/>
    <n v="1415.76"/>
    <n v="6"/>
    <n v="0.2"/>
    <n v="88.484999999999999"/>
  </r>
  <r>
    <s v="Standard Class"/>
    <x v="0"/>
    <s v="United States"/>
    <s v="Bolingbrook"/>
    <x v="10"/>
    <n v="60440"/>
    <x v="2"/>
    <x v="2"/>
    <x v="7"/>
    <n v="148.47999999999999"/>
    <n v="2"/>
    <n v="0.2"/>
    <n v="16.704000000000001"/>
  </r>
  <r>
    <s v="Standard Class"/>
    <x v="0"/>
    <s v="United States"/>
    <s v="Chicago"/>
    <x v="10"/>
    <n v="60623"/>
    <x v="2"/>
    <x v="1"/>
    <x v="2"/>
    <n v="9.2479999999999993"/>
    <n v="4"/>
    <n v="0.2"/>
    <n v="3.1212"/>
  </r>
  <r>
    <s v="Standard Class"/>
    <x v="0"/>
    <s v="United States"/>
    <s v="Chicago"/>
    <x v="10"/>
    <n v="60623"/>
    <x v="2"/>
    <x v="1"/>
    <x v="4"/>
    <n v="1036.624"/>
    <n v="2"/>
    <n v="0.2"/>
    <n v="51.831200000000003"/>
  </r>
  <r>
    <s v="First Class"/>
    <x v="0"/>
    <s v="United States"/>
    <s v="Waynesboro"/>
    <x v="17"/>
    <n v="22980"/>
    <x v="0"/>
    <x v="2"/>
    <x v="7"/>
    <n v="569.64"/>
    <n v="2"/>
    <n v="0"/>
    <n v="148.10640000000001"/>
  </r>
  <r>
    <s v="First Class"/>
    <x v="0"/>
    <s v="United States"/>
    <s v="Waynesboro"/>
    <x v="17"/>
    <n v="22980"/>
    <x v="0"/>
    <x v="1"/>
    <x v="8"/>
    <n v="9.14"/>
    <n v="1"/>
    <n v="0"/>
    <n v="4.57"/>
  </r>
  <r>
    <s v="First Class"/>
    <x v="0"/>
    <s v="United States"/>
    <s v="Waynesboro"/>
    <x v="17"/>
    <n v="22980"/>
    <x v="0"/>
    <x v="0"/>
    <x v="5"/>
    <n v="1196.8599999999999"/>
    <n v="7"/>
    <n v="0"/>
    <n v="119.68600000000001"/>
  </r>
  <r>
    <s v="First Class"/>
    <x v="0"/>
    <s v="United States"/>
    <s v="Waynesboro"/>
    <x v="17"/>
    <n v="22980"/>
    <x v="0"/>
    <x v="0"/>
    <x v="0"/>
    <n v="523.26"/>
    <n v="9"/>
    <n v="0"/>
    <n v="125.58240000000001"/>
  </r>
  <r>
    <s v="Second Class"/>
    <x v="0"/>
    <s v="United States"/>
    <s v="Los Angeles"/>
    <x v="1"/>
    <n v="90004"/>
    <x v="1"/>
    <x v="2"/>
    <x v="16"/>
    <n v="639.96799999999996"/>
    <n v="4"/>
    <n v="0.2"/>
    <n v="215.98920000000001"/>
  </r>
  <r>
    <s v="Second Class"/>
    <x v="0"/>
    <s v="United States"/>
    <s v="Los Angeles"/>
    <x v="1"/>
    <n v="90004"/>
    <x v="1"/>
    <x v="1"/>
    <x v="10"/>
    <n v="52.76"/>
    <n v="2"/>
    <n v="0"/>
    <n v="24.269600000000001"/>
  </r>
  <r>
    <s v="Second Class"/>
    <x v="0"/>
    <s v="United States"/>
    <s v="Seattle"/>
    <x v="4"/>
    <n v="98105"/>
    <x v="1"/>
    <x v="2"/>
    <x v="11"/>
    <n v="538.91999999999996"/>
    <n v="9"/>
    <n v="0"/>
    <n v="80.837999999999994"/>
  </r>
  <r>
    <s v="Standard Class"/>
    <x v="0"/>
    <s v="United States"/>
    <s v="Visalia"/>
    <x v="1"/>
    <n v="93277"/>
    <x v="1"/>
    <x v="1"/>
    <x v="6"/>
    <n v="14.88"/>
    <n v="2"/>
    <n v="0"/>
    <n v="3.72"/>
  </r>
  <r>
    <s v="Standard Class"/>
    <x v="0"/>
    <s v="United States"/>
    <s v="Visalia"/>
    <x v="1"/>
    <n v="93277"/>
    <x v="1"/>
    <x v="1"/>
    <x v="10"/>
    <n v="34.24"/>
    <n v="8"/>
    <n v="0"/>
    <n v="15.407999999999999"/>
  </r>
  <r>
    <s v="Standard Class"/>
    <x v="0"/>
    <s v="United States"/>
    <s v="Visalia"/>
    <x v="1"/>
    <n v="93277"/>
    <x v="1"/>
    <x v="1"/>
    <x v="4"/>
    <n v="261.74"/>
    <n v="2"/>
    <n v="0"/>
    <n v="65.435000000000002"/>
  </r>
  <r>
    <s v="Standard Class"/>
    <x v="1"/>
    <s v="United States"/>
    <s v="Los Angeles"/>
    <x v="1"/>
    <n v="90008"/>
    <x v="1"/>
    <x v="1"/>
    <x v="9"/>
    <n v="87.84"/>
    <n v="8"/>
    <n v="0"/>
    <n v="23.716799999999999"/>
  </r>
  <r>
    <s v="Second Class"/>
    <x v="2"/>
    <s v="United States"/>
    <s v="Los Angeles"/>
    <x v="1"/>
    <n v="90045"/>
    <x v="1"/>
    <x v="0"/>
    <x v="5"/>
    <n v="34.92"/>
    <n v="4"/>
    <n v="0"/>
    <n v="11.8728"/>
  </r>
  <r>
    <s v="Standard Class"/>
    <x v="0"/>
    <s v="United States"/>
    <s v="New York City"/>
    <x v="15"/>
    <n v="10011"/>
    <x v="3"/>
    <x v="1"/>
    <x v="10"/>
    <n v="14.94"/>
    <n v="3"/>
    <n v="0"/>
    <n v="7.0217999999999998"/>
  </r>
  <r>
    <s v="Standard Class"/>
    <x v="0"/>
    <s v="United States"/>
    <s v="New York City"/>
    <x v="15"/>
    <n v="10011"/>
    <x v="3"/>
    <x v="0"/>
    <x v="5"/>
    <n v="14.56"/>
    <n v="2"/>
    <n v="0"/>
    <n v="6.2607999999999997"/>
  </r>
  <r>
    <s v="Standard Class"/>
    <x v="1"/>
    <s v="United States"/>
    <s v="Philadelphia"/>
    <x v="9"/>
    <n v="19143"/>
    <x v="3"/>
    <x v="1"/>
    <x v="8"/>
    <n v="3.5760000000000001"/>
    <n v="4"/>
    <n v="0.7"/>
    <n v="-2.8607999999999998"/>
  </r>
  <r>
    <s v="Standard Class"/>
    <x v="1"/>
    <s v="United States"/>
    <s v="Philadelphia"/>
    <x v="9"/>
    <n v="19143"/>
    <x v="3"/>
    <x v="1"/>
    <x v="4"/>
    <n v="147.184"/>
    <n v="2"/>
    <n v="0.2"/>
    <n v="-29.436800000000002"/>
  </r>
  <r>
    <s v="First Class"/>
    <x v="2"/>
    <s v="United States"/>
    <s v="Lehi"/>
    <x v="7"/>
    <n v="84043"/>
    <x v="1"/>
    <x v="2"/>
    <x v="16"/>
    <n v="1499.95"/>
    <n v="5"/>
    <n v="0"/>
    <n v="449.98500000000001"/>
  </r>
  <r>
    <s v="Standard Class"/>
    <x v="1"/>
    <s v="United States"/>
    <s v="Chicago"/>
    <x v="10"/>
    <n v="60653"/>
    <x v="2"/>
    <x v="1"/>
    <x v="6"/>
    <n v="13.568"/>
    <n v="4"/>
    <n v="0.2"/>
    <n v="3.2223999999999999"/>
  </r>
  <r>
    <s v="Standard Class"/>
    <x v="2"/>
    <s v="United States"/>
    <s v="Henderson"/>
    <x v="0"/>
    <n v="42420"/>
    <x v="0"/>
    <x v="0"/>
    <x v="1"/>
    <n v="2573.8200000000002"/>
    <n v="9"/>
    <n v="0"/>
    <n v="746.40779999999995"/>
  </r>
  <r>
    <s v="Standard Class"/>
    <x v="2"/>
    <s v="United States"/>
    <s v="Henderson"/>
    <x v="0"/>
    <n v="42420"/>
    <x v="0"/>
    <x v="1"/>
    <x v="8"/>
    <n v="609.98"/>
    <n v="2"/>
    <n v="0"/>
    <n v="274.49099999999999"/>
  </r>
  <r>
    <s v="Standard Class"/>
    <x v="2"/>
    <s v="United States"/>
    <s v="Henderson"/>
    <x v="0"/>
    <n v="42420"/>
    <x v="0"/>
    <x v="1"/>
    <x v="6"/>
    <n v="5.48"/>
    <n v="2"/>
    <n v="0"/>
    <n v="1.4796"/>
  </r>
  <r>
    <s v="Standard Class"/>
    <x v="2"/>
    <s v="United States"/>
    <s v="Henderson"/>
    <x v="0"/>
    <n v="42420"/>
    <x v="0"/>
    <x v="2"/>
    <x v="7"/>
    <n v="391.98"/>
    <n v="2"/>
    <n v="0"/>
    <n v="113.6742"/>
  </r>
  <r>
    <s v="Standard Class"/>
    <x v="2"/>
    <s v="United States"/>
    <s v="Henderson"/>
    <x v="0"/>
    <n v="42420"/>
    <x v="0"/>
    <x v="2"/>
    <x v="7"/>
    <n v="755.96"/>
    <n v="4"/>
    <n v="0"/>
    <n v="204.10919999999999"/>
  </r>
  <r>
    <s v="Standard Class"/>
    <x v="2"/>
    <s v="United States"/>
    <s v="Henderson"/>
    <x v="0"/>
    <n v="42420"/>
    <x v="0"/>
    <x v="1"/>
    <x v="13"/>
    <n v="31.12"/>
    <n v="4"/>
    <n v="0"/>
    <n v="0.31119999999999998"/>
  </r>
  <r>
    <s v="Standard Class"/>
    <x v="2"/>
    <s v="United States"/>
    <s v="Henderson"/>
    <x v="0"/>
    <n v="42420"/>
    <x v="0"/>
    <x v="1"/>
    <x v="10"/>
    <n v="6.54"/>
    <n v="1"/>
    <n v="0"/>
    <n v="3.0084"/>
  </r>
  <r>
    <s v="Second Class"/>
    <x v="2"/>
    <s v="United States"/>
    <s v="Huntington Beach"/>
    <x v="1"/>
    <n v="92646"/>
    <x v="1"/>
    <x v="1"/>
    <x v="12"/>
    <n v="12.78"/>
    <n v="1"/>
    <n v="0"/>
    <n v="5.7510000000000003"/>
  </r>
  <r>
    <s v="Standard Class"/>
    <x v="2"/>
    <s v="United States"/>
    <s v="New York City"/>
    <x v="15"/>
    <n v="10011"/>
    <x v="3"/>
    <x v="1"/>
    <x v="8"/>
    <n v="18.463999999999999"/>
    <n v="4"/>
    <n v="0.2"/>
    <n v="6.9240000000000004"/>
  </r>
  <r>
    <s v="Second Class"/>
    <x v="1"/>
    <s v="United States"/>
    <s v="Philadelphia"/>
    <x v="9"/>
    <n v="19140"/>
    <x v="3"/>
    <x v="0"/>
    <x v="1"/>
    <n v="445.80200000000002"/>
    <n v="7"/>
    <n v="0.3"/>
    <n v="-108.2662"/>
  </r>
  <r>
    <s v="Standard Class"/>
    <x v="2"/>
    <s v="United States"/>
    <s v="Fargo"/>
    <x v="46"/>
    <n v="58103"/>
    <x v="2"/>
    <x v="1"/>
    <x v="6"/>
    <n v="2.48"/>
    <n v="1"/>
    <n v="0"/>
    <n v="0.86799999999999999"/>
  </r>
  <r>
    <s v="Standard Class"/>
    <x v="2"/>
    <s v="United States"/>
    <s v="Fargo"/>
    <x v="46"/>
    <n v="58103"/>
    <x v="2"/>
    <x v="1"/>
    <x v="8"/>
    <n v="25.9"/>
    <n v="5"/>
    <n v="0"/>
    <n v="12.691000000000001"/>
  </r>
  <r>
    <s v="Second Class"/>
    <x v="2"/>
    <s v="United States"/>
    <s v="Dover"/>
    <x v="38"/>
    <n v="3820"/>
    <x v="3"/>
    <x v="1"/>
    <x v="10"/>
    <n v="29.9"/>
    <n v="5"/>
    <n v="0"/>
    <n v="14.651"/>
  </r>
  <r>
    <s v="Second Class"/>
    <x v="2"/>
    <s v="United States"/>
    <s v="Dover"/>
    <x v="38"/>
    <n v="3820"/>
    <x v="3"/>
    <x v="2"/>
    <x v="11"/>
    <n v="2249.91"/>
    <n v="9"/>
    <n v="0"/>
    <n v="517.47929999999997"/>
  </r>
  <r>
    <s v="Second Class"/>
    <x v="2"/>
    <s v="United States"/>
    <s v="Dover"/>
    <x v="38"/>
    <n v="3820"/>
    <x v="3"/>
    <x v="0"/>
    <x v="3"/>
    <n v="1053.164"/>
    <n v="4"/>
    <n v="0.3"/>
    <n v="-105.3164"/>
  </r>
  <r>
    <s v="Standard Class"/>
    <x v="0"/>
    <s v="United States"/>
    <s v="San Diego"/>
    <x v="1"/>
    <n v="92105"/>
    <x v="1"/>
    <x v="1"/>
    <x v="10"/>
    <n v="12.96"/>
    <n v="2"/>
    <n v="0"/>
    <n v="6.2207999999999997"/>
  </r>
  <r>
    <s v="Standard Class"/>
    <x v="1"/>
    <s v="United States"/>
    <s v="Los Angeles"/>
    <x v="1"/>
    <n v="90032"/>
    <x v="1"/>
    <x v="0"/>
    <x v="5"/>
    <n v="106.68"/>
    <n v="6"/>
    <n v="0"/>
    <n v="33.070799999999998"/>
  </r>
  <r>
    <s v="Same Day"/>
    <x v="0"/>
    <s v="United States"/>
    <s v="Utica"/>
    <x v="15"/>
    <n v="13501"/>
    <x v="3"/>
    <x v="2"/>
    <x v="7"/>
    <n v="119.94"/>
    <n v="6"/>
    <n v="0"/>
    <n v="5.9969999999999999"/>
  </r>
  <r>
    <s v="Standard Class"/>
    <x v="0"/>
    <s v="United States"/>
    <s v="Houston"/>
    <x v="5"/>
    <n v="77070"/>
    <x v="2"/>
    <x v="1"/>
    <x v="10"/>
    <n v="10.272"/>
    <n v="3"/>
    <n v="0.2"/>
    <n v="3.21"/>
  </r>
  <r>
    <s v="Standard Class"/>
    <x v="0"/>
    <s v="United States"/>
    <s v="Houston"/>
    <x v="5"/>
    <n v="77070"/>
    <x v="2"/>
    <x v="0"/>
    <x v="3"/>
    <n v="512.19000000000005"/>
    <n v="5"/>
    <n v="0.3"/>
    <n v="-65.852999999999994"/>
  </r>
  <r>
    <s v="Standard Class"/>
    <x v="0"/>
    <s v="United States"/>
    <s v="Houston"/>
    <x v="5"/>
    <n v="77070"/>
    <x v="2"/>
    <x v="1"/>
    <x v="9"/>
    <n v="1.556"/>
    <n v="2"/>
    <n v="0.8"/>
    <n v="-4.2012"/>
  </r>
  <r>
    <s v="Standard Class"/>
    <x v="0"/>
    <s v="United States"/>
    <s v="Westminster"/>
    <x v="1"/>
    <n v="92683"/>
    <x v="1"/>
    <x v="1"/>
    <x v="8"/>
    <n v="4.4480000000000004"/>
    <n v="2"/>
    <n v="0.2"/>
    <n v="1.4456"/>
  </r>
  <r>
    <s v="Standard Class"/>
    <x v="0"/>
    <s v="United States"/>
    <s v="Westminster"/>
    <x v="1"/>
    <n v="92683"/>
    <x v="1"/>
    <x v="0"/>
    <x v="5"/>
    <n v="276.69"/>
    <n v="3"/>
    <n v="0"/>
    <n v="49.804200000000002"/>
  </r>
  <r>
    <s v="Standard Class"/>
    <x v="0"/>
    <s v="United States"/>
    <s v="Westminster"/>
    <x v="1"/>
    <n v="92683"/>
    <x v="1"/>
    <x v="1"/>
    <x v="13"/>
    <n v="4.96"/>
    <n v="4"/>
    <n v="0"/>
    <n v="2.3311999999999999"/>
  </r>
  <r>
    <s v="Standard Class"/>
    <x v="0"/>
    <s v="United States"/>
    <s v="Westminster"/>
    <x v="1"/>
    <n v="92683"/>
    <x v="1"/>
    <x v="1"/>
    <x v="6"/>
    <n v="71.92"/>
    <n v="4"/>
    <n v="0"/>
    <n v="20.8568"/>
  </r>
  <r>
    <s v="Standard Class"/>
    <x v="0"/>
    <s v="United States"/>
    <s v="Westminster"/>
    <x v="1"/>
    <n v="92683"/>
    <x v="1"/>
    <x v="0"/>
    <x v="5"/>
    <n v="18.84"/>
    <n v="3"/>
    <n v="0"/>
    <n v="7.9127999999999998"/>
  </r>
  <r>
    <s v="Standard Class"/>
    <x v="0"/>
    <s v="United States"/>
    <s v="Westminster"/>
    <x v="1"/>
    <n v="92683"/>
    <x v="1"/>
    <x v="2"/>
    <x v="11"/>
    <n v="140.97"/>
    <n v="3"/>
    <n v="0"/>
    <n v="19.735800000000001"/>
  </r>
  <r>
    <s v="Standard Class"/>
    <x v="0"/>
    <s v="United States"/>
    <s v="Westminster"/>
    <x v="1"/>
    <n v="92683"/>
    <x v="1"/>
    <x v="2"/>
    <x v="7"/>
    <n v="470.37599999999998"/>
    <n v="3"/>
    <n v="0.2"/>
    <n v="52.917299999999997"/>
  </r>
  <r>
    <s v="Same Day"/>
    <x v="0"/>
    <s v="United States"/>
    <s v="Los Angeles"/>
    <x v="1"/>
    <n v="90036"/>
    <x v="1"/>
    <x v="1"/>
    <x v="6"/>
    <n v="6.08"/>
    <n v="2"/>
    <n v="0"/>
    <n v="2.0672000000000001"/>
  </r>
  <r>
    <s v="Same Day"/>
    <x v="0"/>
    <s v="United States"/>
    <s v="Los Angeles"/>
    <x v="1"/>
    <n v="90036"/>
    <x v="1"/>
    <x v="2"/>
    <x v="7"/>
    <n v="164.792"/>
    <n v="1"/>
    <n v="0.2"/>
    <n v="18.539100000000001"/>
  </r>
  <r>
    <s v="Second Class"/>
    <x v="1"/>
    <s v="United States"/>
    <s v="Atlantic City"/>
    <x v="30"/>
    <n v="8401"/>
    <x v="3"/>
    <x v="1"/>
    <x v="12"/>
    <n v="23.36"/>
    <n v="2"/>
    <n v="0"/>
    <n v="11.68"/>
  </r>
  <r>
    <s v="Standard Class"/>
    <x v="0"/>
    <s v="United States"/>
    <s v="Skokie"/>
    <x v="10"/>
    <n v="60076"/>
    <x v="2"/>
    <x v="1"/>
    <x v="8"/>
    <n v="12.176"/>
    <n v="4"/>
    <n v="0.8"/>
    <n v="-18.872800000000002"/>
  </r>
  <r>
    <s v="Standard Class"/>
    <x v="0"/>
    <s v="United States"/>
    <s v="San Francisco"/>
    <x v="1"/>
    <n v="94122"/>
    <x v="1"/>
    <x v="2"/>
    <x v="7"/>
    <n v="46.384"/>
    <n v="2"/>
    <n v="0.2"/>
    <n v="5.2182000000000004"/>
  </r>
  <r>
    <s v="Standard Class"/>
    <x v="0"/>
    <s v="United States"/>
    <s v="San Francisco"/>
    <x v="1"/>
    <n v="94122"/>
    <x v="1"/>
    <x v="1"/>
    <x v="4"/>
    <n v="362.92"/>
    <n v="2"/>
    <n v="0"/>
    <n v="105.24679999999999"/>
  </r>
  <r>
    <s v="Standard Class"/>
    <x v="0"/>
    <s v="United States"/>
    <s v="Columbus"/>
    <x v="24"/>
    <n v="43229"/>
    <x v="3"/>
    <x v="1"/>
    <x v="10"/>
    <n v="9.2479999999999993"/>
    <n v="2"/>
    <n v="0.2"/>
    <n v="3.3523999999999998"/>
  </r>
  <r>
    <s v="Standard Class"/>
    <x v="0"/>
    <s v="United States"/>
    <s v="Columbus"/>
    <x v="24"/>
    <n v="43229"/>
    <x v="3"/>
    <x v="2"/>
    <x v="7"/>
    <n v="1889.9459999999999"/>
    <n v="9"/>
    <n v="0.4"/>
    <n v="-377.98919999999998"/>
  </r>
  <r>
    <s v="Standard Class"/>
    <x v="0"/>
    <s v="United States"/>
    <s v="Columbus"/>
    <x v="24"/>
    <n v="43229"/>
    <x v="3"/>
    <x v="1"/>
    <x v="4"/>
    <n v="62.04"/>
    <n v="5"/>
    <n v="0.2"/>
    <n v="4.6529999999999996"/>
  </r>
  <r>
    <s v="Standard Class"/>
    <x v="0"/>
    <s v="United States"/>
    <s v="Columbus"/>
    <x v="24"/>
    <n v="43229"/>
    <x v="3"/>
    <x v="0"/>
    <x v="5"/>
    <n v="396.92"/>
    <n v="5"/>
    <n v="0.2"/>
    <n v="148.845"/>
  </r>
  <r>
    <s v="Standard Class"/>
    <x v="0"/>
    <s v="United States"/>
    <s v="Columbus"/>
    <x v="24"/>
    <n v="43229"/>
    <x v="3"/>
    <x v="1"/>
    <x v="4"/>
    <n v="239.45599999999999"/>
    <n v="7"/>
    <n v="0.2"/>
    <n v="17.959199999999999"/>
  </r>
  <r>
    <s v="Standard Class"/>
    <x v="0"/>
    <s v="United States"/>
    <s v="Columbus"/>
    <x v="24"/>
    <n v="43229"/>
    <x v="3"/>
    <x v="1"/>
    <x v="6"/>
    <n v="13.12"/>
    <n v="5"/>
    <n v="0.2"/>
    <n v="2.1320000000000001"/>
  </r>
  <r>
    <s v="Second Class"/>
    <x v="0"/>
    <s v="United States"/>
    <s v="Richmond"/>
    <x v="0"/>
    <n v="40475"/>
    <x v="0"/>
    <x v="1"/>
    <x v="8"/>
    <n v="29.36"/>
    <n v="2"/>
    <n v="0"/>
    <n v="13.505599999999999"/>
  </r>
  <r>
    <s v="Second Class"/>
    <x v="0"/>
    <s v="United States"/>
    <s v="Richmond"/>
    <x v="0"/>
    <n v="40475"/>
    <x v="0"/>
    <x v="1"/>
    <x v="9"/>
    <n v="214.9"/>
    <n v="5"/>
    <n v="0"/>
    <n v="62.320999999999998"/>
  </r>
  <r>
    <s v="Second Class"/>
    <x v="0"/>
    <s v="United States"/>
    <s v="Richmond"/>
    <x v="0"/>
    <n v="40475"/>
    <x v="0"/>
    <x v="1"/>
    <x v="8"/>
    <n v="15.92"/>
    <n v="4"/>
    <n v="0"/>
    <n v="7.4824000000000002"/>
  </r>
  <r>
    <s v="Second Class"/>
    <x v="0"/>
    <s v="United States"/>
    <s v="Richmond"/>
    <x v="0"/>
    <n v="40475"/>
    <x v="0"/>
    <x v="2"/>
    <x v="11"/>
    <n v="146.44999999999999"/>
    <n v="5"/>
    <n v="0"/>
    <n v="48.328499999999998"/>
  </r>
  <r>
    <s v="Second Class"/>
    <x v="0"/>
    <s v="United States"/>
    <s v="Richmond"/>
    <x v="0"/>
    <n v="40475"/>
    <x v="0"/>
    <x v="1"/>
    <x v="4"/>
    <n v="15.14"/>
    <n v="1"/>
    <n v="0"/>
    <n v="0.60560000000000003"/>
  </r>
  <r>
    <s v="Second Class"/>
    <x v="0"/>
    <s v="United States"/>
    <s v="Richmond"/>
    <x v="0"/>
    <n v="40475"/>
    <x v="0"/>
    <x v="1"/>
    <x v="2"/>
    <n v="5.76"/>
    <n v="2"/>
    <n v="0"/>
    <n v="2.6496"/>
  </r>
  <r>
    <s v="Second Class"/>
    <x v="0"/>
    <s v="United States"/>
    <s v="Richmond"/>
    <x v="0"/>
    <n v="40475"/>
    <x v="0"/>
    <x v="2"/>
    <x v="16"/>
    <n v="1399.98"/>
    <n v="2"/>
    <n v="0"/>
    <n v="629.99099999999999"/>
  </r>
  <r>
    <s v="Standard Class"/>
    <x v="0"/>
    <s v="United States"/>
    <s v="Lancaster"/>
    <x v="24"/>
    <n v="43130"/>
    <x v="3"/>
    <x v="1"/>
    <x v="8"/>
    <n v="8.952"/>
    <n v="2"/>
    <n v="0.7"/>
    <n v="-7.46"/>
  </r>
  <r>
    <s v="Standard Class"/>
    <x v="0"/>
    <s v="United States"/>
    <s v="Lancaster"/>
    <x v="24"/>
    <n v="43130"/>
    <x v="3"/>
    <x v="1"/>
    <x v="8"/>
    <n v="8.8559999999999999"/>
    <n v="6"/>
    <n v="0.7"/>
    <n v="-6.4943999999999997"/>
  </r>
  <r>
    <s v="Standard Class"/>
    <x v="0"/>
    <s v="United States"/>
    <s v="Lancaster"/>
    <x v="24"/>
    <n v="43130"/>
    <x v="3"/>
    <x v="0"/>
    <x v="1"/>
    <n v="85.245999999999995"/>
    <n v="2"/>
    <n v="0.3"/>
    <n v="-1.2178"/>
  </r>
  <r>
    <s v="Standard Class"/>
    <x v="0"/>
    <s v="United States"/>
    <s v="Gresham"/>
    <x v="21"/>
    <n v="97030"/>
    <x v="1"/>
    <x v="1"/>
    <x v="12"/>
    <n v="21.728000000000002"/>
    <n v="7"/>
    <n v="0.2"/>
    <n v="7.6048"/>
  </r>
  <r>
    <s v="Standard Class"/>
    <x v="0"/>
    <s v="United States"/>
    <s v="Gresham"/>
    <x v="21"/>
    <n v="97030"/>
    <x v="1"/>
    <x v="0"/>
    <x v="1"/>
    <n v="1487.04"/>
    <n v="5"/>
    <n v="0.2"/>
    <n v="148.70400000000001"/>
  </r>
  <r>
    <s v="Same Day"/>
    <x v="1"/>
    <s v="United States"/>
    <s v="San Francisco"/>
    <x v="1"/>
    <n v="94109"/>
    <x v="1"/>
    <x v="1"/>
    <x v="12"/>
    <n v="71.88"/>
    <n v="6"/>
    <n v="0"/>
    <n v="33.064799999999998"/>
  </r>
  <r>
    <s v="Same Day"/>
    <x v="1"/>
    <s v="United States"/>
    <s v="San Francisco"/>
    <x v="1"/>
    <n v="94109"/>
    <x v="1"/>
    <x v="0"/>
    <x v="5"/>
    <n v="9.24"/>
    <n v="3"/>
    <n v="0"/>
    <n v="2.9567999999999999"/>
  </r>
  <r>
    <s v="Same Day"/>
    <x v="1"/>
    <s v="United States"/>
    <s v="San Francisco"/>
    <x v="1"/>
    <n v="94109"/>
    <x v="1"/>
    <x v="1"/>
    <x v="10"/>
    <n v="35.880000000000003"/>
    <n v="6"/>
    <n v="0"/>
    <n v="16.146000000000001"/>
  </r>
  <r>
    <s v="Same Day"/>
    <x v="1"/>
    <s v="United States"/>
    <s v="San Francisco"/>
    <x v="1"/>
    <n v="94109"/>
    <x v="1"/>
    <x v="1"/>
    <x v="8"/>
    <n v="17.04"/>
    <n v="3"/>
    <n v="0.2"/>
    <n v="5.5380000000000003"/>
  </r>
  <r>
    <s v="Same Day"/>
    <x v="1"/>
    <s v="United States"/>
    <s v="San Francisco"/>
    <x v="1"/>
    <n v="94109"/>
    <x v="1"/>
    <x v="1"/>
    <x v="8"/>
    <n v="931.17600000000004"/>
    <n v="3"/>
    <n v="0.2"/>
    <n v="314.27190000000002"/>
  </r>
  <r>
    <s v="First Class"/>
    <x v="0"/>
    <s v="United States"/>
    <s v="Longmont"/>
    <x v="22"/>
    <n v="80501"/>
    <x v="1"/>
    <x v="0"/>
    <x v="5"/>
    <n v="266.35199999999998"/>
    <n v="3"/>
    <n v="0.2"/>
    <n v="-13.317600000000001"/>
  </r>
  <r>
    <s v="First Class"/>
    <x v="0"/>
    <s v="United States"/>
    <s v="Longmont"/>
    <x v="22"/>
    <n v="80501"/>
    <x v="1"/>
    <x v="0"/>
    <x v="1"/>
    <n v="483.13600000000002"/>
    <n v="4"/>
    <n v="0.2"/>
    <n v="54.352800000000002"/>
  </r>
  <r>
    <s v="Standard Class"/>
    <x v="0"/>
    <s v="United States"/>
    <s v="Greenville"/>
    <x v="3"/>
    <n v="27834"/>
    <x v="0"/>
    <x v="0"/>
    <x v="1"/>
    <n v="196.78399999999999"/>
    <n v="2"/>
    <n v="0.2"/>
    <n v="-22.138200000000001"/>
  </r>
  <r>
    <s v="Standard Class"/>
    <x v="0"/>
    <s v="United States"/>
    <s v="Greenville"/>
    <x v="3"/>
    <n v="27834"/>
    <x v="0"/>
    <x v="0"/>
    <x v="0"/>
    <n v="231.92"/>
    <n v="5"/>
    <n v="0.2"/>
    <n v="5.798"/>
  </r>
  <r>
    <s v="Standard Class"/>
    <x v="1"/>
    <s v="United States"/>
    <s v="Los Angeles"/>
    <x v="1"/>
    <n v="90004"/>
    <x v="1"/>
    <x v="1"/>
    <x v="14"/>
    <n v="29.7"/>
    <n v="3"/>
    <n v="0"/>
    <n v="8.0190000000000001"/>
  </r>
  <r>
    <s v="Standard Class"/>
    <x v="0"/>
    <s v="United States"/>
    <s v="Houston"/>
    <x v="5"/>
    <n v="77041"/>
    <x v="2"/>
    <x v="0"/>
    <x v="5"/>
    <n v="13.592000000000001"/>
    <n v="2"/>
    <n v="0.6"/>
    <n v="-14.271599999999999"/>
  </r>
  <r>
    <s v="Second Class"/>
    <x v="0"/>
    <s v="United States"/>
    <s v="San Francisco"/>
    <x v="1"/>
    <n v="94109"/>
    <x v="1"/>
    <x v="1"/>
    <x v="10"/>
    <n v="70.88"/>
    <n v="2"/>
    <n v="0"/>
    <n v="33.313600000000001"/>
  </r>
  <r>
    <s v="Standard Class"/>
    <x v="1"/>
    <s v="United States"/>
    <s v="Denver"/>
    <x v="22"/>
    <n v="80219"/>
    <x v="1"/>
    <x v="1"/>
    <x v="4"/>
    <n v="114.288"/>
    <n v="1"/>
    <n v="0.2"/>
    <n v="12.8574"/>
  </r>
  <r>
    <s v="Standard Class"/>
    <x v="1"/>
    <s v="United States"/>
    <s v="Denver"/>
    <x v="22"/>
    <n v="80219"/>
    <x v="1"/>
    <x v="1"/>
    <x v="8"/>
    <n v="36.624000000000002"/>
    <n v="8"/>
    <n v="0.7"/>
    <n v="-24.416"/>
  </r>
  <r>
    <s v="Standard Class"/>
    <x v="1"/>
    <s v="United States"/>
    <s v="Denver"/>
    <x v="22"/>
    <n v="80219"/>
    <x v="1"/>
    <x v="0"/>
    <x v="0"/>
    <n v="242.352"/>
    <n v="8"/>
    <n v="0.7"/>
    <n v="-363.52800000000002"/>
  </r>
  <r>
    <s v="Standard Class"/>
    <x v="1"/>
    <s v="United States"/>
    <s v="Denver"/>
    <x v="22"/>
    <n v="80219"/>
    <x v="1"/>
    <x v="2"/>
    <x v="7"/>
    <n v="49.616"/>
    <n v="2"/>
    <n v="0.2"/>
    <n v="4.9615999999999998"/>
  </r>
  <r>
    <s v="Standard Class"/>
    <x v="1"/>
    <s v="United States"/>
    <s v="Denver"/>
    <x v="22"/>
    <n v="80219"/>
    <x v="1"/>
    <x v="0"/>
    <x v="5"/>
    <n v="508.70400000000001"/>
    <n v="6"/>
    <n v="0.2"/>
    <n v="0"/>
  </r>
  <r>
    <s v="Standard Class"/>
    <x v="1"/>
    <s v="United States"/>
    <s v="Denver"/>
    <x v="22"/>
    <n v="80219"/>
    <x v="1"/>
    <x v="2"/>
    <x v="7"/>
    <n v="57.36"/>
    <n v="6"/>
    <n v="0.2"/>
    <n v="-14.34"/>
  </r>
  <r>
    <s v="Standard Class"/>
    <x v="1"/>
    <s v="United States"/>
    <s v="Denver"/>
    <x v="22"/>
    <n v="80219"/>
    <x v="1"/>
    <x v="0"/>
    <x v="1"/>
    <n v="906.68"/>
    <n v="5"/>
    <n v="0.2"/>
    <n v="68.001000000000005"/>
  </r>
  <r>
    <s v="Standard Class"/>
    <x v="1"/>
    <s v="United States"/>
    <s v="Huntsville"/>
    <x v="5"/>
    <n v="77340"/>
    <x v="2"/>
    <x v="2"/>
    <x v="7"/>
    <n v="719.952"/>
    <n v="6"/>
    <n v="0.2"/>
    <n v="71.995199999999997"/>
  </r>
  <r>
    <s v="Standard Class"/>
    <x v="1"/>
    <s v="United States"/>
    <s v="Huntsville"/>
    <x v="5"/>
    <n v="77340"/>
    <x v="2"/>
    <x v="2"/>
    <x v="7"/>
    <n v="755.94399999999996"/>
    <n v="7"/>
    <n v="0.2"/>
    <n v="66.145099999999999"/>
  </r>
  <r>
    <s v="Standard Class"/>
    <x v="1"/>
    <s v="United States"/>
    <s v="Huntsville"/>
    <x v="5"/>
    <n v="77340"/>
    <x v="2"/>
    <x v="1"/>
    <x v="8"/>
    <n v="11.98"/>
    <n v="5"/>
    <n v="0.8"/>
    <n v="-19.167999999999999"/>
  </r>
  <r>
    <s v="Standard Class"/>
    <x v="1"/>
    <s v="United States"/>
    <s v="Huntsville"/>
    <x v="5"/>
    <n v="77340"/>
    <x v="2"/>
    <x v="1"/>
    <x v="8"/>
    <n v="0.89800000000000002"/>
    <n v="1"/>
    <n v="0.8"/>
    <n v="-1.5714999999999999"/>
  </r>
  <r>
    <s v="First Class"/>
    <x v="1"/>
    <s v="United States"/>
    <s v="Houston"/>
    <x v="5"/>
    <n v="77036"/>
    <x v="2"/>
    <x v="0"/>
    <x v="5"/>
    <n v="21.204000000000001"/>
    <n v="3"/>
    <n v="0.6"/>
    <n v="-11.6622"/>
  </r>
  <r>
    <s v="Standard Class"/>
    <x v="1"/>
    <s v="United States"/>
    <s v="New York City"/>
    <x v="15"/>
    <n v="10024"/>
    <x v="3"/>
    <x v="1"/>
    <x v="12"/>
    <n v="34.74"/>
    <n v="3"/>
    <n v="0"/>
    <n v="17.37"/>
  </r>
  <r>
    <s v="Standard Class"/>
    <x v="1"/>
    <s v="United States"/>
    <s v="New York City"/>
    <x v="15"/>
    <n v="10024"/>
    <x v="3"/>
    <x v="2"/>
    <x v="7"/>
    <n v="833.94"/>
    <n v="6"/>
    <n v="0"/>
    <n v="216.8244"/>
  </r>
  <r>
    <s v="Standard Class"/>
    <x v="1"/>
    <s v="United States"/>
    <s v="New York City"/>
    <x v="15"/>
    <n v="10024"/>
    <x v="3"/>
    <x v="1"/>
    <x v="8"/>
    <n v="12.96"/>
    <n v="3"/>
    <n v="0.2"/>
    <n v="4.5359999999999996"/>
  </r>
  <r>
    <s v="Standard Class"/>
    <x v="1"/>
    <s v="United States"/>
    <s v="New York City"/>
    <x v="15"/>
    <n v="10024"/>
    <x v="3"/>
    <x v="1"/>
    <x v="10"/>
    <n v="25.92"/>
    <n v="4"/>
    <n v="0"/>
    <n v="12.441599999999999"/>
  </r>
  <r>
    <s v="Second Class"/>
    <x v="0"/>
    <s v="United States"/>
    <s v="Philadelphia"/>
    <x v="9"/>
    <n v="19134"/>
    <x v="3"/>
    <x v="0"/>
    <x v="0"/>
    <n v="349.96499999999997"/>
    <n v="7"/>
    <n v="0.5"/>
    <n v="-216.97829999999999"/>
  </r>
  <r>
    <s v="Second Class"/>
    <x v="0"/>
    <s v="United States"/>
    <s v="Philadelphia"/>
    <x v="9"/>
    <n v="19134"/>
    <x v="3"/>
    <x v="1"/>
    <x v="6"/>
    <n v="22.32"/>
    <n v="5"/>
    <n v="0.2"/>
    <n v="5.3010000000000002"/>
  </r>
  <r>
    <s v="Standard Class"/>
    <x v="1"/>
    <s v="United States"/>
    <s v="Columbus"/>
    <x v="14"/>
    <n v="47201"/>
    <x v="2"/>
    <x v="1"/>
    <x v="10"/>
    <n v="158.28"/>
    <n v="6"/>
    <n v="0"/>
    <n v="72.808800000000005"/>
  </r>
  <r>
    <s v="Standard Class"/>
    <x v="1"/>
    <s v="United States"/>
    <s v="Columbus"/>
    <x v="14"/>
    <n v="47201"/>
    <x v="2"/>
    <x v="1"/>
    <x v="8"/>
    <n v="497.94"/>
    <n v="3"/>
    <n v="0"/>
    <n v="224.07300000000001"/>
  </r>
  <r>
    <s v="Standard Class"/>
    <x v="0"/>
    <s v="United States"/>
    <s v="Long Beach"/>
    <x v="15"/>
    <n v="11561"/>
    <x v="3"/>
    <x v="1"/>
    <x v="9"/>
    <n v="533.94000000000005"/>
    <n v="3"/>
    <n v="0"/>
    <n v="154.8426"/>
  </r>
  <r>
    <s v="Standard Class"/>
    <x v="0"/>
    <s v="United States"/>
    <s v="Long Beach"/>
    <x v="15"/>
    <n v="11561"/>
    <x v="3"/>
    <x v="1"/>
    <x v="10"/>
    <n v="167.94"/>
    <n v="3"/>
    <n v="0"/>
    <n v="82.290599999999998"/>
  </r>
  <r>
    <s v="Standard Class"/>
    <x v="0"/>
    <s v="United States"/>
    <s v="Long Beach"/>
    <x v="15"/>
    <n v="11561"/>
    <x v="3"/>
    <x v="0"/>
    <x v="5"/>
    <n v="31.68"/>
    <n v="6"/>
    <n v="0"/>
    <n v="9.8208000000000002"/>
  </r>
  <r>
    <s v="First Class"/>
    <x v="0"/>
    <s v="United States"/>
    <s v="Lancaster"/>
    <x v="9"/>
    <n v="17602"/>
    <x v="3"/>
    <x v="0"/>
    <x v="1"/>
    <n v="170.786"/>
    <n v="1"/>
    <n v="0.3"/>
    <n v="0"/>
  </r>
  <r>
    <s v="Standard Class"/>
    <x v="0"/>
    <s v="United States"/>
    <s v="Chicago"/>
    <x v="10"/>
    <n v="60610"/>
    <x v="2"/>
    <x v="0"/>
    <x v="0"/>
    <n v="198.744"/>
    <n v="4"/>
    <n v="0.3"/>
    <n v="0"/>
  </r>
  <r>
    <s v="First Class"/>
    <x v="2"/>
    <s v="United States"/>
    <s v="Denver"/>
    <x v="22"/>
    <n v="80219"/>
    <x v="1"/>
    <x v="2"/>
    <x v="11"/>
    <n v="63.823999999999998"/>
    <n v="2"/>
    <n v="0.2"/>
    <n v="13.5626"/>
  </r>
  <r>
    <s v="Second Class"/>
    <x v="0"/>
    <s v="United States"/>
    <s v="Seattle"/>
    <x v="4"/>
    <n v="98103"/>
    <x v="1"/>
    <x v="0"/>
    <x v="1"/>
    <n v="435.16800000000001"/>
    <n v="4"/>
    <n v="0.2"/>
    <n v="-59.835599999999999"/>
  </r>
  <r>
    <s v="Second Class"/>
    <x v="0"/>
    <s v="United States"/>
    <s v="Seattle"/>
    <x v="4"/>
    <n v="98103"/>
    <x v="1"/>
    <x v="0"/>
    <x v="0"/>
    <n v="48.58"/>
    <n v="1"/>
    <n v="0"/>
    <n v="7.7728000000000002"/>
  </r>
  <r>
    <s v="First Class"/>
    <x v="1"/>
    <s v="United States"/>
    <s v="Houston"/>
    <x v="5"/>
    <n v="77070"/>
    <x v="2"/>
    <x v="2"/>
    <x v="11"/>
    <n v="47.975999999999999"/>
    <n v="3"/>
    <n v="0.2"/>
    <n v="8.3957999999999995"/>
  </r>
  <r>
    <s v="First Class"/>
    <x v="1"/>
    <s v="United States"/>
    <s v="Houston"/>
    <x v="5"/>
    <n v="77070"/>
    <x v="2"/>
    <x v="1"/>
    <x v="10"/>
    <n v="20.736000000000001"/>
    <n v="4"/>
    <n v="0.2"/>
    <n v="7.2576000000000001"/>
  </r>
  <r>
    <s v="Standard Class"/>
    <x v="0"/>
    <s v="United States"/>
    <s v="Los Angeles"/>
    <x v="1"/>
    <n v="90045"/>
    <x v="1"/>
    <x v="1"/>
    <x v="6"/>
    <n v="26.46"/>
    <n v="9"/>
    <n v="0"/>
    <n v="11.907"/>
  </r>
  <r>
    <s v="Standard Class"/>
    <x v="0"/>
    <s v="United States"/>
    <s v="Los Angeles"/>
    <x v="1"/>
    <n v="90045"/>
    <x v="1"/>
    <x v="1"/>
    <x v="10"/>
    <n v="49.12"/>
    <n v="4"/>
    <n v="0"/>
    <n v="23.086400000000001"/>
  </r>
  <r>
    <s v="Standard Class"/>
    <x v="0"/>
    <s v="United States"/>
    <s v="Los Angeles"/>
    <x v="1"/>
    <n v="90045"/>
    <x v="1"/>
    <x v="1"/>
    <x v="13"/>
    <n v="15"/>
    <n v="3"/>
    <n v="0"/>
    <n v="7.2"/>
  </r>
  <r>
    <s v="Standard Class"/>
    <x v="1"/>
    <s v="United States"/>
    <s v="Newport News"/>
    <x v="17"/>
    <n v="23602"/>
    <x v="0"/>
    <x v="1"/>
    <x v="4"/>
    <n v="194.7"/>
    <n v="5"/>
    <n v="0"/>
    <n v="9.7349999999999994"/>
  </r>
  <r>
    <s v="Standard Class"/>
    <x v="1"/>
    <s v="United States"/>
    <s v="Newport News"/>
    <x v="17"/>
    <n v="23602"/>
    <x v="0"/>
    <x v="0"/>
    <x v="3"/>
    <n v="591.32000000000005"/>
    <n v="4"/>
    <n v="0"/>
    <n v="112.35080000000001"/>
  </r>
  <r>
    <s v="Standard Class"/>
    <x v="1"/>
    <s v="United States"/>
    <s v="Newport News"/>
    <x v="17"/>
    <n v="23602"/>
    <x v="0"/>
    <x v="1"/>
    <x v="6"/>
    <n v="2.84"/>
    <n v="1"/>
    <n v="0"/>
    <n v="0.88039999999999996"/>
  </r>
  <r>
    <s v="Standard Class"/>
    <x v="1"/>
    <s v="United States"/>
    <s v="Los Angeles"/>
    <x v="1"/>
    <n v="90036"/>
    <x v="1"/>
    <x v="1"/>
    <x v="4"/>
    <n v="221.96"/>
    <n v="2"/>
    <n v="0"/>
    <n v="4.4391999999999996"/>
  </r>
  <r>
    <s v="Standard Class"/>
    <x v="1"/>
    <s v="United States"/>
    <s v="Los Angeles"/>
    <x v="1"/>
    <n v="90036"/>
    <x v="1"/>
    <x v="2"/>
    <x v="11"/>
    <n v="236"/>
    <n v="4"/>
    <n v="0"/>
    <n v="40.119999999999997"/>
  </r>
  <r>
    <s v="Second Class"/>
    <x v="1"/>
    <s v="United States"/>
    <s v="Seattle"/>
    <x v="4"/>
    <n v="98115"/>
    <x v="1"/>
    <x v="2"/>
    <x v="11"/>
    <n v="41.94"/>
    <n v="2"/>
    <n v="0"/>
    <n v="15.0984"/>
  </r>
  <r>
    <s v="Second Class"/>
    <x v="1"/>
    <s v="United States"/>
    <s v="Seattle"/>
    <x v="4"/>
    <n v="98115"/>
    <x v="1"/>
    <x v="2"/>
    <x v="7"/>
    <n v="52.792000000000002"/>
    <n v="1"/>
    <n v="0.2"/>
    <n v="4.6193"/>
  </r>
  <r>
    <s v="First Class"/>
    <x v="2"/>
    <s v="United States"/>
    <s v="Omaha"/>
    <x v="8"/>
    <n v="68104"/>
    <x v="2"/>
    <x v="0"/>
    <x v="1"/>
    <n v="563.94000000000005"/>
    <n v="3"/>
    <n v="0"/>
    <n v="112.788"/>
  </r>
  <r>
    <s v="Second Class"/>
    <x v="0"/>
    <s v="United States"/>
    <s v="Morristown"/>
    <x v="30"/>
    <n v="7960"/>
    <x v="3"/>
    <x v="1"/>
    <x v="9"/>
    <n v="2625.12"/>
    <n v="8"/>
    <n v="0"/>
    <n v="735.03359999999998"/>
  </r>
  <r>
    <s v="Second Class"/>
    <x v="0"/>
    <s v="United States"/>
    <s v="Morristown"/>
    <x v="30"/>
    <n v="7960"/>
    <x v="3"/>
    <x v="1"/>
    <x v="6"/>
    <n v="17.940000000000001"/>
    <n v="3"/>
    <n v="0"/>
    <n v="4.4850000000000003"/>
  </r>
  <r>
    <s v="First Class"/>
    <x v="0"/>
    <s v="United States"/>
    <s v="Philadelphia"/>
    <x v="9"/>
    <n v="19143"/>
    <x v="3"/>
    <x v="1"/>
    <x v="4"/>
    <n v="422.85599999999999"/>
    <n v="3"/>
    <n v="0.2"/>
    <n v="15.857100000000001"/>
  </r>
  <r>
    <s v="Standard Class"/>
    <x v="1"/>
    <s v="United States"/>
    <s v="New York City"/>
    <x v="15"/>
    <n v="10024"/>
    <x v="3"/>
    <x v="0"/>
    <x v="1"/>
    <n v="127.764"/>
    <n v="2"/>
    <n v="0.1"/>
    <n v="2.8391999999999999"/>
  </r>
  <r>
    <s v="Standard Class"/>
    <x v="1"/>
    <s v="United States"/>
    <s v="Springfield"/>
    <x v="17"/>
    <n v="22153"/>
    <x v="0"/>
    <x v="2"/>
    <x v="7"/>
    <n v="3499.93"/>
    <n v="7"/>
    <n v="0"/>
    <n v="909.98180000000002"/>
  </r>
  <r>
    <s v="Standard Class"/>
    <x v="1"/>
    <s v="United States"/>
    <s v="Springfield"/>
    <x v="17"/>
    <n v="22153"/>
    <x v="0"/>
    <x v="1"/>
    <x v="2"/>
    <n v="14.4"/>
    <n v="5"/>
    <n v="0"/>
    <n v="6.6239999999999997"/>
  </r>
  <r>
    <s v="Standard Class"/>
    <x v="1"/>
    <s v="United States"/>
    <s v="Springfield"/>
    <x v="17"/>
    <n v="22153"/>
    <x v="0"/>
    <x v="1"/>
    <x v="10"/>
    <n v="122.97"/>
    <n v="3"/>
    <n v="0"/>
    <n v="60.255299999999998"/>
  </r>
  <r>
    <s v="Standard Class"/>
    <x v="1"/>
    <s v="United States"/>
    <s v="Springfield"/>
    <x v="17"/>
    <n v="22153"/>
    <x v="0"/>
    <x v="1"/>
    <x v="6"/>
    <n v="9.32"/>
    <n v="4"/>
    <n v="0"/>
    <n v="2.7027999999999999"/>
  </r>
  <r>
    <s v="Standard Class"/>
    <x v="1"/>
    <s v="United States"/>
    <s v="Springfield"/>
    <x v="17"/>
    <n v="22153"/>
    <x v="0"/>
    <x v="1"/>
    <x v="8"/>
    <n v="122.94"/>
    <n v="3"/>
    <n v="0"/>
    <n v="59.011200000000002"/>
  </r>
  <r>
    <s v="Standard Class"/>
    <x v="0"/>
    <s v="United States"/>
    <s v="Roseville"/>
    <x v="1"/>
    <n v="95661"/>
    <x v="1"/>
    <x v="0"/>
    <x v="5"/>
    <n v="17.309999999999999"/>
    <n v="3"/>
    <n v="0"/>
    <n v="5.1929999999999996"/>
  </r>
  <r>
    <s v="Standard Class"/>
    <x v="0"/>
    <s v="United States"/>
    <s v="Rockford"/>
    <x v="10"/>
    <n v="61107"/>
    <x v="2"/>
    <x v="1"/>
    <x v="6"/>
    <n v="128.744"/>
    <n v="7"/>
    <n v="0.2"/>
    <n v="12.8744"/>
  </r>
  <r>
    <s v="Standard Class"/>
    <x v="0"/>
    <s v="United States"/>
    <s v="Philadelphia"/>
    <x v="9"/>
    <n v="19134"/>
    <x v="3"/>
    <x v="0"/>
    <x v="5"/>
    <n v="58.247999999999998"/>
    <n v="9"/>
    <n v="0.2"/>
    <n v="11.6496"/>
  </r>
  <r>
    <s v="Standard Class"/>
    <x v="0"/>
    <s v="United States"/>
    <s v="Philadelphia"/>
    <x v="9"/>
    <n v="19134"/>
    <x v="3"/>
    <x v="0"/>
    <x v="1"/>
    <n v="71.245999999999995"/>
    <n v="2"/>
    <n v="0.3"/>
    <n v="-19.338200000000001"/>
  </r>
  <r>
    <s v="Standard Class"/>
    <x v="0"/>
    <s v="United States"/>
    <s v="Philadelphia"/>
    <x v="9"/>
    <n v="19134"/>
    <x v="3"/>
    <x v="1"/>
    <x v="6"/>
    <n v="7.8719999999999999"/>
    <n v="3"/>
    <n v="0.2"/>
    <n v="0.59040000000000004"/>
  </r>
  <r>
    <s v="Standard Class"/>
    <x v="0"/>
    <s v="United States"/>
    <s v="Philadelphia"/>
    <x v="9"/>
    <n v="19134"/>
    <x v="3"/>
    <x v="0"/>
    <x v="1"/>
    <n v="887.27099999999996"/>
    <n v="3"/>
    <n v="0.3"/>
    <n v="-63.3765"/>
  </r>
  <r>
    <s v="Standard Class"/>
    <x v="0"/>
    <s v="United States"/>
    <s v="Detroit"/>
    <x v="12"/>
    <n v="48234"/>
    <x v="2"/>
    <x v="1"/>
    <x v="8"/>
    <n v="146.86000000000001"/>
    <n v="7"/>
    <n v="0"/>
    <n v="70.492800000000003"/>
  </r>
  <r>
    <s v="Standard Class"/>
    <x v="0"/>
    <s v="United States"/>
    <s v="Detroit"/>
    <x v="12"/>
    <n v="48234"/>
    <x v="2"/>
    <x v="1"/>
    <x v="8"/>
    <n v="36.56"/>
    <n v="4"/>
    <n v="0"/>
    <n v="18.28"/>
  </r>
  <r>
    <s v="Standard Class"/>
    <x v="1"/>
    <s v="United States"/>
    <s v="Los Angeles"/>
    <x v="1"/>
    <n v="90004"/>
    <x v="1"/>
    <x v="2"/>
    <x v="7"/>
    <n v="225.57599999999999"/>
    <n v="3"/>
    <n v="0.2"/>
    <n v="22.557600000000001"/>
  </r>
  <r>
    <s v="Standard Class"/>
    <x v="0"/>
    <s v="United States"/>
    <s v="Springfield"/>
    <x v="21"/>
    <n v="97477"/>
    <x v="1"/>
    <x v="1"/>
    <x v="6"/>
    <n v="5.2480000000000002"/>
    <n v="2"/>
    <n v="0.2"/>
    <n v="0.4592"/>
  </r>
  <r>
    <s v="Standard Class"/>
    <x v="0"/>
    <s v="United States"/>
    <s v="Springfield"/>
    <x v="21"/>
    <n v="97477"/>
    <x v="1"/>
    <x v="1"/>
    <x v="6"/>
    <n v="38.256"/>
    <n v="3"/>
    <n v="0.2"/>
    <n v="4.782"/>
  </r>
  <r>
    <s v="Standard Class"/>
    <x v="0"/>
    <s v="United States"/>
    <s v="Springfield"/>
    <x v="21"/>
    <n v="97477"/>
    <x v="1"/>
    <x v="1"/>
    <x v="10"/>
    <n v="40.24"/>
    <n v="5"/>
    <n v="0.2"/>
    <n v="13.077999999999999"/>
  </r>
  <r>
    <s v="Standard Class"/>
    <x v="0"/>
    <s v="United States"/>
    <s v="Springfield"/>
    <x v="21"/>
    <n v="97477"/>
    <x v="1"/>
    <x v="2"/>
    <x v="15"/>
    <n v="29.925000000000001"/>
    <n v="5"/>
    <n v="0.7"/>
    <n v="-21.945"/>
  </r>
  <r>
    <s v="Standard Class"/>
    <x v="0"/>
    <s v="United States"/>
    <s v="Springfield"/>
    <x v="21"/>
    <n v="97477"/>
    <x v="1"/>
    <x v="1"/>
    <x v="10"/>
    <n v="148.70400000000001"/>
    <n v="6"/>
    <n v="0.2"/>
    <n v="46.47"/>
  </r>
  <r>
    <s v="Standard Class"/>
    <x v="0"/>
    <s v="United States"/>
    <s v="Springfield"/>
    <x v="21"/>
    <n v="97477"/>
    <x v="1"/>
    <x v="2"/>
    <x v="11"/>
    <n v="55.92"/>
    <n v="10"/>
    <n v="0.2"/>
    <n v="16.776"/>
  </r>
  <r>
    <s v="Standard Class"/>
    <x v="1"/>
    <s v="United States"/>
    <s v="Providence"/>
    <x v="34"/>
    <n v="2908"/>
    <x v="3"/>
    <x v="1"/>
    <x v="10"/>
    <n v="12.96"/>
    <n v="2"/>
    <n v="0"/>
    <n v="6.2207999999999997"/>
  </r>
  <r>
    <s v="Standard Class"/>
    <x v="0"/>
    <s v="United States"/>
    <s v="Chicago"/>
    <x v="10"/>
    <n v="60623"/>
    <x v="2"/>
    <x v="0"/>
    <x v="5"/>
    <n v="25.175999999999998"/>
    <n v="3"/>
    <n v="0.6"/>
    <n v="-33.358199999999997"/>
  </r>
  <r>
    <s v="Standard Class"/>
    <x v="0"/>
    <s v="United States"/>
    <s v="Chicago"/>
    <x v="10"/>
    <n v="60623"/>
    <x v="2"/>
    <x v="0"/>
    <x v="5"/>
    <n v="5.5839999999999996"/>
    <n v="2"/>
    <n v="0.6"/>
    <n v="-1.6752"/>
  </r>
  <r>
    <s v="Standard Class"/>
    <x v="0"/>
    <s v="United States"/>
    <s v="Chicago"/>
    <x v="10"/>
    <n v="60623"/>
    <x v="2"/>
    <x v="1"/>
    <x v="4"/>
    <n v="1297.3679999999999"/>
    <n v="9"/>
    <n v="0.2"/>
    <n v="97.302599999999998"/>
  </r>
  <r>
    <s v="First Class"/>
    <x v="0"/>
    <s v="United States"/>
    <s v="Dallas"/>
    <x v="5"/>
    <n v="75220"/>
    <x v="2"/>
    <x v="1"/>
    <x v="4"/>
    <n v="264.32"/>
    <n v="2"/>
    <n v="0.2"/>
    <n v="19.824000000000002"/>
  </r>
  <r>
    <s v="Standard Class"/>
    <x v="0"/>
    <s v="United States"/>
    <s v="San Francisco"/>
    <x v="1"/>
    <n v="94122"/>
    <x v="1"/>
    <x v="1"/>
    <x v="10"/>
    <n v="25.92"/>
    <n v="4"/>
    <n v="0"/>
    <n v="12.441599999999999"/>
  </r>
  <r>
    <s v="Standard Class"/>
    <x v="0"/>
    <s v="United States"/>
    <s v="San Francisco"/>
    <x v="1"/>
    <n v="94122"/>
    <x v="1"/>
    <x v="1"/>
    <x v="6"/>
    <n v="22.96"/>
    <n v="7"/>
    <n v="0"/>
    <n v="6.6584000000000003"/>
  </r>
  <r>
    <s v="First Class"/>
    <x v="0"/>
    <s v="United States"/>
    <s v="Moreno Valley"/>
    <x v="1"/>
    <n v="92553"/>
    <x v="1"/>
    <x v="1"/>
    <x v="10"/>
    <n v="19.440000000000001"/>
    <n v="3"/>
    <n v="0"/>
    <n v="9.3312000000000008"/>
  </r>
  <r>
    <s v="First Class"/>
    <x v="0"/>
    <s v="United States"/>
    <s v="Garden City"/>
    <x v="41"/>
    <n v="67846"/>
    <x v="2"/>
    <x v="1"/>
    <x v="10"/>
    <n v="9.5399999999999991"/>
    <n v="2"/>
    <n v="0"/>
    <n v="4.2930000000000001"/>
  </r>
  <r>
    <s v="First Class"/>
    <x v="0"/>
    <s v="United States"/>
    <s v="Garden City"/>
    <x v="41"/>
    <n v="67846"/>
    <x v="2"/>
    <x v="1"/>
    <x v="13"/>
    <n v="5.81"/>
    <n v="1"/>
    <n v="0"/>
    <n v="1.8010999999999999"/>
  </r>
  <r>
    <s v="First Class"/>
    <x v="0"/>
    <s v="United States"/>
    <s v="Garden City"/>
    <x v="41"/>
    <n v="67846"/>
    <x v="2"/>
    <x v="1"/>
    <x v="6"/>
    <n v="5.76"/>
    <n v="2"/>
    <n v="0"/>
    <n v="1.728"/>
  </r>
  <r>
    <s v="Second Class"/>
    <x v="0"/>
    <s v="United States"/>
    <s v="New York City"/>
    <x v="15"/>
    <n v="10035"/>
    <x v="3"/>
    <x v="0"/>
    <x v="5"/>
    <n v="14.91"/>
    <n v="3"/>
    <n v="0"/>
    <n v="4.6220999999999997"/>
  </r>
  <r>
    <s v="Standard Class"/>
    <x v="1"/>
    <s v="United States"/>
    <s v="Orlando"/>
    <x v="2"/>
    <n v="32839"/>
    <x v="0"/>
    <x v="1"/>
    <x v="8"/>
    <n v="6.6420000000000003"/>
    <n v="9"/>
    <n v="0.7"/>
    <n v="-4.4279999999999999"/>
  </r>
  <r>
    <s v="Standard Class"/>
    <x v="0"/>
    <s v="United States"/>
    <s v="Watertown"/>
    <x v="15"/>
    <n v="13601"/>
    <x v="3"/>
    <x v="1"/>
    <x v="10"/>
    <n v="18.54"/>
    <n v="2"/>
    <n v="0"/>
    <n v="8.7138000000000009"/>
  </r>
  <r>
    <s v="Standard Class"/>
    <x v="0"/>
    <s v="United States"/>
    <s v="Watertown"/>
    <x v="15"/>
    <n v="13601"/>
    <x v="3"/>
    <x v="1"/>
    <x v="8"/>
    <n v="679.96"/>
    <n v="5"/>
    <n v="0.2"/>
    <n v="220.98699999999999"/>
  </r>
  <r>
    <s v="First Class"/>
    <x v="1"/>
    <s v="United States"/>
    <s v="Los Angeles"/>
    <x v="1"/>
    <n v="90032"/>
    <x v="1"/>
    <x v="0"/>
    <x v="3"/>
    <n v="189.57599999999999"/>
    <n v="1"/>
    <n v="0.2"/>
    <n v="9.4787999999999997"/>
  </r>
  <r>
    <s v="First Class"/>
    <x v="1"/>
    <s v="United States"/>
    <s v="Los Angeles"/>
    <x v="1"/>
    <n v="90032"/>
    <x v="1"/>
    <x v="2"/>
    <x v="7"/>
    <n v="71.959999999999994"/>
    <n v="5"/>
    <n v="0.2"/>
    <n v="7.1959999999999997"/>
  </r>
  <r>
    <s v="Standard Class"/>
    <x v="0"/>
    <s v="United States"/>
    <s v="Los Angeles"/>
    <x v="1"/>
    <n v="90004"/>
    <x v="1"/>
    <x v="2"/>
    <x v="7"/>
    <n v="539.91999999999996"/>
    <n v="5"/>
    <n v="0.2"/>
    <n v="47.243000000000002"/>
  </r>
  <r>
    <s v="Standard Class"/>
    <x v="0"/>
    <s v="United States"/>
    <s v="Los Angeles"/>
    <x v="1"/>
    <n v="90004"/>
    <x v="1"/>
    <x v="0"/>
    <x v="1"/>
    <n v="725.34400000000005"/>
    <n v="4"/>
    <n v="0.2"/>
    <n v="54.400799999999997"/>
  </r>
  <r>
    <s v="Standard Class"/>
    <x v="0"/>
    <s v="United States"/>
    <s v="Los Angeles"/>
    <x v="1"/>
    <n v="90004"/>
    <x v="1"/>
    <x v="1"/>
    <x v="6"/>
    <n v="7.44"/>
    <n v="3"/>
    <n v="0"/>
    <n v="2.6040000000000001"/>
  </r>
  <r>
    <s v="Standard Class"/>
    <x v="2"/>
    <s v="United States"/>
    <s v="Newark"/>
    <x v="13"/>
    <n v="19711"/>
    <x v="3"/>
    <x v="1"/>
    <x v="9"/>
    <n v="39.479999999999997"/>
    <n v="1"/>
    <n v="0"/>
    <n v="11.054399999999999"/>
  </r>
  <r>
    <s v="Second Class"/>
    <x v="2"/>
    <s v="United States"/>
    <s v="Detroit"/>
    <x v="12"/>
    <n v="48234"/>
    <x v="2"/>
    <x v="1"/>
    <x v="9"/>
    <n v="850.5"/>
    <n v="5"/>
    <n v="0.1"/>
    <n v="245.7"/>
  </r>
  <r>
    <s v="Second Class"/>
    <x v="2"/>
    <s v="United States"/>
    <s v="Detroit"/>
    <x v="12"/>
    <n v="48234"/>
    <x v="2"/>
    <x v="0"/>
    <x v="5"/>
    <n v="75.33"/>
    <n v="9"/>
    <n v="0"/>
    <n v="19.585799999999999"/>
  </r>
  <r>
    <s v="Second Class"/>
    <x v="1"/>
    <s v="United States"/>
    <s v="Phoenix"/>
    <x v="16"/>
    <n v="85023"/>
    <x v="1"/>
    <x v="1"/>
    <x v="9"/>
    <n v="325.63200000000001"/>
    <n v="6"/>
    <n v="0.2"/>
    <n v="28.492799999999999"/>
  </r>
  <r>
    <s v="Second Class"/>
    <x v="1"/>
    <s v="United States"/>
    <s v="Phoenix"/>
    <x v="16"/>
    <n v="85023"/>
    <x v="1"/>
    <x v="2"/>
    <x v="11"/>
    <n v="23.344000000000001"/>
    <n v="2"/>
    <n v="0.2"/>
    <n v="-1.4590000000000001"/>
  </r>
  <r>
    <s v="Second Class"/>
    <x v="1"/>
    <s v="United States"/>
    <s v="Phoenix"/>
    <x v="16"/>
    <n v="85023"/>
    <x v="1"/>
    <x v="1"/>
    <x v="2"/>
    <n v="16.52"/>
    <n v="5"/>
    <n v="0.2"/>
    <n v="5.3689999999999998"/>
  </r>
  <r>
    <s v="First Class"/>
    <x v="2"/>
    <s v="United States"/>
    <s v="Brownsville"/>
    <x v="5"/>
    <n v="78521"/>
    <x v="2"/>
    <x v="1"/>
    <x v="12"/>
    <n v="335.72"/>
    <n v="5"/>
    <n v="0.2"/>
    <n v="113.30549999999999"/>
  </r>
  <r>
    <s v="First Class"/>
    <x v="2"/>
    <s v="United States"/>
    <s v="Brownsville"/>
    <x v="5"/>
    <n v="78521"/>
    <x v="2"/>
    <x v="2"/>
    <x v="7"/>
    <n v="251.94399999999999"/>
    <n v="7"/>
    <n v="0.2"/>
    <n v="88.180400000000006"/>
  </r>
  <r>
    <s v="First Class"/>
    <x v="2"/>
    <s v="United States"/>
    <s v="Brownsville"/>
    <x v="5"/>
    <n v="78521"/>
    <x v="2"/>
    <x v="0"/>
    <x v="1"/>
    <n v="127.30200000000001"/>
    <n v="7"/>
    <n v="0.3"/>
    <n v="-9.093"/>
  </r>
  <r>
    <s v="Second Class"/>
    <x v="0"/>
    <s v="United States"/>
    <s v="Louisville"/>
    <x v="0"/>
    <n v="40214"/>
    <x v="0"/>
    <x v="0"/>
    <x v="1"/>
    <n v="1207.8399999999999"/>
    <n v="8"/>
    <n v="0"/>
    <n v="314.03840000000002"/>
  </r>
  <r>
    <s v="Second Class"/>
    <x v="0"/>
    <s v="United States"/>
    <s v="Louisville"/>
    <x v="0"/>
    <n v="40214"/>
    <x v="0"/>
    <x v="1"/>
    <x v="8"/>
    <n v="12.53"/>
    <n v="1"/>
    <n v="0"/>
    <n v="5.8891"/>
  </r>
  <r>
    <s v="Second Class"/>
    <x v="0"/>
    <s v="United States"/>
    <s v="Louisville"/>
    <x v="0"/>
    <n v="40214"/>
    <x v="0"/>
    <x v="1"/>
    <x v="6"/>
    <n v="34.58"/>
    <n v="1"/>
    <n v="0"/>
    <n v="10.0282"/>
  </r>
  <r>
    <s v="Second Class"/>
    <x v="0"/>
    <s v="United States"/>
    <s v="Louisville"/>
    <x v="0"/>
    <n v="40214"/>
    <x v="0"/>
    <x v="0"/>
    <x v="1"/>
    <n v="300.98"/>
    <n v="1"/>
    <n v="0"/>
    <n v="87.284199999999998"/>
  </r>
  <r>
    <s v="Second Class"/>
    <x v="0"/>
    <s v="United States"/>
    <s v="Louisville"/>
    <x v="0"/>
    <n v="40214"/>
    <x v="0"/>
    <x v="0"/>
    <x v="1"/>
    <n v="258.75"/>
    <n v="3"/>
    <n v="0"/>
    <n v="77.625"/>
  </r>
  <r>
    <s v="Standard Class"/>
    <x v="1"/>
    <s v="United States"/>
    <s v="Newark"/>
    <x v="13"/>
    <n v="19711"/>
    <x v="3"/>
    <x v="1"/>
    <x v="6"/>
    <n v="59.52"/>
    <n v="3"/>
    <n v="0"/>
    <n v="15.475199999999999"/>
  </r>
  <r>
    <s v="Standard Class"/>
    <x v="1"/>
    <s v="United States"/>
    <s v="Newark"/>
    <x v="13"/>
    <n v="19711"/>
    <x v="3"/>
    <x v="1"/>
    <x v="12"/>
    <n v="57.96"/>
    <n v="7"/>
    <n v="0"/>
    <n v="27.241199999999999"/>
  </r>
  <r>
    <s v="Standard Class"/>
    <x v="1"/>
    <s v="United States"/>
    <s v="Newark"/>
    <x v="13"/>
    <n v="19711"/>
    <x v="3"/>
    <x v="0"/>
    <x v="0"/>
    <n v="441.96"/>
    <n v="2"/>
    <n v="0"/>
    <n v="101.6508"/>
  </r>
  <r>
    <s v="Standard Class"/>
    <x v="1"/>
    <s v="United States"/>
    <s v="Newark"/>
    <x v="13"/>
    <n v="19711"/>
    <x v="3"/>
    <x v="1"/>
    <x v="10"/>
    <n v="68.040000000000006"/>
    <n v="6"/>
    <n v="0"/>
    <n v="33.339599999999997"/>
  </r>
  <r>
    <s v="First Class"/>
    <x v="2"/>
    <s v="United States"/>
    <s v="Pueblo"/>
    <x v="22"/>
    <n v="81001"/>
    <x v="1"/>
    <x v="2"/>
    <x v="15"/>
    <n v="703.71"/>
    <n v="6"/>
    <n v="0.7"/>
    <n v="-938.28"/>
  </r>
  <r>
    <s v="First Class"/>
    <x v="2"/>
    <s v="United States"/>
    <s v="Pueblo"/>
    <x v="22"/>
    <n v="81001"/>
    <x v="1"/>
    <x v="1"/>
    <x v="8"/>
    <n v="17.904"/>
    <n v="4"/>
    <n v="0.7"/>
    <n v="-14.92"/>
  </r>
  <r>
    <s v="First Class"/>
    <x v="2"/>
    <s v="United States"/>
    <s v="Pueblo"/>
    <x v="22"/>
    <n v="81001"/>
    <x v="1"/>
    <x v="1"/>
    <x v="8"/>
    <n v="11.976000000000001"/>
    <n v="4"/>
    <n v="0.7"/>
    <n v="-9.1815999999999995"/>
  </r>
  <r>
    <s v="First Class"/>
    <x v="2"/>
    <s v="United States"/>
    <s v="Pueblo"/>
    <x v="22"/>
    <n v="81001"/>
    <x v="1"/>
    <x v="2"/>
    <x v="11"/>
    <n v="67.959999999999994"/>
    <n v="5"/>
    <n v="0.2"/>
    <n v="0.84950000000000003"/>
  </r>
  <r>
    <s v="Standard Class"/>
    <x v="1"/>
    <s v="United States"/>
    <s v="Los Angeles"/>
    <x v="1"/>
    <n v="90036"/>
    <x v="1"/>
    <x v="0"/>
    <x v="1"/>
    <n v="892.22400000000005"/>
    <n v="3"/>
    <n v="0.2"/>
    <n v="89.222399999999993"/>
  </r>
  <r>
    <s v="Standard Class"/>
    <x v="0"/>
    <s v="United States"/>
    <s v="Greenville"/>
    <x v="3"/>
    <n v="27834"/>
    <x v="0"/>
    <x v="2"/>
    <x v="15"/>
    <n v="1299.99"/>
    <n v="2"/>
    <n v="0.5"/>
    <n v="-571.99559999999997"/>
  </r>
  <r>
    <s v="First Class"/>
    <x v="1"/>
    <s v="United States"/>
    <s v="San Francisco"/>
    <x v="1"/>
    <n v="94110"/>
    <x v="1"/>
    <x v="1"/>
    <x v="8"/>
    <n v="4.5439999999999996"/>
    <n v="2"/>
    <n v="0.2"/>
    <n v="1.6472"/>
  </r>
  <r>
    <s v="First Class"/>
    <x v="1"/>
    <s v="United States"/>
    <s v="San Francisco"/>
    <x v="1"/>
    <n v="94110"/>
    <x v="1"/>
    <x v="0"/>
    <x v="1"/>
    <n v="1352.0319999999999"/>
    <n v="4"/>
    <n v="0.2"/>
    <n v="84.501999999999995"/>
  </r>
  <r>
    <s v="Standard Class"/>
    <x v="1"/>
    <s v="United States"/>
    <s v="Marion"/>
    <x v="24"/>
    <n v="43302"/>
    <x v="3"/>
    <x v="0"/>
    <x v="3"/>
    <n v="1548.99"/>
    <n v="9"/>
    <n v="0.4"/>
    <n v="-464.697"/>
  </r>
  <r>
    <s v="Standard Class"/>
    <x v="1"/>
    <s v="United States"/>
    <s v="Marion"/>
    <x v="24"/>
    <n v="43302"/>
    <x v="3"/>
    <x v="1"/>
    <x v="12"/>
    <n v="19.872"/>
    <n v="3"/>
    <n v="0.2"/>
    <n v="6.7068000000000003"/>
  </r>
  <r>
    <s v="First Class"/>
    <x v="0"/>
    <s v="United States"/>
    <s v="Dallas"/>
    <x v="5"/>
    <n v="75081"/>
    <x v="2"/>
    <x v="2"/>
    <x v="11"/>
    <n v="119.44799999999999"/>
    <n v="3"/>
    <n v="0.2"/>
    <n v="-13.437900000000001"/>
  </r>
  <r>
    <s v="First Class"/>
    <x v="0"/>
    <s v="United States"/>
    <s v="Dallas"/>
    <x v="5"/>
    <n v="75081"/>
    <x v="2"/>
    <x v="1"/>
    <x v="4"/>
    <n v="118.16"/>
    <n v="2"/>
    <n v="0.2"/>
    <n v="-25.109000000000002"/>
  </r>
  <r>
    <s v="Standard Class"/>
    <x v="1"/>
    <s v="United States"/>
    <s v="Huntsville"/>
    <x v="19"/>
    <n v="35810"/>
    <x v="0"/>
    <x v="1"/>
    <x v="6"/>
    <n v="19.559999999999999"/>
    <n v="4"/>
    <n v="0"/>
    <n v="5.4767999999999999"/>
  </r>
  <r>
    <s v="Second Class"/>
    <x v="0"/>
    <s v="United States"/>
    <s v="Las Vegas"/>
    <x v="33"/>
    <n v="89115"/>
    <x v="1"/>
    <x v="0"/>
    <x v="5"/>
    <n v="80.959999999999994"/>
    <n v="4"/>
    <n v="0"/>
    <n v="29.145600000000002"/>
  </r>
  <r>
    <s v="Second Class"/>
    <x v="0"/>
    <s v="United States"/>
    <s v="Las Vegas"/>
    <x v="33"/>
    <n v="89115"/>
    <x v="1"/>
    <x v="1"/>
    <x v="10"/>
    <n v="25.92"/>
    <n v="4"/>
    <n v="0"/>
    <n v="12.441599999999999"/>
  </r>
  <r>
    <s v="Same Day"/>
    <x v="2"/>
    <s v="United States"/>
    <s v="Los Angeles"/>
    <x v="1"/>
    <n v="90049"/>
    <x v="1"/>
    <x v="1"/>
    <x v="9"/>
    <n v="106.96"/>
    <n v="2"/>
    <n v="0"/>
    <n v="31.0184"/>
  </r>
  <r>
    <s v="Same Day"/>
    <x v="2"/>
    <s v="United States"/>
    <s v="Los Angeles"/>
    <x v="1"/>
    <n v="90049"/>
    <x v="1"/>
    <x v="0"/>
    <x v="5"/>
    <n v="187.76"/>
    <n v="4"/>
    <n v="0"/>
    <n v="76.9816"/>
  </r>
  <r>
    <s v="First Class"/>
    <x v="2"/>
    <s v="United States"/>
    <s v="Lakewood"/>
    <x v="24"/>
    <n v="44107"/>
    <x v="3"/>
    <x v="1"/>
    <x v="8"/>
    <n v="76.775999999999996"/>
    <n v="4"/>
    <n v="0.7"/>
    <n v="-53.743200000000002"/>
  </r>
  <r>
    <s v="Standard Class"/>
    <x v="1"/>
    <s v="United States"/>
    <s v="Fremont"/>
    <x v="8"/>
    <n v="68025"/>
    <x v="2"/>
    <x v="1"/>
    <x v="8"/>
    <n v="53.9"/>
    <n v="5"/>
    <n v="0"/>
    <n v="25.872"/>
  </r>
  <r>
    <s v="Standard Class"/>
    <x v="0"/>
    <s v="United States"/>
    <s v="Huntsville"/>
    <x v="5"/>
    <n v="77340"/>
    <x v="2"/>
    <x v="0"/>
    <x v="5"/>
    <n v="76.727999999999994"/>
    <n v="3"/>
    <n v="0.6"/>
    <n v="-53.709600000000002"/>
  </r>
  <r>
    <s v="Standard Class"/>
    <x v="0"/>
    <s v="United States"/>
    <s v="Huntsville"/>
    <x v="5"/>
    <n v="77340"/>
    <x v="2"/>
    <x v="1"/>
    <x v="8"/>
    <n v="10.43"/>
    <n v="7"/>
    <n v="0.8"/>
    <n v="-18.252500000000001"/>
  </r>
  <r>
    <s v="First Class"/>
    <x v="0"/>
    <s v="United States"/>
    <s v="Los Angeles"/>
    <x v="1"/>
    <n v="90036"/>
    <x v="1"/>
    <x v="1"/>
    <x v="6"/>
    <n v="99.2"/>
    <n v="5"/>
    <n v="0"/>
    <n v="25.792000000000002"/>
  </r>
  <r>
    <s v="Standard Class"/>
    <x v="0"/>
    <s v="United States"/>
    <s v="Asheville"/>
    <x v="3"/>
    <n v="28806"/>
    <x v="0"/>
    <x v="1"/>
    <x v="6"/>
    <n v="15.92"/>
    <n v="5"/>
    <n v="0.2"/>
    <n v="2.786"/>
  </r>
  <r>
    <s v="Standard Class"/>
    <x v="1"/>
    <s v="United States"/>
    <s v="Bossier City"/>
    <x v="28"/>
    <n v="71111"/>
    <x v="0"/>
    <x v="0"/>
    <x v="5"/>
    <n v="129.91999999999999"/>
    <n v="4"/>
    <n v="0"/>
    <n v="10.393599999999999"/>
  </r>
  <r>
    <s v="Standard Class"/>
    <x v="2"/>
    <s v="United States"/>
    <s v="Providence"/>
    <x v="34"/>
    <n v="2908"/>
    <x v="3"/>
    <x v="1"/>
    <x v="8"/>
    <n v="30.4"/>
    <n v="1"/>
    <n v="0"/>
    <n v="13.984"/>
  </r>
  <r>
    <s v="Standard Class"/>
    <x v="2"/>
    <s v="United States"/>
    <s v="Providence"/>
    <x v="34"/>
    <n v="2908"/>
    <x v="3"/>
    <x v="2"/>
    <x v="16"/>
    <n v="5399.91"/>
    <n v="9"/>
    <n v="0"/>
    <n v="2591.9567999999999"/>
  </r>
  <r>
    <s v="Standard Class"/>
    <x v="2"/>
    <s v="United States"/>
    <s v="Providence"/>
    <x v="34"/>
    <n v="2908"/>
    <x v="3"/>
    <x v="1"/>
    <x v="4"/>
    <n v="119.1"/>
    <n v="3"/>
    <n v="0"/>
    <n v="34.539000000000001"/>
  </r>
  <r>
    <s v="Second Class"/>
    <x v="2"/>
    <s v="United States"/>
    <s v="Everett"/>
    <x v="31"/>
    <n v="2149"/>
    <x v="3"/>
    <x v="1"/>
    <x v="10"/>
    <n v="40.08"/>
    <n v="6"/>
    <n v="0"/>
    <n v="19.238399999999999"/>
  </r>
  <r>
    <s v="Second Class"/>
    <x v="2"/>
    <s v="United States"/>
    <s v="Everett"/>
    <x v="31"/>
    <n v="2149"/>
    <x v="3"/>
    <x v="1"/>
    <x v="10"/>
    <n v="59.94"/>
    <n v="3"/>
    <n v="0"/>
    <n v="28.171800000000001"/>
  </r>
  <r>
    <s v="Second Class"/>
    <x v="2"/>
    <s v="United States"/>
    <s v="Everett"/>
    <x v="31"/>
    <n v="2149"/>
    <x v="3"/>
    <x v="2"/>
    <x v="11"/>
    <n v="259.98"/>
    <n v="2"/>
    <n v="0"/>
    <n v="88.393199999999993"/>
  </r>
  <r>
    <s v="Second Class"/>
    <x v="2"/>
    <s v="United States"/>
    <s v="Everett"/>
    <x v="31"/>
    <n v="2149"/>
    <x v="3"/>
    <x v="0"/>
    <x v="0"/>
    <n v="170.98"/>
    <n v="1"/>
    <n v="0"/>
    <n v="32.486199999999997"/>
  </r>
  <r>
    <s v="Second Class"/>
    <x v="2"/>
    <s v="United States"/>
    <s v="Everett"/>
    <x v="31"/>
    <n v="2149"/>
    <x v="3"/>
    <x v="0"/>
    <x v="5"/>
    <n v="38.97"/>
    <n v="3"/>
    <n v="0"/>
    <n v="4.6764000000000001"/>
  </r>
  <r>
    <s v="Second Class"/>
    <x v="2"/>
    <s v="United States"/>
    <s v="Everett"/>
    <x v="31"/>
    <n v="2149"/>
    <x v="3"/>
    <x v="1"/>
    <x v="10"/>
    <n v="154.9"/>
    <n v="5"/>
    <n v="0"/>
    <n v="69.704999999999998"/>
  </r>
  <r>
    <s v="Second Class"/>
    <x v="2"/>
    <s v="United States"/>
    <s v="Everett"/>
    <x v="31"/>
    <n v="2149"/>
    <x v="3"/>
    <x v="0"/>
    <x v="3"/>
    <n v="446.06799999999998"/>
    <n v="4"/>
    <n v="0.3"/>
    <n v="0"/>
  </r>
  <r>
    <s v="Second Class"/>
    <x v="0"/>
    <s v="United States"/>
    <s v="Rancho Cucamonga"/>
    <x v="1"/>
    <n v="91730"/>
    <x v="1"/>
    <x v="1"/>
    <x v="9"/>
    <n v="152.94"/>
    <n v="3"/>
    <n v="0"/>
    <n v="41.293799999999997"/>
  </r>
  <r>
    <s v="Same Day"/>
    <x v="0"/>
    <s v="United States"/>
    <s v="Charlotte"/>
    <x v="3"/>
    <n v="28205"/>
    <x v="0"/>
    <x v="2"/>
    <x v="11"/>
    <n v="23.472000000000001"/>
    <n v="3"/>
    <n v="0.2"/>
    <n v="4.9878"/>
  </r>
  <r>
    <s v="Standard Class"/>
    <x v="2"/>
    <s v="United States"/>
    <s v="Providence"/>
    <x v="34"/>
    <n v="2908"/>
    <x v="3"/>
    <x v="1"/>
    <x v="10"/>
    <n v="195.64"/>
    <n v="4"/>
    <n v="0"/>
    <n v="91.950800000000001"/>
  </r>
  <r>
    <s v="Standard Class"/>
    <x v="2"/>
    <s v="United States"/>
    <s v="Providence"/>
    <x v="34"/>
    <n v="2908"/>
    <x v="3"/>
    <x v="1"/>
    <x v="10"/>
    <n v="14.94"/>
    <n v="3"/>
    <n v="0"/>
    <n v="7.0217999999999998"/>
  </r>
  <r>
    <s v="Standard Class"/>
    <x v="2"/>
    <s v="United States"/>
    <s v="Providence"/>
    <x v="34"/>
    <n v="2908"/>
    <x v="3"/>
    <x v="2"/>
    <x v="11"/>
    <n v="1687.8"/>
    <n v="4"/>
    <n v="0"/>
    <n v="742.63199999999995"/>
  </r>
  <r>
    <s v="Standard Class"/>
    <x v="2"/>
    <s v="United States"/>
    <s v="Providence"/>
    <x v="34"/>
    <n v="2908"/>
    <x v="3"/>
    <x v="0"/>
    <x v="0"/>
    <n v="341.96"/>
    <n v="2"/>
    <n v="0"/>
    <n v="78.650800000000004"/>
  </r>
  <r>
    <s v="Standard Class"/>
    <x v="2"/>
    <s v="United States"/>
    <s v="Providence"/>
    <x v="34"/>
    <n v="2908"/>
    <x v="3"/>
    <x v="0"/>
    <x v="1"/>
    <n v="605.88"/>
    <n v="6"/>
    <n v="0"/>
    <n v="151.47"/>
  </r>
  <r>
    <s v="First Class"/>
    <x v="2"/>
    <s v="United States"/>
    <s v="Midland"/>
    <x v="12"/>
    <n v="48640"/>
    <x v="2"/>
    <x v="1"/>
    <x v="9"/>
    <n v="186.732"/>
    <n v="1"/>
    <n v="0.1"/>
    <n v="41.496000000000002"/>
  </r>
  <r>
    <s v="First Class"/>
    <x v="2"/>
    <s v="United States"/>
    <s v="Midland"/>
    <x v="12"/>
    <n v="48640"/>
    <x v="2"/>
    <x v="1"/>
    <x v="8"/>
    <n v="3812.97"/>
    <n v="3"/>
    <n v="0"/>
    <n v="1906.4849999999999"/>
  </r>
  <r>
    <s v="Standard Class"/>
    <x v="0"/>
    <s v="United States"/>
    <s v="Rochester"/>
    <x v="15"/>
    <n v="14609"/>
    <x v="3"/>
    <x v="1"/>
    <x v="8"/>
    <n v="26.423999999999999"/>
    <n v="9"/>
    <n v="0.2"/>
    <n v="9.5786999999999995"/>
  </r>
  <r>
    <s v="Standard Class"/>
    <x v="0"/>
    <s v="United States"/>
    <s v="Rochester"/>
    <x v="15"/>
    <n v="14609"/>
    <x v="3"/>
    <x v="2"/>
    <x v="7"/>
    <n v="625.99"/>
    <n v="1"/>
    <n v="0"/>
    <n v="187.797"/>
  </r>
  <r>
    <s v="Standard Class"/>
    <x v="1"/>
    <s v="United States"/>
    <s v="Jackson"/>
    <x v="12"/>
    <n v="49201"/>
    <x v="2"/>
    <x v="0"/>
    <x v="3"/>
    <n v="1568.61"/>
    <n v="9"/>
    <n v="0"/>
    <n v="329.40809999999999"/>
  </r>
  <r>
    <s v="Standard Class"/>
    <x v="1"/>
    <s v="United States"/>
    <s v="Jackson"/>
    <x v="12"/>
    <n v="49201"/>
    <x v="2"/>
    <x v="1"/>
    <x v="8"/>
    <n v="17.3"/>
    <n v="1"/>
    <n v="0"/>
    <n v="8.3040000000000003"/>
  </r>
  <r>
    <s v="Standard Class"/>
    <x v="1"/>
    <s v="United States"/>
    <s v="Jackson"/>
    <x v="12"/>
    <n v="49201"/>
    <x v="2"/>
    <x v="2"/>
    <x v="11"/>
    <n v="160"/>
    <n v="8"/>
    <n v="0"/>
    <n v="62.4"/>
  </r>
  <r>
    <s v="First Class"/>
    <x v="1"/>
    <s v="United States"/>
    <s v="Suffolk"/>
    <x v="17"/>
    <n v="23434"/>
    <x v="0"/>
    <x v="1"/>
    <x v="9"/>
    <n v="179.94"/>
    <n v="3"/>
    <n v="0"/>
    <n v="50.383200000000002"/>
  </r>
  <r>
    <s v="First Class"/>
    <x v="1"/>
    <s v="United States"/>
    <s v="Suffolk"/>
    <x v="17"/>
    <n v="23434"/>
    <x v="0"/>
    <x v="0"/>
    <x v="3"/>
    <n v="872.94"/>
    <n v="3"/>
    <n v="0"/>
    <n v="157.1292"/>
  </r>
  <r>
    <s v="First Class"/>
    <x v="1"/>
    <s v="United States"/>
    <s v="Suffolk"/>
    <x v="17"/>
    <n v="23434"/>
    <x v="0"/>
    <x v="1"/>
    <x v="10"/>
    <n v="12.96"/>
    <n v="2"/>
    <n v="0"/>
    <n v="6.2207999999999997"/>
  </r>
  <r>
    <s v="Standard Class"/>
    <x v="0"/>
    <s v="United States"/>
    <s v="Brentwood"/>
    <x v="1"/>
    <n v="94513"/>
    <x v="1"/>
    <x v="1"/>
    <x v="2"/>
    <n v="88.8"/>
    <n v="6"/>
    <n v="0"/>
    <n v="44.4"/>
  </r>
  <r>
    <s v="Standard Class"/>
    <x v="0"/>
    <s v="United States"/>
    <s v="Brentwood"/>
    <x v="1"/>
    <n v="94513"/>
    <x v="1"/>
    <x v="2"/>
    <x v="7"/>
    <n v="319.96800000000002"/>
    <n v="4"/>
    <n v="0.2"/>
    <n v="35.996400000000001"/>
  </r>
  <r>
    <s v="Same Day"/>
    <x v="0"/>
    <s v="United States"/>
    <s v="Seattle"/>
    <x v="4"/>
    <n v="98103"/>
    <x v="1"/>
    <x v="0"/>
    <x v="1"/>
    <n v="167.88800000000001"/>
    <n v="7"/>
    <n v="0.2"/>
    <n v="14.690200000000001"/>
  </r>
  <r>
    <s v="First Class"/>
    <x v="2"/>
    <s v="United States"/>
    <s v="Houston"/>
    <x v="5"/>
    <n v="77036"/>
    <x v="2"/>
    <x v="1"/>
    <x v="10"/>
    <n v="163.96"/>
    <n v="5"/>
    <n v="0.2"/>
    <n v="59.435499999999998"/>
  </r>
  <r>
    <s v="First Class"/>
    <x v="2"/>
    <s v="United States"/>
    <s v="Houston"/>
    <x v="5"/>
    <n v="77036"/>
    <x v="2"/>
    <x v="1"/>
    <x v="8"/>
    <n v="5.2320000000000002"/>
    <n v="4"/>
    <n v="0.8"/>
    <n v="-8.1096000000000004"/>
  </r>
  <r>
    <s v="Standard Class"/>
    <x v="2"/>
    <s v="United States"/>
    <s v="Lawrence"/>
    <x v="31"/>
    <n v="1841"/>
    <x v="3"/>
    <x v="2"/>
    <x v="16"/>
    <n v="1199.98"/>
    <n v="2"/>
    <n v="0"/>
    <n v="467.99220000000003"/>
  </r>
  <r>
    <s v="Standard Class"/>
    <x v="2"/>
    <s v="United States"/>
    <s v="Lawrence"/>
    <x v="31"/>
    <n v="1841"/>
    <x v="3"/>
    <x v="1"/>
    <x v="4"/>
    <n v="73.849999999999994"/>
    <n v="1"/>
    <n v="0"/>
    <n v="2.2155"/>
  </r>
  <r>
    <s v="Standard Class"/>
    <x v="2"/>
    <s v="United States"/>
    <s v="Lawrence"/>
    <x v="31"/>
    <n v="1841"/>
    <x v="3"/>
    <x v="1"/>
    <x v="14"/>
    <n v="25.71"/>
    <n v="3"/>
    <n v="0"/>
    <n v="6.6845999999999997"/>
  </r>
  <r>
    <s v="Standard Class"/>
    <x v="2"/>
    <s v="United States"/>
    <s v="Lawrence"/>
    <x v="31"/>
    <n v="1841"/>
    <x v="3"/>
    <x v="1"/>
    <x v="13"/>
    <n v="17.28"/>
    <n v="6"/>
    <n v="0"/>
    <n v="8.1216000000000008"/>
  </r>
  <r>
    <s v="Standard Class"/>
    <x v="2"/>
    <s v="United States"/>
    <s v="Lawrence"/>
    <x v="31"/>
    <n v="1841"/>
    <x v="3"/>
    <x v="0"/>
    <x v="3"/>
    <n v="526.58199999999999"/>
    <n v="2"/>
    <n v="0.3"/>
    <n v="-52.658200000000001"/>
  </r>
  <r>
    <s v="Standard Class"/>
    <x v="0"/>
    <s v="United States"/>
    <s v="Detroit"/>
    <x v="12"/>
    <n v="48234"/>
    <x v="2"/>
    <x v="1"/>
    <x v="10"/>
    <n v="11.56"/>
    <n v="2"/>
    <n v="0"/>
    <n v="5.6643999999999997"/>
  </r>
  <r>
    <s v="Standard Class"/>
    <x v="0"/>
    <s v="United States"/>
    <s v="Detroit"/>
    <x v="12"/>
    <n v="48234"/>
    <x v="2"/>
    <x v="2"/>
    <x v="7"/>
    <n v="209.97"/>
    <n v="3"/>
    <n v="0"/>
    <n v="58.791600000000003"/>
  </r>
  <r>
    <s v="Standard Class"/>
    <x v="0"/>
    <s v="United States"/>
    <s v="Detroit"/>
    <x v="12"/>
    <n v="48234"/>
    <x v="2"/>
    <x v="0"/>
    <x v="3"/>
    <n v="447.84"/>
    <n v="4"/>
    <n v="0"/>
    <n v="98.524799999999999"/>
  </r>
  <r>
    <s v="Standard Class"/>
    <x v="0"/>
    <s v="United States"/>
    <s v="Detroit"/>
    <x v="12"/>
    <n v="48234"/>
    <x v="2"/>
    <x v="2"/>
    <x v="11"/>
    <n v="479.97"/>
    <n v="3"/>
    <n v="0"/>
    <n v="163.18979999999999"/>
  </r>
  <r>
    <s v="Standard Class"/>
    <x v="0"/>
    <s v="United States"/>
    <s v="Detroit"/>
    <x v="12"/>
    <n v="48234"/>
    <x v="2"/>
    <x v="1"/>
    <x v="6"/>
    <n v="8.64"/>
    <n v="3"/>
    <n v="0"/>
    <n v="2.5055999999999998"/>
  </r>
  <r>
    <s v="Standard Class"/>
    <x v="1"/>
    <s v="United States"/>
    <s v="Orem"/>
    <x v="7"/>
    <n v="84057"/>
    <x v="1"/>
    <x v="1"/>
    <x v="6"/>
    <n v="11.68"/>
    <n v="2"/>
    <n v="0"/>
    <n v="4.2047999999999996"/>
  </r>
  <r>
    <s v="Standard Class"/>
    <x v="0"/>
    <s v="United States"/>
    <s v="Philadelphia"/>
    <x v="9"/>
    <n v="19120"/>
    <x v="3"/>
    <x v="2"/>
    <x v="11"/>
    <n v="40.776000000000003"/>
    <n v="3"/>
    <n v="0.2"/>
    <n v="0.50970000000000004"/>
  </r>
  <r>
    <s v="Standard Class"/>
    <x v="0"/>
    <s v="United States"/>
    <s v="Philadelphia"/>
    <x v="9"/>
    <n v="19120"/>
    <x v="3"/>
    <x v="1"/>
    <x v="8"/>
    <n v="13.698"/>
    <n v="3"/>
    <n v="0.7"/>
    <n v="-9.5885999999999996"/>
  </r>
  <r>
    <s v="Standard Class"/>
    <x v="0"/>
    <s v="United States"/>
    <s v="Mesa"/>
    <x v="16"/>
    <n v="85204"/>
    <x v="1"/>
    <x v="2"/>
    <x v="7"/>
    <n v="87.8"/>
    <n v="5"/>
    <n v="0.2"/>
    <n v="32.924999999999997"/>
  </r>
  <r>
    <s v="Second Class"/>
    <x v="0"/>
    <s v="United States"/>
    <s v="Fayetteville"/>
    <x v="3"/>
    <n v="28314"/>
    <x v="0"/>
    <x v="0"/>
    <x v="5"/>
    <n v="77.951999999999998"/>
    <n v="3"/>
    <n v="0.2"/>
    <n v="15.590400000000001"/>
  </r>
  <r>
    <s v="Second Class"/>
    <x v="0"/>
    <s v="United States"/>
    <s v="Fayetteville"/>
    <x v="3"/>
    <n v="28314"/>
    <x v="0"/>
    <x v="1"/>
    <x v="4"/>
    <n v="147.184"/>
    <n v="2"/>
    <n v="0.2"/>
    <n v="-29.436800000000002"/>
  </r>
  <r>
    <s v="Second Class"/>
    <x v="0"/>
    <s v="United States"/>
    <s v="Fayetteville"/>
    <x v="3"/>
    <n v="28314"/>
    <x v="0"/>
    <x v="1"/>
    <x v="10"/>
    <n v="47.951999999999998"/>
    <n v="3"/>
    <n v="0.2"/>
    <n v="16.183800000000002"/>
  </r>
  <r>
    <s v="First Class"/>
    <x v="0"/>
    <s v="United States"/>
    <s v="Los Angeles"/>
    <x v="1"/>
    <n v="90032"/>
    <x v="1"/>
    <x v="1"/>
    <x v="9"/>
    <n v="250.26"/>
    <n v="6"/>
    <n v="0"/>
    <n v="72.575400000000002"/>
  </r>
  <r>
    <s v="Standard Class"/>
    <x v="0"/>
    <s v="United States"/>
    <s v="Philadelphia"/>
    <x v="9"/>
    <n v="19140"/>
    <x v="3"/>
    <x v="2"/>
    <x v="11"/>
    <n v="40.776000000000003"/>
    <n v="3"/>
    <n v="0.2"/>
    <n v="0.50970000000000004"/>
  </r>
  <r>
    <s v="Standard Class"/>
    <x v="1"/>
    <s v="United States"/>
    <s v="Colorado Springs"/>
    <x v="22"/>
    <n v="80906"/>
    <x v="1"/>
    <x v="1"/>
    <x v="10"/>
    <n v="29.6"/>
    <n v="5"/>
    <n v="0.2"/>
    <n v="9.25"/>
  </r>
  <r>
    <s v="Standard Class"/>
    <x v="1"/>
    <s v="United States"/>
    <s v="Colorado Springs"/>
    <x v="22"/>
    <n v="80906"/>
    <x v="1"/>
    <x v="1"/>
    <x v="8"/>
    <n v="1.9379999999999999"/>
    <n v="2"/>
    <n v="0.7"/>
    <n v="-1.3566"/>
  </r>
  <r>
    <s v="Standard Class"/>
    <x v="1"/>
    <s v="United States"/>
    <s v="Los Angeles"/>
    <x v="1"/>
    <n v="90032"/>
    <x v="1"/>
    <x v="2"/>
    <x v="11"/>
    <n v="159.96"/>
    <n v="4"/>
    <n v="0"/>
    <n v="51.187199999999997"/>
  </r>
  <r>
    <s v="Standard Class"/>
    <x v="1"/>
    <s v="United States"/>
    <s v="New York City"/>
    <x v="15"/>
    <n v="10009"/>
    <x v="3"/>
    <x v="1"/>
    <x v="6"/>
    <n v="59.52"/>
    <n v="3"/>
    <n v="0"/>
    <n v="15.475199999999999"/>
  </r>
  <r>
    <s v="Standard Class"/>
    <x v="1"/>
    <s v="United States"/>
    <s v="New York City"/>
    <x v="15"/>
    <n v="10009"/>
    <x v="3"/>
    <x v="1"/>
    <x v="12"/>
    <n v="17.48"/>
    <n v="2"/>
    <n v="0"/>
    <n v="8.2156000000000002"/>
  </r>
  <r>
    <s v="Standard Class"/>
    <x v="1"/>
    <s v="United States"/>
    <s v="New York City"/>
    <x v="15"/>
    <n v="10009"/>
    <x v="3"/>
    <x v="1"/>
    <x v="8"/>
    <n v="13.167999999999999"/>
    <n v="2"/>
    <n v="0.2"/>
    <n v="4.6087999999999996"/>
  </r>
  <r>
    <s v="Standard Class"/>
    <x v="2"/>
    <s v="United States"/>
    <s v="San Francisco"/>
    <x v="1"/>
    <n v="94109"/>
    <x v="1"/>
    <x v="1"/>
    <x v="9"/>
    <n v="40.74"/>
    <n v="3"/>
    <n v="0"/>
    <n v="12.222"/>
  </r>
  <r>
    <s v="Standard Class"/>
    <x v="1"/>
    <s v="United States"/>
    <s v="Austin"/>
    <x v="5"/>
    <n v="78745"/>
    <x v="2"/>
    <x v="0"/>
    <x v="1"/>
    <n v="179.886"/>
    <n v="1"/>
    <n v="0.3"/>
    <n v="-2.5697999999999999"/>
  </r>
  <r>
    <s v="Standard Class"/>
    <x v="0"/>
    <s v="United States"/>
    <s v="Cleveland"/>
    <x v="24"/>
    <n v="44105"/>
    <x v="3"/>
    <x v="1"/>
    <x v="9"/>
    <n v="286.25599999999997"/>
    <n v="1"/>
    <n v="0.2"/>
    <n v="17.890999999999998"/>
  </r>
  <r>
    <s v="Standard Class"/>
    <x v="0"/>
    <s v="United States"/>
    <s v="Cleveland"/>
    <x v="24"/>
    <n v="44105"/>
    <x v="3"/>
    <x v="1"/>
    <x v="4"/>
    <n v="24.224"/>
    <n v="2"/>
    <n v="0.2"/>
    <n v="-4.8448000000000002"/>
  </r>
  <r>
    <s v="Standard Class"/>
    <x v="0"/>
    <s v="United States"/>
    <s v="Cleveland"/>
    <x v="24"/>
    <n v="44105"/>
    <x v="3"/>
    <x v="1"/>
    <x v="4"/>
    <n v="331.536"/>
    <n v="3"/>
    <n v="0.2"/>
    <n v="-82.884"/>
  </r>
  <r>
    <s v="Second Class"/>
    <x v="2"/>
    <s v="United States"/>
    <s v="New York City"/>
    <x v="15"/>
    <n v="10009"/>
    <x v="3"/>
    <x v="1"/>
    <x v="6"/>
    <n v="17.52"/>
    <n v="3"/>
    <n v="0"/>
    <n v="6.3071999999999999"/>
  </r>
  <r>
    <s v="Standard Class"/>
    <x v="0"/>
    <s v="United States"/>
    <s v="El Paso"/>
    <x v="5"/>
    <n v="79907"/>
    <x v="2"/>
    <x v="1"/>
    <x v="6"/>
    <n v="17.856000000000002"/>
    <n v="4"/>
    <n v="0.2"/>
    <n v="4.2408000000000001"/>
  </r>
  <r>
    <s v="Standard Class"/>
    <x v="2"/>
    <s v="United States"/>
    <s v="Tallahassee"/>
    <x v="2"/>
    <n v="32303"/>
    <x v="0"/>
    <x v="2"/>
    <x v="11"/>
    <n v="431.976"/>
    <n v="3"/>
    <n v="0.2"/>
    <n v="-75.595799999999997"/>
  </r>
  <r>
    <s v="Standard Class"/>
    <x v="2"/>
    <s v="United States"/>
    <s v="Seattle"/>
    <x v="4"/>
    <n v="98103"/>
    <x v="1"/>
    <x v="0"/>
    <x v="1"/>
    <n v="291.13600000000002"/>
    <n v="4"/>
    <n v="0.2"/>
    <n v="-25.474399999999999"/>
  </r>
  <r>
    <s v="First Class"/>
    <x v="2"/>
    <s v="United States"/>
    <s v="Dallas"/>
    <x v="5"/>
    <n v="75220"/>
    <x v="2"/>
    <x v="1"/>
    <x v="12"/>
    <n v="114.848"/>
    <n v="4"/>
    <n v="0.2"/>
    <n v="35.89"/>
  </r>
  <r>
    <s v="Standard Class"/>
    <x v="0"/>
    <s v="United States"/>
    <s v="Houston"/>
    <x v="5"/>
    <n v="77070"/>
    <x v="2"/>
    <x v="1"/>
    <x v="10"/>
    <n v="10.688000000000001"/>
    <n v="2"/>
    <n v="0.2"/>
    <n v="3.7408000000000001"/>
  </r>
  <r>
    <s v="Second Class"/>
    <x v="0"/>
    <s v="United States"/>
    <s v="Springfield"/>
    <x v="24"/>
    <n v="45503"/>
    <x v="3"/>
    <x v="1"/>
    <x v="10"/>
    <n v="15.231999999999999"/>
    <n v="4"/>
    <n v="0.2"/>
    <n v="5.5216000000000003"/>
  </r>
  <r>
    <s v="Standard Class"/>
    <x v="0"/>
    <s v="United States"/>
    <s v="Seattle"/>
    <x v="4"/>
    <n v="98103"/>
    <x v="1"/>
    <x v="1"/>
    <x v="6"/>
    <n v="12.42"/>
    <n v="3"/>
    <n v="0"/>
    <n v="5.2164000000000001"/>
  </r>
  <r>
    <s v="Standard Class"/>
    <x v="1"/>
    <s v="United States"/>
    <s v="Seattle"/>
    <x v="4"/>
    <n v="98105"/>
    <x v="1"/>
    <x v="1"/>
    <x v="10"/>
    <n v="19.440000000000001"/>
    <n v="3"/>
    <n v="0"/>
    <n v="9.3312000000000008"/>
  </r>
  <r>
    <s v="Standard Class"/>
    <x v="0"/>
    <s v="United States"/>
    <s v="New York City"/>
    <x v="15"/>
    <n v="10024"/>
    <x v="3"/>
    <x v="1"/>
    <x v="8"/>
    <n v="70.367999999999995"/>
    <n v="4"/>
    <n v="0.2"/>
    <n v="26.388000000000002"/>
  </r>
  <r>
    <s v="First Class"/>
    <x v="0"/>
    <s v="United States"/>
    <s v="Charlotte"/>
    <x v="3"/>
    <n v="28205"/>
    <x v="0"/>
    <x v="1"/>
    <x v="6"/>
    <n v="12.672000000000001"/>
    <n v="9"/>
    <n v="0.2"/>
    <n v="1.4256"/>
  </r>
  <r>
    <s v="Standard Class"/>
    <x v="0"/>
    <s v="United States"/>
    <s v="Baltimore"/>
    <x v="39"/>
    <n v="21215"/>
    <x v="3"/>
    <x v="2"/>
    <x v="7"/>
    <n v="89.95"/>
    <n v="5"/>
    <n v="0"/>
    <n v="43.176000000000002"/>
  </r>
  <r>
    <s v="Standard Class"/>
    <x v="2"/>
    <s v="United States"/>
    <s v="San Francisco"/>
    <x v="1"/>
    <n v="94110"/>
    <x v="1"/>
    <x v="1"/>
    <x v="10"/>
    <n v="6.58"/>
    <n v="2"/>
    <n v="0"/>
    <n v="3.0268000000000002"/>
  </r>
  <r>
    <s v="Standard Class"/>
    <x v="2"/>
    <s v="United States"/>
    <s v="San Francisco"/>
    <x v="1"/>
    <n v="94110"/>
    <x v="1"/>
    <x v="2"/>
    <x v="11"/>
    <n v="94.99"/>
    <n v="1"/>
    <n v="0"/>
    <n v="28.497"/>
  </r>
  <r>
    <s v="Second Class"/>
    <x v="0"/>
    <s v="United States"/>
    <s v="Tucson"/>
    <x v="16"/>
    <n v="85705"/>
    <x v="1"/>
    <x v="2"/>
    <x v="7"/>
    <n v="35.119999999999997"/>
    <n v="2"/>
    <n v="0.2"/>
    <n v="13.17"/>
  </r>
  <r>
    <s v="Standard Class"/>
    <x v="0"/>
    <s v="United States"/>
    <s v="Los Angeles"/>
    <x v="1"/>
    <n v="90036"/>
    <x v="1"/>
    <x v="1"/>
    <x v="10"/>
    <n v="25.92"/>
    <n v="4"/>
    <n v="0"/>
    <n v="12.441599999999999"/>
  </r>
  <r>
    <s v="Standard Class"/>
    <x v="1"/>
    <s v="United States"/>
    <s v="Waterbury"/>
    <x v="29"/>
    <n v="6708"/>
    <x v="3"/>
    <x v="1"/>
    <x v="8"/>
    <n v="7.96"/>
    <n v="2"/>
    <n v="0"/>
    <n v="3.7412000000000001"/>
  </r>
  <r>
    <s v="Standard Class"/>
    <x v="1"/>
    <s v="United States"/>
    <s v="Waterbury"/>
    <x v="29"/>
    <n v="6708"/>
    <x v="3"/>
    <x v="2"/>
    <x v="7"/>
    <n v="566.97"/>
    <n v="3"/>
    <n v="0"/>
    <n v="153.08189999999999"/>
  </r>
  <r>
    <s v="Standard Class"/>
    <x v="1"/>
    <s v="United States"/>
    <s v="Waterbury"/>
    <x v="29"/>
    <n v="6708"/>
    <x v="3"/>
    <x v="1"/>
    <x v="6"/>
    <n v="9.84"/>
    <n v="3"/>
    <n v="0"/>
    <n v="2.8536000000000001"/>
  </r>
  <r>
    <s v="Standard Class"/>
    <x v="2"/>
    <s v="United States"/>
    <s v="Chicago"/>
    <x v="10"/>
    <n v="60610"/>
    <x v="2"/>
    <x v="2"/>
    <x v="11"/>
    <n v="25.488"/>
    <n v="2"/>
    <n v="0.2"/>
    <n v="4.7789999999999999"/>
  </r>
  <r>
    <s v="Second Class"/>
    <x v="2"/>
    <s v="United States"/>
    <s v="Long Beach"/>
    <x v="15"/>
    <n v="11561"/>
    <x v="3"/>
    <x v="1"/>
    <x v="13"/>
    <n v="7.56"/>
    <n v="6"/>
    <n v="0"/>
    <n v="0.3024"/>
  </r>
  <r>
    <s v="Standard Class"/>
    <x v="0"/>
    <s v="United States"/>
    <s v="Arlington"/>
    <x v="17"/>
    <n v="22204"/>
    <x v="0"/>
    <x v="0"/>
    <x v="5"/>
    <n v="60.84"/>
    <n v="3"/>
    <n v="0"/>
    <n v="19.468800000000002"/>
  </r>
  <r>
    <s v="Standard Class"/>
    <x v="0"/>
    <s v="United States"/>
    <s v="Arlington"/>
    <x v="17"/>
    <n v="22204"/>
    <x v="0"/>
    <x v="1"/>
    <x v="4"/>
    <n v="450.04"/>
    <n v="2"/>
    <n v="0"/>
    <n v="58.505200000000002"/>
  </r>
  <r>
    <s v="Standard Class"/>
    <x v="0"/>
    <s v="United States"/>
    <s v="Arlington"/>
    <x v="17"/>
    <n v="22204"/>
    <x v="0"/>
    <x v="1"/>
    <x v="8"/>
    <n v="34.6"/>
    <n v="2"/>
    <n v="0"/>
    <n v="16.608000000000001"/>
  </r>
  <r>
    <s v="Standard Class"/>
    <x v="0"/>
    <s v="United States"/>
    <s v="Arlington"/>
    <x v="17"/>
    <n v="22204"/>
    <x v="0"/>
    <x v="2"/>
    <x v="7"/>
    <n v="467.97"/>
    <n v="3"/>
    <n v="0"/>
    <n v="140.39099999999999"/>
  </r>
  <r>
    <s v="Standard Class"/>
    <x v="0"/>
    <s v="United States"/>
    <s v="Arlington"/>
    <x v="17"/>
    <n v="22204"/>
    <x v="0"/>
    <x v="1"/>
    <x v="8"/>
    <n v="33.020000000000003"/>
    <n v="2"/>
    <n v="0"/>
    <n v="15.849600000000001"/>
  </r>
  <r>
    <s v="First Class"/>
    <x v="1"/>
    <s v="United States"/>
    <s v="Jacksonville"/>
    <x v="3"/>
    <n v="28540"/>
    <x v="0"/>
    <x v="0"/>
    <x v="5"/>
    <n v="17.088000000000001"/>
    <n v="2"/>
    <n v="0.2"/>
    <n v="1.0680000000000001"/>
  </r>
  <r>
    <s v="Second Class"/>
    <x v="1"/>
    <s v="United States"/>
    <s v="Columbus"/>
    <x v="24"/>
    <n v="43229"/>
    <x v="3"/>
    <x v="1"/>
    <x v="6"/>
    <n v="3.008"/>
    <n v="2"/>
    <n v="0.2"/>
    <n v="0.33839999999999998"/>
  </r>
  <r>
    <s v="Standard Class"/>
    <x v="0"/>
    <s v="United States"/>
    <s v="Charlotte"/>
    <x v="3"/>
    <n v="28205"/>
    <x v="0"/>
    <x v="1"/>
    <x v="10"/>
    <n v="268.24"/>
    <n v="7"/>
    <n v="0.2"/>
    <n v="93.884"/>
  </r>
  <r>
    <s v="Standard Class"/>
    <x v="0"/>
    <s v="United States"/>
    <s v="Charlotte"/>
    <x v="3"/>
    <n v="28205"/>
    <x v="0"/>
    <x v="2"/>
    <x v="11"/>
    <n v="431.16"/>
    <n v="5"/>
    <n v="0.2"/>
    <n v="107.79"/>
  </r>
  <r>
    <s v="Second Class"/>
    <x v="1"/>
    <s v="United States"/>
    <s v="Buffalo"/>
    <x v="15"/>
    <n v="14215"/>
    <x v="3"/>
    <x v="2"/>
    <x v="7"/>
    <n v="43.6"/>
    <n v="4"/>
    <n v="0"/>
    <n v="12.208"/>
  </r>
  <r>
    <s v="Second Class"/>
    <x v="1"/>
    <s v="United States"/>
    <s v="Buffalo"/>
    <x v="15"/>
    <n v="14215"/>
    <x v="3"/>
    <x v="0"/>
    <x v="5"/>
    <n v="154.94999999999999"/>
    <n v="3"/>
    <n v="0"/>
    <n v="30.99"/>
  </r>
  <r>
    <s v="Standard Class"/>
    <x v="1"/>
    <s v="United States"/>
    <s v="Houston"/>
    <x v="5"/>
    <n v="77041"/>
    <x v="2"/>
    <x v="1"/>
    <x v="10"/>
    <n v="15.552"/>
    <n v="3"/>
    <n v="0.2"/>
    <n v="5.4432"/>
  </r>
  <r>
    <s v="Standard Class"/>
    <x v="0"/>
    <s v="United States"/>
    <s v="Memphis"/>
    <x v="18"/>
    <n v="38109"/>
    <x v="0"/>
    <x v="1"/>
    <x v="10"/>
    <n v="42.207999999999998"/>
    <n v="2"/>
    <n v="0.2"/>
    <n v="13.717599999999999"/>
  </r>
  <r>
    <s v="First Class"/>
    <x v="0"/>
    <s v="United States"/>
    <s v="Plano"/>
    <x v="5"/>
    <n v="75023"/>
    <x v="2"/>
    <x v="1"/>
    <x v="10"/>
    <n v="10.368"/>
    <n v="2"/>
    <n v="0.2"/>
    <n v="3.6288"/>
  </r>
  <r>
    <s v="First Class"/>
    <x v="2"/>
    <s v="United States"/>
    <s v="Salem"/>
    <x v="21"/>
    <n v="97301"/>
    <x v="1"/>
    <x v="1"/>
    <x v="6"/>
    <n v="2.2240000000000002"/>
    <n v="1"/>
    <n v="0.2"/>
    <n v="0.55600000000000005"/>
  </r>
  <r>
    <s v="Standard Class"/>
    <x v="0"/>
    <s v="United States"/>
    <s v="Columbus"/>
    <x v="32"/>
    <n v="31907"/>
    <x v="0"/>
    <x v="1"/>
    <x v="12"/>
    <n v="74.52"/>
    <n v="9"/>
    <n v="0"/>
    <n v="35.0244"/>
  </r>
  <r>
    <s v="Same Day"/>
    <x v="1"/>
    <s v="United States"/>
    <s v="Columbia"/>
    <x v="39"/>
    <n v="21044"/>
    <x v="3"/>
    <x v="1"/>
    <x v="6"/>
    <n v="17.52"/>
    <n v="3"/>
    <n v="0"/>
    <n v="5.2560000000000002"/>
  </r>
  <r>
    <s v="Same Day"/>
    <x v="1"/>
    <s v="United States"/>
    <s v="Columbia"/>
    <x v="39"/>
    <n v="21044"/>
    <x v="3"/>
    <x v="0"/>
    <x v="1"/>
    <n v="1779.9"/>
    <n v="5"/>
    <n v="0"/>
    <n v="373.779"/>
  </r>
  <r>
    <s v="Same Day"/>
    <x v="1"/>
    <s v="United States"/>
    <s v="Columbia"/>
    <x v="39"/>
    <n v="21044"/>
    <x v="3"/>
    <x v="1"/>
    <x v="6"/>
    <n v="219.9"/>
    <n v="5"/>
    <n v="0"/>
    <n v="59.372999999999998"/>
  </r>
  <r>
    <s v="First Class"/>
    <x v="0"/>
    <s v="United States"/>
    <s v="Portland"/>
    <x v="21"/>
    <n v="97206"/>
    <x v="1"/>
    <x v="1"/>
    <x v="6"/>
    <n v="7.1520000000000001"/>
    <n v="3"/>
    <n v="0.2"/>
    <n v="0.71519999999999995"/>
  </r>
  <r>
    <s v="Standard Class"/>
    <x v="0"/>
    <s v="United States"/>
    <s v="Tallahassee"/>
    <x v="2"/>
    <n v="32303"/>
    <x v="0"/>
    <x v="1"/>
    <x v="10"/>
    <n v="26.72"/>
    <n v="5"/>
    <n v="0.2"/>
    <n v="9.3520000000000003"/>
  </r>
  <r>
    <s v="Same Day"/>
    <x v="1"/>
    <s v="United States"/>
    <s v="Riverside"/>
    <x v="1"/>
    <n v="92503"/>
    <x v="1"/>
    <x v="2"/>
    <x v="7"/>
    <n v="1039.7280000000001"/>
    <n v="2"/>
    <n v="0.2"/>
    <n v="90.976200000000006"/>
  </r>
  <r>
    <s v="Same Day"/>
    <x v="1"/>
    <s v="United States"/>
    <s v="Riverside"/>
    <x v="1"/>
    <n v="92503"/>
    <x v="1"/>
    <x v="1"/>
    <x v="9"/>
    <n v="45.96"/>
    <n v="2"/>
    <n v="0"/>
    <n v="13.788"/>
  </r>
  <r>
    <s v="Standard Class"/>
    <x v="0"/>
    <s v="United States"/>
    <s v="Lancaster"/>
    <x v="24"/>
    <n v="43130"/>
    <x v="3"/>
    <x v="1"/>
    <x v="8"/>
    <n v="456.58800000000002"/>
    <n v="2"/>
    <n v="0.7"/>
    <n v="-304.392"/>
  </r>
  <r>
    <s v="Standard Class"/>
    <x v="0"/>
    <s v="United States"/>
    <s v="Lancaster"/>
    <x v="24"/>
    <n v="43130"/>
    <x v="3"/>
    <x v="2"/>
    <x v="15"/>
    <n v="4499.9849999999997"/>
    <n v="5"/>
    <n v="0.7"/>
    <n v="-6599.9780000000001"/>
  </r>
  <r>
    <s v="Standard Class"/>
    <x v="0"/>
    <s v="United States"/>
    <s v="Lancaster"/>
    <x v="24"/>
    <n v="43130"/>
    <x v="3"/>
    <x v="2"/>
    <x v="11"/>
    <n v="59.975999999999999"/>
    <n v="3"/>
    <n v="0.2"/>
    <n v="11.995200000000001"/>
  </r>
  <r>
    <s v="First Class"/>
    <x v="0"/>
    <s v="United States"/>
    <s v="San Francisco"/>
    <x v="1"/>
    <n v="94109"/>
    <x v="1"/>
    <x v="1"/>
    <x v="12"/>
    <n v="6.12"/>
    <n v="3"/>
    <n v="0"/>
    <n v="2.8763999999999998"/>
  </r>
  <r>
    <s v="Standard Class"/>
    <x v="2"/>
    <s v="United States"/>
    <s v="Moreno Valley"/>
    <x v="1"/>
    <n v="92553"/>
    <x v="1"/>
    <x v="1"/>
    <x v="9"/>
    <n v="10.98"/>
    <n v="1"/>
    <n v="0"/>
    <n v="2.9645999999999999"/>
  </r>
  <r>
    <s v="Standard Class"/>
    <x v="2"/>
    <s v="United States"/>
    <s v="Moreno Valley"/>
    <x v="1"/>
    <n v="92553"/>
    <x v="1"/>
    <x v="1"/>
    <x v="13"/>
    <n v="7.86"/>
    <n v="3"/>
    <n v="0"/>
    <n v="3.6156000000000001"/>
  </r>
  <r>
    <s v="Standard Class"/>
    <x v="2"/>
    <s v="United States"/>
    <s v="Moreno Valley"/>
    <x v="1"/>
    <n v="92553"/>
    <x v="1"/>
    <x v="1"/>
    <x v="4"/>
    <n v="51.45"/>
    <n v="3"/>
    <n v="0"/>
    <n v="13.891500000000001"/>
  </r>
  <r>
    <s v="Standard Class"/>
    <x v="2"/>
    <s v="United States"/>
    <s v="Moreno Valley"/>
    <x v="1"/>
    <n v="92553"/>
    <x v="1"/>
    <x v="1"/>
    <x v="8"/>
    <n v="37.055999999999997"/>
    <n v="3"/>
    <n v="0.2"/>
    <n v="13.896000000000001"/>
  </r>
  <r>
    <s v="Standard Class"/>
    <x v="0"/>
    <s v="United States"/>
    <s v="Chesapeake"/>
    <x v="17"/>
    <n v="23320"/>
    <x v="0"/>
    <x v="1"/>
    <x v="9"/>
    <n v="203.92"/>
    <n v="4"/>
    <n v="0"/>
    <n v="55.058399999999999"/>
  </r>
  <r>
    <s v="Standard Class"/>
    <x v="0"/>
    <s v="United States"/>
    <s v="Chesapeake"/>
    <x v="17"/>
    <n v="23320"/>
    <x v="0"/>
    <x v="2"/>
    <x v="7"/>
    <n v="29.56"/>
    <n v="4"/>
    <n v="0"/>
    <n v="7.9812000000000003"/>
  </r>
  <r>
    <s v="Standard Class"/>
    <x v="0"/>
    <s v="United States"/>
    <s v="Chicago"/>
    <x v="10"/>
    <n v="60623"/>
    <x v="2"/>
    <x v="1"/>
    <x v="8"/>
    <n v="8.5679999999999996"/>
    <n v="3"/>
    <n v="0.8"/>
    <n v="-14.5656"/>
  </r>
  <r>
    <s v="Second Class"/>
    <x v="1"/>
    <s v="United States"/>
    <s v="Charlotte"/>
    <x v="3"/>
    <n v="28205"/>
    <x v="0"/>
    <x v="1"/>
    <x v="4"/>
    <n v="45.247999999999998"/>
    <n v="2"/>
    <n v="0.2"/>
    <n v="3.9592000000000001"/>
  </r>
  <r>
    <s v="Second Class"/>
    <x v="1"/>
    <s v="United States"/>
    <s v="Charlotte"/>
    <x v="3"/>
    <n v="28205"/>
    <x v="0"/>
    <x v="0"/>
    <x v="3"/>
    <n v="876.3"/>
    <n v="10"/>
    <n v="0.4"/>
    <n v="-292.10000000000002"/>
  </r>
  <r>
    <s v="Second Class"/>
    <x v="1"/>
    <s v="United States"/>
    <s v="Charlotte"/>
    <x v="3"/>
    <n v="28205"/>
    <x v="0"/>
    <x v="1"/>
    <x v="14"/>
    <n v="185.376"/>
    <n v="2"/>
    <n v="0.2"/>
    <n v="-34.758000000000003"/>
  </r>
  <r>
    <s v="Standard Class"/>
    <x v="0"/>
    <s v="United States"/>
    <s v="New York City"/>
    <x v="15"/>
    <n v="10009"/>
    <x v="3"/>
    <x v="1"/>
    <x v="2"/>
    <n v="25.06"/>
    <n v="2"/>
    <n v="0"/>
    <n v="11.7782"/>
  </r>
  <r>
    <s v="First Class"/>
    <x v="0"/>
    <s v="United States"/>
    <s v="Chicago"/>
    <x v="10"/>
    <n v="60653"/>
    <x v="2"/>
    <x v="1"/>
    <x v="8"/>
    <n v="2.89"/>
    <n v="1"/>
    <n v="0.8"/>
    <n v="-4.7685000000000004"/>
  </r>
  <r>
    <s v="First Class"/>
    <x v="0"/>
    <s v="United States"/>
    <s v="Chicago"/>
    <x v="10"/>
    <n v="60653"/>
    <x v="2"/>
    <x v="1"/>
    <x v="13"/>
    <n v="7.8959999999999999"/>
    <n v="3"/>
    <n v="0.2"/>
    <n v="2.4674999999999998"/>
  </r>
  <r>
    <s v="First Class"/>
    <x v="0"/>
    <s v="United States"/>
    <s v="Chicago"/>
    <x v="10"/>
    <n v="60653"/>
    <x v="2"/>
    <x v="0"/>
    <x v="5"/>
    <n v="22.608000000000001"/>
    <n v="3"/>
    <n v="0.6"/>
    <n v="-10.1736"/>
  </r>
  <r>
    <s v="First Class"/>
    <x v="0"/>
    <s v="United States"/>
    <s v="Chicago"/>
    <x v="10"/>
    <n v="60653"/>
    <x v="2"/>
    <x v="1"/>
    <x v="10"/>
    <n v="30.527999999999999"/>
    <n v="8"/>
    <n v="0.2"/>
    <n v="9.5399999999999991"/>
  </r>
  <r>
    <s v="Same Day"/>
    <x v="2"/>
    <s v="United States"/>
    <s v="Philadelphia"/>
    <x v="9"/>
    <n v="19120"/>
    <x v="3"/>
    <x v="1"/>
    <x v="8"/>
    <n v="4.8419999999999996"/>
    <n v="3"/>
    <n v="0.7"/>
    <n v="-3.3894000000000002"/>
  </r>
  <r>
    <s v="Standard Class"/>
    <x v="1"/>
    <s v="United States"/>
    <s v="Chicago"/>
    <x v="10"/>
    <n v="60623"/>
    <x v="2"/>
    <x v="1"/>
    <x v="8"/>
    <n v="1.8"/>
    <n v="5"/>
    <n v="0.8"/>
    <n v="-2.88"/>
  </r>
  <r>
    <s v="First Class"/>
    <x v="1"/>
    <s v="United States"/>
    <s v="Dallas"/>
    <x v="5"/>
    <n v="75217"/>
    <x v="2"/>
    <x v="2"/>
    <x v="11"/>
    <n v="39.984000000000002"/>
    <n v="2"/>
    <n v="0.2"/>
    <n v="-1.4994000000000001"/>
  </r>
  <r>
    <s v="Second Class"/>
    <x v="1"/>
    <s v="United States"/>
    <s v="Las Vegas"/>
    <x v="33"/>
    <n v="89115"/>
    <x v="1"/>
    <x v="1"/>
    <x v="10"/>
    <n v="32.4"/>
    <n v="5"/>
    <n v="0"/>
    <n v="15.875999999999999"/>
  </r>
  <r>
    <s v="Second Class"/>
    <x v="1"/>
    <s v="United States"/>
    <s v="Las Vegas"/>
    <x v="33"/>
    <n v="89115"/>
    <x v="1"/>
    <x v="1"/>
    <x v="10"/>
    <n v="97.88"/>
    <n v="2"/>
    <n v="0"/>
    <n v="48.94"/>
  </r>
  <r>
    <s v="Standard Class"/>
    <x v="0"/>
    <s v="United States"/>
    <s v="Amarillo"/>
    <x v="5"/>
    <n v="79109"/>
    <x v="2"/>
    <x v="2"/>
    <x v="7"/>
    <n v="307.16800000000001"/>
    <n v="4"/>
    <n v="0.2"/>
    <n v="30.716799999999999"/>
  </r>
  <r>
    <s v="Standard Class"/>
    <x v="1"/>
    <s v="United States"/>
    <s v="Middletown"/>
    <x v="29"/>
    <n v="6457"/>
    <x v="3"/>
    <x v="1"/>
    <x v="8"/>
    <n v="26.9"/>
    <n v="5"/>
    <n v="0"/>
    <n v="13.180999999999999"/>
  </r>
  <r>
    <s v="First Class"/>
    <x v="1"/>
    <s v="United States"/>
    <s v="New York City"/>
    <x v="15"/>
    <n v="10035"/>
    <x v="3"/>
    <x v="1"/>
    <x v="12"/>
    <n v="47.01"/>
    <n v="3"/>
    <n v="0"/>
    <n v="22.0947"/>
  </r>
  <r>
    <s v="First Class"/>
    <x v="1"/>
    <s v="United States"/>
    <s v="New York City"/>
    <x v="15"/>
    <n v="10035"/>
    <x v="3"/>
    <x v="2"/>
    <x v="7"/>
    <n v="469.99"/>
    <n v="1"/>
    <n v="0"/>
    <n v="136.2971"/>
  </r>
  <r>
    <s v="First Class"/>
    <x v="1"/>
    <s v="United States"/>
    <s v="New York City"/>
    <x v="15"/>
    <n v="10035"/>
    <x v="3"/>
    <x v="0"/>
    <x v="1"/>
    <n v="207.846"/>
    <n v="3"/>
    <n v="0.1"/>
    <n v="2.3094000000000001"/>
  </r>
  <r>
    <s v="Standard Class"/>
    <x v="0"/>
    <s v="United States"/>
    <s v="Philadelphia"/>
    <x v="9"/>
    <n v="19120"/>
    <x v="3"/>
    <x v="1"/>
    <x v="4"/>
    <n v="324.74400000000003"/>
    <n v="3"/>
    <n v="0.2"/>
    <n v="-77.1267"/>
  </r>
  <r>
    <s v="Second Class"/>
    <x v="0"/>
    <s v="United States"/>
    <s v="Fresno"/>
    <x v="1"/>
    <n v="93727"/>
    <x v="1"/>
    <x v="0"/>
    <x v="5"/>
    <n v="40.479999999999997"/>
    <n v="2"/>
    <n v="0"/>
    <n v="14.572800000000001"/>
  </r>
  <r>
    <s v="Standard Class"/>
    <x v="2"/>
    <s v="United States"/>
    <s v="Franklin"/>
    <x v="18"/>
    <n v="37064"/>
    <x v="0"/>
    <x v="1"/>
    <x v="2"/>
    <n v="12"/>
    <n v="4"/>
    <n v="0.2"/>
    <n v="4.2"/>
  </r>
  <r>
    <s v="Standard Class"/>
    <x v="2"/>
    <s v="United States"/>
    <s v="Franklin"/>
    <x v="18"/>
    <n v="37064"/>
    <x v="0"/>
    <x v="1"/>
    <x v="4"/>
    <n v="720.06399999999996"/>
    <n v="4"/>
    <n v="0.2"/>
    <n v="-63.005600000000001"/>
  </r>
  <r>
    <s v="Standard Class"/>
    <x v="2"/>
    <s v="United States"/>
    <s v="Franklin"/>
    <x v="18"/>
    <n v="37064"/>
    <x v="0"/>
    <x v="1"/>
    <x v="4"/>
    <n v="25.423999999999999"/>
    <n v="1"/>
    <n v="0.2"/>
    <n v="-4.7670000000000003"/>
  </r>
  <r>
    <s v="Standard Class"/>
    <x v="2"/>
    <s v="United States"/>
    <s v="Franklin"/>
    <x v="18"/>
    <n v="37064"/>
    <x v="0"/>
    <x v="1"/>
    <x v="6"/>
    <n v="2.8159999999999998"/>
    <n v="2"/>
    <n v="0.2"/>
    <n v="0.31680000000000003"/>
  </r>
  <r>
    <s v="Standard Class"/>
    <x v="2"/>
    <s v="United States"/>
    <s v="Franklin"/>
    <x v="18"/>
    <n v="37064"/>
    <x v="0"/>
    <x v="1"/>
    <x v="8"/>
    <n v="3.2040000000000002"/>
    <n v="2"/>
    <n v="0.7"/>
    <n v="-2.5632000000000001"/>
  </r>
  <r>
    <s v="Standard Class"/>
    <x v="0"/>
    <s v="United States"/>
    <s v="Raleigh"/>
    <x v="3"/>
    <n v="27604"/>
    <x v="0"/>
    <x v="1"/>
    <x v="8"/>
    <n v="30.827999999999999"/>
    <n v="7"/>
    <n v="0.7"/>
    <n v="-24.662400000000002"/>
  </r>
  <r>
    <s v="Standard Class"/>
    <x v="0"/>
    <s v="United States"/>
    <s v="Raleigh"/>
    <x v="3"/>
    <n v="27604"/>
    <x v="0"/>
    <x v="1"/>
    <x v="6"/>
    <n v="47.616"/>
    <n v="3"/>
    <n v="0.2"/>
    <n v="5.952"/>
  </r>
  <r>
    <s v="Standard Class"/>
    <x v="0"/>
    <s v="United States"/>
    <s v="Raleigh"/>
    <x v="3"/>
    <n v="27604"/>
    <x v="0"/>
    <x v="2"/>
    <x v="7"/>
    <n v="108.78400000000001"/>
    <n v="2"/>
    <n v="0.2"/>
    <n v="10.878399999999999"/>
  </r>
  <r>
    <s v="First Class"/>
    <x v="0"/>
    <s v="United States"/>
    <s v="Clinton"/>
    <x v="39"/>
    <n v="20735"/>
    <x v="3"/>
    <x v="1"/>
    <x v="10"/>
    <n v="4.7699999999999996"/>
    <n v="1"/>
    <n v="0"/>
    <n v="2.1465000000000001"/>
  </r>
  <r>
    <s v="First Class"/>
    <x v="0"/>
    <s v="United States"/>
    <s v="Clinton"/>
    <x v="39"/>
    <n v="20735"/>
    <x v="3"/>
    <x v="1"/>
    <x v="6"/>
    <n v="7.98"/>
    <n v="3"/>
    <n v="0"/>
    <n v="2.0748000000000002"/>
  </r>
  <r>
    <s v="First Class"/>
    <x v="0"/>
    <s v="United States"/>
    <s v="Clinton"/>
    <x v="39"/>
    <n v="20735"/>
    <x v="3"/>
    <x v="0"/>
    <x v="3"/>
    <n v="550.43100000000004"/>
    <n v="3"/>
    <n v="0.3"/>
    <n v="-47.1798"/>
  </r>
  <r>
    <s v="First Class"/>
    <x v="0"/>
    <s v="United States"/>
    <s v="Clinton"/>
    <x v="39"/>
    <n v="20735"/>
    <x v="3"/>
    <x v="0"/>
    <x v="5"/>
    <n v="10.56"/>
    <n v="6"/>
    <n v="0"/>
    <n v="4.6463999999999999"/>
  </r>
  <r>
    <s v="First Class"/>
    <x v="2"/>
    <s v="United States"/>
    <s v="Los Angeles"/>
    <x v="1"/>
    <n v="90049"/>
    <x v="1"/>
    <x v="0"/>
    <x v="0"/>
    <n v="1497.6659999999999"/>
    <n v="2"/>
    <n v="0.15"/>
    <n v="140.95679999999999"/>
  </r>
  <r>
    <s v="First Class"/>
    <x v="2"/>
    <s v="United States"/>
    <s v="Los Angeles"/>
    <x v="1"/>
    <n v="90049"/>
    <x v="1"/>
    <x v="2"/>
    <x v="7"/>
    <n v="17.52"/>
    <n v="2"/>
    <n v="0.2"/>
    <n v="-3.504"/>
  </r>
  <r>
    <s v="Second Class"/>
    <x v="2"/>
    <s v="United States"/>
    <s v="North Las Vegas"/>
    <x v="33"/>
    <n v="89031"/>
    <x v="1"/>
    <x v="1"/>
    <x v="6"/>
    <n v="113.22"/>
    <n v="3"/>
    <n v="0"/>
    <n v="29.437200000000001"/>
  </r>
  <r>
    <s v="Second Class"/>
    <x v="2"/>
    <s v="United States"/>
    <s v="North Las Vegas"/>
    <x v="33"/>
    <n v="89031"/>
    <x v="1"/>
    <x v="1"/>
    <x v="10"/>
    <n v="35.880000000000003"/>
    <n v="6"/>
    <n v="0"/>
    <n v="17.581199999999999"/>
  </r>
  <r>
    <s v="Second Class"/>
    <x v="2"/>
    <s v="United States"/>
    <s v="North Las Vegas"/>
    <x v="33"/>
    <n v="89031"/>
    <x v="1"/>
    <x v="1"/>
    <x v="8"/>
    <n v="4535.9759999999997"/>
    <n v="3"/>
    <n v="0.2"/>
    <n v="1644.2913000000001"/>
  </r>
  <r>
    <s v="Standard Class"/>
    <x v="0"/>
    <s v="United States"/>
    <s v="San Francisco"/>
    <x v="1"/>
    <n v="94109"/>
    <x v="1"/>
    <x v="1"/>
    <x v="13"/>
    <n v="11.84"/>
    <n v="8"/>
    <n v="0"/>
    <n v="5.6832000000000003"/>
  </r>
  <r>
    <s v="Second Class"/>
    <x v="2"/>
    <s v="United States"/>
    <s v="Cranston"/>
    <x v="34"/>
    <n v="2920"/>
    <x v="3"/>
    <x v="1"/>
    <x v="4"/>
    <n v="592.74"/>
    <n v="6"/>
    <n v="0"/>
    <n v="160.03980000000001"/>
  </r>
  <r>
    <s v="Second Class"/>
    <x v="0"/>
    <s v="United States"/>
    <s v="Jackson"/>
    <x v="18"/>
    <n v="38301"/>
    <x v="0"/>
    <x v="1"/>
    <x v="4"/>
    <n v="111.672"/>
    <n v="9"/>
    <n v="0.2"/>
    <n v="6.9794999999999998"/>
  </r>
  <r>
    <s v="Standard Class"/>
    <x v="2"/>
    <s v="United States"/>
    <s v="Newark"/>
    <x v="13"/>
    <n v="19711"/>
    <x v="3"/>
    <x v="1"/>
    <x v="6"/>
    <n v="8.64"/>
    <n v="3"/>
    <n v="0"/>
    <n v="2.5055999999999998"/>
  </r>
  <r>
    <s v="Standard Class"/>
    <x v="2"/>
    <s v="United States"/>
    <s v="Newark"/>
    <x v="13"/>
    <n v="19711"/>
    <x v="3"/>
    <x v="2"/>
    <x v="11"/>
    <n v="149.97"/>
    <n v="3"/>
    <n v="0"/>
    <n v="52.4895"/>
  </r>
  <r>
    <s v="Standard Class"/>
    <x v="1"/>
    <s v="United States"/>
    <s v="Los Angeles"/>
    <x v="1"/>
    <n v="90036"/>
    <x v="1"/>
    <x v="0"/>
    <x v="1"/>
    <n v="232.88"/>
    <n v="5"/>
    <n v="0.2"/>
    <n v="17.466000000000001"/>
  </r>
  <r>
    <s v="Standard Class"/>
    <x v="1"/>
    <s v="United States"/>
    <s v="Rome"/>
    <x v="15"/>
    <n v="13440"/>
    <x v="3"/>
    <x v="0"/>
    <x v="1"/>
    <n v="90.882000000000005"/>
    <n v="1"/>
    <n v="0.1"/>
    <n v="15.147"/>
  </r>
  <r>
    <s v="Standard Class"/>
    <x v="1"/>
    <s v="United States"/>
    <s v="Chicago"/>
    <x v="10"/>
    <n v="60610"/>
    <x v="2"/>
    <x v="2"/>
    <x v="7"/>
    <n v="508.76799999999997"/>
    <n v="4"/>
    <n v="0.2"/>
    <n v="38.157600000000002"/>
  </r>
  <r>
    <s v="Standard Class"/>
    <x v="1"/>
    <s v="United States"/>
    <s v="Chicago"/>
    <x v="10"/>
    <n v="60610"/>
    <x v="2"/>
    <x v="1"/>
    <x v="12"/>
    <n v="9.9120000000000008"/>
    <n v="3"/>
    <n v="0.2"/>
    <n v="3.2214"/>
  </r>
  <r>
    <s v="Standard Class"/>
    <x v="1"/>
    <s v="United States"/>
    <s v="San Diego"/>
    <x v="1"/>
    <n v="92105"/>
    <x v="1"/>
    <x v="0"/>
    <x v="1"/>
    <n v="63.936"/>
    <n v="3"/>
    <n v="0.2"/>
    <n v="6.3936000000000002"/>
  </r>
  <r>
    <s v="Standard Class"/>
    <x v="1"/>
    <s v="United States"/>
    <s v="San Diego"/>
    <x v="1"/>
    <n v="92105"/>
    <x v="1"/>
    <x v="1"/>
    <x v="6"/>
    <n v="59.52"/>
    <n v="3"/>
    <n v="0"/>
    <n v="15.475199999999999"/>
  </r>
  <r>
    <s v="Standard Class"/>
    <x v="1"/>
    <s v="United States"/>
    <s v="San Diego"/>
    <x v="1"/>
    <n v="92105"/>
    <x v="1"/>
    <x v="2"/>
    <x v="7"/>
    <n v="311.976"/>
    <n v="3"/>
    <n v="0.2"/>
    <n v="38.997"/>
  </r>
  <r>
    <s v="Standard Class"/>
    <x v="1"/>
    <s v="United States"/>
    <s v="San Diego"/>
    <x v="1"/>
    <n v="92105"/>
    <x v="1"/>
    <x v="1"/>
    <x v="8"/>
    <n v="50.351999999999997"/>
    <n v="3"/>
    <n v="0.2"/>
    <n v="17.623200000000001"/>
  </r>
  <r>
    <s v="Standard Class"/>
    <x v="0"/>
    <s v="United States"/>
    <s v="Houston"/>
    <x v="5"/>
    <n v="77036"/>
    <x v="2"/>
    <x v="2"/>
    <x v="7"/>
    <n v="19.135999999999999"/>
    <n v="2"/>
    <n v="0.2"/>
    <n v="1.9136"/>
  </r>
  <r>
    <s v="Standard Class"/>
    <x v="2"/>
    <s v="United States"/>
    <s v="West Palm Beach"/>
    <x v="2"/>
    <n v="33407"/>
    <x v="0"/>
    <x v="1"/>
    <x v="6"/>
    <n v="13.12"/>
    <n v="5"/>
    <n v="0.2"/>
    <n v="2.1320000000000001"/>
  </r>
  <r>
    <s v="Second Class"/>
    <x v="0"/>
    <s v="United States"/>
    <s v="Los Angeles"/>
    <x v="1"/>
    <n v="90045"/>
    <x v="1"/>
    <x v="0"/>
    <x v="3"/>
    <n v="241.56800000000001"/>
    <n v="2"/>
    <n v="0.2"/>
    <n v="-15.098000000000001"/>
  </r>
  <r>
    <s v="Second Class"/>
    <x v="0"/>
    <s v="United States"/>
    <s v="Los Angeles"/>
    <x v="1"/>
    <n v="90045"/>
    <x v="1"/>
    <x v="2"/>
    <x v="7"/>
    <n v="479.92"/>
    <n v="2"/>
    <n v="0.2"/>
    <n v="41.993000000000002"/>
  </r>
  <r>
    <s v="Standard Class"/>
    <x v="1"/>
    <s v="United States"/>
    <s v="Seattle"/>
    <x v="4"/>
    <n v="98103"/>
    <x v="1"/>
    <x v="0"/>
    <x v="1"/>
    <n v="307.13600000000002"/>
    <n v="4"/>
    <n v="0.2"/>
    <n v="-11.5176"/>
  </r>
  <r>
    <s v="Standard Class"/>
    <x v="1"/>
    <s v="United States"/>
    <s v="Seattle"/>
    <x v="4"/>
    <n v="98103"/>
    <x v="1"/>
    <x v="1"/>
    <x v="2"/>
    <n v="12.6"/>
    <n v="2"/>
    <n v="0"/>
    <n v="5.7960000000000003"/>
  </r>
  <r>
    <s v="Standard Class"/>
    <x v="1"/>
    <s v="United States"/>
    <s v="Seattle"/>
    <x v="4"/>
    <n v="98103"/>
    <x v="1"/>
    <x v="2"/>
    <x v="11"/>
    <n v="159.97999999999999"/>
    <n v="2"/>
    <n v="0"/>
    <n v="57.592799999999997"/>
  </r>
  <r>
    <s v="Standard Class"/>
    <x v="0"/>
    <s v="United States"/>
    <s v="Des Moines"/>
    <x v="23"/>
    <n v="50315"/>
    <x v="2"/>
    <x v="1"/>
    <x v="12"/>
    <n v="6.12"/>
    <n v="3"/>
    <n v="0"/>
    <n v="2.8763999999999998"/>
  </r>
  <r>
    <s v="Standard Class"/>
    <x v="0"/>
    <s v="United States"/>
    <s v="Des Moines"/>
    <x v="23"/>
    <n v="50315"/>
    <x v="2"/>
    <x v="0"/>
    <x v="3"/>
    <n v="1184.72"/>
    <n v="4"/>
    <n v="0"/>
    <n v="106.62479999999999"/>
  </r>
  <r>
    <s v="Standard Class"/>
    <x v="0"/>
    <s v="United States"/>
    <s v="New York City"/>
    <x v="15"/>
    <n v="10024"/>
    <x v="3"/>
    <x v="1"/>
    <x v="9"/>
    <n v="45.96"/>
    <n v="2"/>
    <n v="0"/>
    <n v="13.788"/>
  </r>
  <r>
    <s v="Second Class"/>
    <x v="0"/>
    <s v="United States"/>
    <s v="Arlington"/>
    <x v="17"/>
    <n v="22204"/>
    <x v="0"/>
    <x v="1"/>
    <x v="8"/>
    <n v="58.05"/>
    <n v="3"/>
    <n v="0"/>
    <n v="26.702999999999999"/>
  </r>
  <r>
    <s v="Second Class"/>
    <x v="0"/>
    <s v="United States"/>
    <s v="Arlington"/>
    <x v="17"/>
    <n v="22204"/>
    <x v="0"/>
    <x v="1"/>
    <x v="10"/>
    <n v="71.28"/>
    <n v="11"/>
    <n v="0"/>
    <n v="34.214399999999998"/>
  </r>
  <r>
    <s v="Standard Class"/>
    <x v="0"/>
    <s v="United States"/>
    <s v="Pharr"/>
    <x v="5"/>
    <n v="78577"/>
    <x v="2"/>
    <x v="0"/>
    <x v="3"/>
    <n v="124.404"/>
    <n v="4"/>
    <n v="0.3"/>
    <n v="-21.3264"/>
  </r>
  <r>
    <s v="Standard Class"/>
    <x v="0"/>
    <s v="United States"/>
    <s v="Arlington"/>
    <x v="17"/>
    <n v="22204"/>
    <x v="0"/>
    <x v="1"/>
    <x v="10"/>
    <n v="154.9"/>
    <n v="5"/>
    <n v="0"/>
    <n v="69.704999999999998"/>
  </r>
  <r>
    <s v="Standard Class"/>
    <x v="0"/>
    <s v="United States"/>
    <s v="Arlington"/>
    <x v="17"/>
    <n v="22204"/>
    <x v="0"/>
    <x v="2"/>
    <x v="7"/>
    <n v="1871.88"/>
    <n v="12"/>
    <n v="0"/>
    <n v="561.56399999999996"/>
  </r>
  <r>
    <s v="Standard Class"/>
    <x v="0"/>
    <s v="United States"/>
    <s v="Houston"/>
    <x v="5"/>
    <n v="77070"/>
    <x v="2"/>
    <x v="0"/>
    <x v="5"/>
    <n v="16.192"/>
    <n v="2"/>
    <n v="0.6"/>
    <n v="-6.8815999999999997"/>
  </r>
  <r>
    <s v="Standard Class"/>
    <x v="0"/>
    <s v="United States"/>
    <s v="Irving"/>
    <x v="5"/>
    <n v="75061"/>
    <x v="2"/>
    <x v="1"/>
    <x v="4"/>
    <n v="18.936"/>
    <n v="3"/>
    <n v="0.2"/>
    <n v="-3.7871999999999999"/>
  </r>
  <r>
    <s v="Standard Class"/>
    <x v="0"/>
    <s v="United States"/>
    <s v="Irving"/>
    <x v="5"/>
    <n v="75061"/>
    <x v="2"/>
    <x v="1"/>
    <x v="4"/>
    <n v="12.672000000000001"/>
    <n v="3"/>
    <n v="0.2"/>
    <n v="-3.1680000000000001"/>
  </r>
  <r>
    <s v="Standard Class"/>
    <x v="0"/>
    <s v="United States"/>
    <s v="Irving"/>
    <x v="5"/>
    <n v="75061"/>
    <x v="2"/>
    <x v="1"/>
    <x v="2"/>
    <n v="5.04"/>
    <n v="2"/>
    <n v="0.2"/>
    <n v="1.764"/>
  </r>
  <r>
    <s v="Standard Class"/>
    <x v="1"/>
    <s v="United States"/>
    <s v="Chicago"/>
    <x v="10"/>
    <n v="60653"/>
    <x v="2"/>
    <x v="1"/>
    <x v="10"/>
    <n v="8.4480000000000004"/>
    <n v="2"/>
    <n v="0.2"/>
    <n v="2.9567999999999999"/>
  </r>
  <r>
    <s v="Standard Class"/>
    <x v="1"/>
    <s v="United States"/>
    <s v="Chicago"/>
    <x v="10"/>
    <n v="60653"/>
    <x v="2"/>
    <x v="1"/>
    <x v="9"/>
    <n v="20.388000000000002"/>
    <n v="2"/>
    <n v="0.8"/>
    <n v="-53.008800000000001"/>
  </r>
  <r>
    <s v="Standard Class"/>
    <x v="2"/>
    <s v="United States"/>
    <s v="Los Angeles"/>
    <x v="1"/>
    <n v="90049"/>
    <x v="1"/>
    <x v="1"/>
    <x v="10"/>
    <n v="9.9600000000000009"/>
    <n v="2"/>
    <n v="0"/>
    <n v="4.8803999999999998"/>
  </r>
  <r>
    <s v="Standard Class"/>
    <x v="0"/>
    <s v="United States"/>
    <s v="Hattiesburg"/>
    <x v="35"/>
    <n v="39401"/>
    <x v="0"/>
    <x v="1"/>
    <x v="9"/>
    <n v="320.64"/>
    <n v="4"/>
    <n v="0"/>
    <n v="89.779200000000003"/>
  </r>
  <r>
    <s v="Standard Class"/>
    <x v="0"/>
    <s v="United States"/>
    <s v="Hattiesburg"/>
    <x v="35"/>
    <n v="39401"/>
    <x v="0"/>
    <x v="2"/>
    <x v="11"/>
    <n v="52"/>
    <n v="4"/>
    <n v="0"/>
    <n v="23.4"/>
  </r>
  <r>
    <s v="First Class"/>
    <x v="1"/>
    <s v="United States"/>
    <s v="New York City"/>
    <x v="15"/>
    <n v="10024"/>
    <x v="3"/>
    <x v="1"/>
    <x v="8"/>
    <n v="25.584"/>
    <n v="2"/>
    <n v="0.2"/>
    <n v="8.9543999999999997"/>
  </r>
  <r>
    <s v="First Class"/>
    <x v="1"/>
    <s v="United States"/>
    <s v="New York City"/>
    <x v="15"/>
    <n v="10024"/>
    <x v="3"/>
    <x v="2"/>
    <x v="7"/>
    <n v="464"/>
    <n v="5"/>
    <n v="0"/>
    <n v="134.56"/>
  </r>
  <r>
    <s v="First Class"/>
    <x v="1"/>
    <s v="United States"/>
    <s v="New York City"/>
    <x v="15"/>
    <n v="10024"/>
    <x v="3"/>
    <x v="1"/>
    <x v="9"/>
    <n v="235.95"/>
    <n v="3"/>
    <n v="0"/>
    <n v="77.863500000000002"/>
  </r>
  <r>
    <s v="First Class"/>
    <x v="1"/>
    <s v="United States"/>
    <s v="New York City"/>
    <x v="15"/>
    <n v="10024"/>
    <x v="3"/>
    <x v="1"/>
    <x v="10"/>
    <n v="39.96"/>
    <n v="4"/>
    <n v="0"/>
    <n v="17.981999999999999"/>
  </r>
  <r>
    <s v="Standard Class"/>
    <x v="0"/>
    <s v="United States"/>
    <s v="Cuyahoga Falls"/>
    <x v="24"/>
    <n v="44221"/>
    <x v="3"/>
    <x v="1"/>
    <x v="8"/>
    <n v="18.527999999999999"/>
    <n v="4"/>
    <n v="0.7"/>
    <n v="-12.352"/>
  </r>
  <r>
    <s v="Standard Class"/>
    <x v="0"/>
    <s v="United States"/>
    <s v="Seattle"/>
    <x v="4"/>
    <n v="98103"/>
    <x v="1"/>
    <x v="2"/>
    <x v="11"/>
    <n v="17.899999999999999"/>
    <n v="2"/>
    <n v="0"/>
    <n v="3.4009999999999998"/>
  </r>
  <r>
    <s v="Standard Class"/>
    <x v="0"/>
    <s v="United States"/>
    <s v="Seattle"/>
    <x v="4"/>
    <n v="98103"/>
    <x v="1"/>
    <x v="1"/>
    <x v="4"/>
    <n v="81.96"/>
    <n v="2"/>
    <n v="0"/>
    <n v="0"/>
  </r>
  <r>
    <s v="Second Class"/>
    <x v="0"/>
    <s v="United States"/>
    <s v="Mesa"/>
    <x v="16"/>
    <n v="85204"/>
    <x v="1"/>
    <x v="1"/>
    <x v="4"/>
    <n v="272.73599999999999"/>
    <n v="3"/>
    <n v="0.2"/>
    <n v="-64.774799999999999"/>
  </r>
  <r>
    <s v="Second Class"/>
    <x v="0"/>
    <s v="United States"/>
    <s v="Mesa"/>
    <x v="16"/>
    <n v="85204"/>
    <x v="1"/>
    <x v="1"/>
    <x v="10"/>
    <n v="18.495999999999999"/>
    <n v="4"/>
    <n v="0.2"/>
    <n v="6.7047999999999996"/>
  </r>
  <r>
    <s v="Second Class"/>
    <x v="0"/>
    <s v="United States"/>
    <s v="Mesa"/>
    <x v="16"/>
    <n v="85204"/>
    <x v="1"/>
    <x v="0"/>
    <x v="1"/>
    <n v="441.92"/>
    <n v="2"/>
    <n v="0.2"/>
    <n v="49.716000000000001"/>
  </r>
  <r>
    <s v="Second Class"/>
    <x v="0"/>
    <s v="United States"/>
    <s v="Mesa"/>
    <x v="16"/>
    <n v="85204"/>
    <x v="1"/>
    <x v="0"/>
    <x v="0"/>
    <n v="127.764"/>
    <n v="6"/>
    <n v="0.7"/>
    <n v="-191.64599999999999"/>
  </r>
  <r>
    <s v="Second Class"/>
    <x v="2"/>
    <s v="United States"/>
    <s v="Salt Lake City"/>
    <x v="7"/>
    <n v="84106"/>
    <x v="1"/>
    <x v="1"/>
    <x v="10"/>
    <n v="166.44"/>
    <n v="3"/>
    <n v="0"/>
    <n v="79.891199999999998"/>
  </r>
  <r>
    <s v="Standard Class"/>
    <x v="0"/>
    <s v="United States"/>
    <s v="Los Angeles"/>
    <x v="1"/>
    <n v="90045"/>
    <x v="1"/>
    <x v="1"/>
    <x v="10"/>
    <n v="13.38"/>
    <n v="2"/>
    <n v="0"/>
    <n v="6.1547999999999998"/>
  </r>
  <r>
    <s v="Standard Class"/>
    <x v="0"/>
    <s v="United States"/>
    <s v="Jacksonville"/>
    <x v="3"/>
    <n v="28540"/>
    <x v="0"/>
    <x v="2"/>
    <x v="11"/>
    <n v="24"/>
    <n v="2"/>
    <n v="0.2"/>
    <n v="-2.7"/>
  </r>
  <r>
    <s v="Standard Class"/>
    <x v="1"/>
    <s v="United States"/>
    <s v="Lakewood"/>
    <x v="24"/>
    <n v="44107"/>
    <x v="3"/>
    <x v="1"/>
    <x v="12"/>
    <n v="24.448"/>
    <n v="4"/>
    <n v="0.2"/>
    <n v="8.8623999999999992"/>
  </r>
  <r>
    <s v="Standard Class"/>
    <x v="2"/>
    <s v="United States"/>
    <s v="Lake Forest"/>
    <x v="1"/>
    <n v="92630"/>
    <x v="1"/>
    <x v="1"/>
    <x v="2"/>
    <n v="6.16"/>
    <n v="2"/>
    <n v="0"/>
    <n v="2.9567999999999999"/>
  </r>
  <r>
    <s v="Standard Class"/>
    <x v="2"/>
    <s v="United States"/>
    <s v="Lake Forest"/>
    <x v="1"/>
    <n v="92630"/>
    <x v="1"/>
    <x v="0"/>
    <x v="1"/>
    <n v="915.13599999999997"/>
    <n v="4"/>
    <n v="0.2"/>
    <n v="102.9528"/>
  </r>
  <r>
    <s v="Standard Class"/>
    <x v="2"/>
    <s v="United States"/>
    <s v="Lake Forest"/>
    <x v="1"/>
    <n v="92630"/>
    <x v="1"/>
    <x v="1"/>
    <x v="10"/>
    <n v="8.56"/>
    <n v="2"/>
    <n v="0"/>
    <n v="3.8519999999999999"/>
  </r>
  <r>
    <s v="Standard Class"/>
    <x v="2"/>
    <s v="United States"/>
    <s v="Lake Forest"/>
    <x v="1"/>
    <n v="92630"/>
    <x v="1"/>
    <x v="1"/>
    <x v="10"/>
    <n v="97.82"/>
    <n v="2"/>
    <n v="0"/>
    <n v="45.9754"/>
  </r>
  <r>
    <s v="Standard Class"/>
    <x v="1"/>
    <s v="United States"/>
    <s v="Portland"/>
    <x v="21"/>
    <n v="97206"/>
    <x v="1"/>
    <x v="1"/>
    <x v="10"/>
    <n v="31.103999999999999"/>
    <n v="6"/>
    <n v="0.2"/>
    <n v="11.2752"/>
  </r>
  <r>
    <s v="Standard Class"/>
    <x v="1"/>
    <s v="United States"/>
    <s v="Portland"/>
    <x v="21"/>
    <n v="97206"/>
    <x v="1"/>
    <x v="1"/>
    <x v="9"/>
    <n v="11.176"/>
    <n v="1"/>
    <n v="0.2"/>
    <n v="0.83819999999999995"/>
  </r>
  <r>
    <s v="Standard Class"/>
    <x v="0"/>
    <s v="United States"/>
    <s v="Charlotte"/>
    <x v="3"/>
    <n v="28205"/>
    <x v="0"/>
    <x v="1"/>
    <x v="2"/>
    <n v="5.04"/>
    <n v="2"/>
    <n v="0.2"/>
    <n v="1.764"/>
  </r>
  <r>
    <s v="Second Class"/>
    <x v="2"/>
    <s v="United States"/>
    <s v="Aurora"/>
    <x v="10"/>
    <n v="60505"/>
    <x v="2"/>
    <x v="0"/>
    <x v="5"/>
    <n v="242.17599999999999"/>
    <n v="4"/>
    <n v="0.6"/>
    <n v="-302.72000000000003"/>
  </r>
  <r>
    <s v="Standard Class"/>
    <x v="1"/>
    <s v="United States"/>
    <s v="Philadelphia"/>
    <x v="9"/>
    <n v="19140"/>
    <x v="3"/>
    <x v="0"/>
    <x v="3"/>
    <n v="337.17599999999999"/>
    <n v="2"/>
    <n v="0.4"/>
    <n v="-118.0116"/>
  </r>
  <r>
    <s v="Second Class"/>
    <x v="0"/>
    <s v="United States"/>
    <s v="Thornton"/>
    <x v="22"/>
    <n v="80229"/>
    <x v="1"/>
    <x v="1"/>
    <x v="6"/>
    <n v="13.343999999999999"/>
    <n v="6"/>
    <n v="0.2"/>
    <n v="1.0007999999999999"/>
  </r>
  <r>
    <s v="Second Class"/>
    <x v="0"/>
    <s v="United States"/>
    <s v="Thornton"/>
    <x v="22"/>
    <n v="80229"/>
    <x v="1"/>
    <x v="2"/>
    <x v="11"/>
    <n v="76.751999999999995"/>
    <n v="6"/>
    <n v="0.2"/>
    <n v="10.5534"/>
  </r>
  <r>
    <s v="Second Class"/>
    <x v="0"/>
    <s v="United States"/>
    <s v="Thornton"/>
    <x v="22"/>
    <n v="80229"/>
    <x v="1"/>
    <x v="2"/>
    <x v="11"/>
    <n v="102.336"/>
    <n v="8"/>
    <n v="0.2"/>
    <n v="14.071199999999999"/>
  </r>
  <r>
    <s v="Second Class"/>
    <x v="0"/>
    <s v="United States"/>
    <s v="Thornton"/>
    <x v="22"/>
    <n v="80229"/>
    <x v="1"/>
    <x v="1"/>
    <x v="10"/>
    <n v="10.32"/>
    <n v="2"/>
    <n v="0.2"/>
    <n v="3.7410000000000001"/>
  </r>
  <r>
    <s v="Second Class"/>
    <x v="0"/>
    <s v="United States"/>
    <s v="Thornton"/>
    <x v="22"/>
    <n v="80229"/>
    <x v="1"/>
    <x v="1"/>
    <x v="14"/>
    <n v="47.32"/>
    <n v="7"/>
    <n v="0.2"/>
    <n v="5.915"/>
  </r>
  <r>
    <s v="Second Class"/>
    <x v="0"/>
    <s v="United States"/>
    <s v="Thornton"/>
    <x v="22"/>
    <n v="80229"/>
    <x v="1"/>
    <x v="0"/>
    <x v="5"/>
    <n v="23.376000000000001"/>
    <n v="3"/>
    <n v="0.2"/>
    <n v="7.0128000000000004"/>
  </r>
  <r>
    <s v="Second Class"/>
    <x v="0"/>
    <s v="United States"/>
    <s v="Thornton"/>
    <x v="22"/>
    <n v="80229"/>
    <x v="1"/>
    <x v="0"/>
    <x v="5"/>
    <n v="16.72"/>
    <n v="5"/>
    <n v="0.2"/>
    <n v="3.3439999999999999"/>
  </r>
  <r>
    <s v="Second Class"/>
    <x v="0"/>
    <s v="United States"/>
    <s v="Thornton"/>
    <x v="22"/>
    <n v="80229"/>
    <x v="1"/>
    <x v="0"/>
    <x v="5"/>
    <n v="16.192"/>
    <n v="1"/>
    <n v="0.2"/>
    <n v="4.6551999999999998"/>
  </r>
  <r>
    <s v="Standard Class"/>
    <x v="0"/>
    <s v="United States"/>
    <s v="Davis"/>
    <x v="1"/>
    <n v="95616"/>
    <x v="1"/>
    <x v="1"/>
    <x v="10"/>
    <n v="32.4"/>
    <n v="5"/>
    <n v="0"/>
    <n v="15.552"/>
  </r>
  <r>
    <s v="Standard Class"/>
    <x v="0"/>
    <s v="United States"/>
    <s v="Fayetteville"/>
    <x v="36"/>
    <n v="72701"/>
    <x v="0"/>
    <x v="1"/>
    <x v="6"/>
    <n v="19.89"/>
    <n v="9"/>
    <n v="0"/>
    <n v="5.3703000000000003"/>
  </r>
  <r>
    <s v="Standard Class"/>
    <x v="0"/>
    <s v="United States"/>
    <s v="Fayetteville"/>
    <x v="36"/>
    <n v="72701"/>
    <x v="0"/>
    <x v="2"/>
    <x v="11"/>
    <n v="399.98"/>
    <n v="2"/>
    <n v="0"/>
    <n v="171.9914"/>
  </r>
  <r>
    <s v="Standard Class"/>
    <x v="0"/>
    <s v="United States"/>
    <s v="Fayetteville"/>
    <x v="36"/>
    <n v="72701"/>
    <x v="0"/>
    <x v="0"/>
    <x v="5"/>
    <n v="343.85"/>
    <n v="5"/>
    <n v="0"/>
    <n v="137.54"/>
  </r>
  <r>
    <s v="Standard Class"/>
    <x v="0"/>
    <s v="United States"/>
    <s v="Fayetteville"/>
    <x v="36"/>
    <n v="72701"/>
    <x v="0"/>
    <x v="1"/>
    <x v="10"/>
    <n v="106.32"/>
    <n v="3"/>
    <n v="0"/>
    <n v="49.970399999999998"/>
  </r>
  <r>
    <s v="Standard Class"/>
    <x v="2"/>
    <s v="United States"/>
    <s v="New York City"/>
    <x v="15"/>
    <n v="10011"/>
    <x v="3"/>
    <x v="1"/>
    <x v="8"/>
    <n v="13.92"/>
    <n v="3"/>
    <n v="0.2"/>
    <n v="4.3499999999999996"/>
  </r>
  <r>
    <s v="Standard Class"/>
    <x v="2"/>
    <s v="United States"/>
    <s v="Wheeling"/>
    <x v="48"/>
    <n v="26003"/>
    <x v="3"/>
    <x v="1"/>
    <x v="8"/>
    <n v="82.4"/>
    <n v="5"/>
    <n v="0"/>
    <n v="40.375999999999998"/>
  </r>
  <r>
    <s v="Standard Class"/>
    <x v="2"/>
    <s v="United States"/>
    <s v="Wheeling"/>
    <x v="48"/>
    <n v="26003"/>
    <x v="3"/>
    <x v="1"/>
    <x v="8"/>
    <n v="6.24"/>
    <n v="2"/>
    <n v="0"/>
    <n v="3.0575999999999999"/>
  </r>
  <r>
    <s v="Standard Class"/>
    <x v="2"/>
    <s v="United States"/>
    <s v="Wheeling"/>
    <x v="48"/>
    <n v="26003"/>
    <x v="3"/>
    <x v="1"/>
    <x v="10"/>
    <n v="447.84"/>
    <n v="8"/>
    <n v="0"/>
    <n v="219.44159999999999"/>
  </r>
  <r>
    <s v="Standard Class"/>
    <x v="0"/>
    <s v="United States"/>
    <s v="Memphis"/>
    <x v="18"/>
    <n v="38109"/>
    <x v="0"/>
    <x v="1"/>
    <x v="9"/>
    <n v="272.048"/>
    <n v="7"/>
    <n v="0.2"/>
    <n v="30.605399999999999"/>
  </r>
  <r>
    <s v="Standard Class"/>
    <x v="0"/>
    <s v="United States"/>
    <s v="Memphis"/>
    <x v="18"/>
    <n v="38109"/>
    <x v="0"/>
    <x v="1"/>
    <x v="8"/>
    <n v="1614.5820000000001"/>
    <n v="6"/>
    <n v="0.7"/>
    <n v="-1237.8462"/>
  </r>
  <r>
    <s v="Standard Class"/>
    <x v="0"/>
    <s v="United States"/>
    <s v="Memphis"/>
    <x v="18"/>
    <n v="38109"/>
    <x v="0"/>
    <x v="1"/>
    <x v="13"/>
    <n v="24.32"/>
    <n v="5"/>
    <n v="0.2"/>
    <n v="9.1199999999999992"/>
  </r>
  <r>
    <s v="Standard Class"/>
    <x v="0"/>
    <s v="United States"/>
    <s v="Memphis"/>
    <x v="18"/>
    <n v="38109"/>
    <x v="0"/>
    <x v="2"/>
    <x v="11"/>
    <n v="1.5840000000000001"/>
    <n v="2"/>
    <n v="0.2"/>
    <n v="0.47520000000000001"/>
  </r>
  <r>
    <s v="Standard Class"/>
    <x v="0"/>
    <s v="United States"/>
    <s v="Memphis"/>
    <x v="18"/>
    <n v="38109"/>
    <x v="0"/>
    <x v="0"/>
    <x v="5"/>
    <n v="31.984000000000002"/>
    <n v="1"/>
    <n v="0.2"/>
    <n v="0"/>
  </r>
  <r>
    <s v="Standard Class"/>
    <x v="0"/>
    <s v="United States"/>
    <s v="Memphis"/>
    <x v="18"/>
    <n v="38109"/>
    <x v="0"/>
    <x v="1"/>
    <x v="12"/>
    <n v="14.76"/>
    <n v="5"/>
    <n v="0.2"/>
    <n v="4.7969999999999997"/>
  </r>
  <r>
    <s v="Standard Class"/>
    <x v="0"/>
    <s v="United States"/>
    <s v="Memphis"/>
    <x v="18"/>
    <n v="38109"/>
    <x v="0"/>
    <x v="0"/>
    <x v="1"/>
    <n v="423.64800000000002"/>
    <n v="2"/>
    <n v="0.2"/>
    <n v="47.660400000000003"/>
  </r>
  <r>
    <s v="Standard Class"/>
    <x v="0"/>
    <s v="United States"/>
    <s v="Houston"/>
    <x v="5"/>
    <n v="77036"/>
    <x v="2"/>
    <x v="1"/>
    <x v="10"/>
    <n v="76.64"/>
    <n v="2"/>
    <n v="0.2"/>
    <n v="26.824000000000002"/>
  </r>
  <r>
    <s v="Standard Class"/>
    <x v="2"/>
    <s v="United States"/>
    <s v="Dallas"/>
    <x v="5"/>
    <n v="75217"/>
    <x v="2"/>
    <x v="1"/>
    <x v="12"/>
    <n v="4.4640000000000004"/>
    <n v="1"/>
    <n v="0.2"/>
    <n v="1.6739999999999999"/>
  </r>
  <r>
    <s v="Standard Class"/>
    <x v="2"/>
    <s v="United States"/>
    <s v="Dallas"/>
    <x v="5"/>
    <n v="75217"/>
    <x v="2"/>
    <x v="1"/>
    <x v="8"/>
    <n v="3.96"/>
    <n v="10"/>
    <n v="0.8"/>
    <n v="-6.93"/>
  </r>
  <r>
    <s v="First Class"/>
    <x v="1"/>
    <s v="United States"/>
    <s v="San Francisco"/>
    <x v="1"/>
    <n v="94122"/>
    <x v="1"/>
    <x v="1"/>
    <x v="9"/>
    <n v="715.64"/>
    <n v="2"/>
    <n v="0"/>
    <n v="178.91"/>
  </r>
  <r>
    <s v="Standard Class"/>
    <x v="0"/>
    <s v="United States"/>
    <s v="Morgan Hill"/>
    <x v="1"/>
    <n v="95037"/>
    <x v="1"/>
    <x v="0"/>
    <x v="3"/>
    <n v="268.70400000000001"/>
    <n v="3"/>
    <n v="0.2"/>
    <n v="6.7176"/>
  </r>
  <r>
    <s v="Standard Class"/>
    <x v="0"/>
    <s v="United States"/>
    <s v="Morgan Hill"/>
    <x v="1"/>
    <n v="95037"/>
    <x v="1"/>
    <x v="1"/>
    <x v="6"/>
    <n v="21.92"/>
    <n v="8"/>
    <n v="0"/>
    <n v="5.9184000000000001"/>
  </r>
  <r>
    <s v="Standard Class"/>
    <x v="0"/>
    <s v="United States"/>
    <s v="Morgan Hill"/>
    <x v="1"/>
    <n v="95037"/>
    <x v="1"/>
    <x v="1"/>
    <x v="4"/>
    <n v="48.72"/>
    <n v="3"/>
    <n v="0"/>
    <n v="7.3079999999999998"/>
  </r>
  <r>
    <s v="Standard Class"/>
    <x v="0"/>
    <s v="United States"/>
    <s v="Morgan Hill"/>
    <x v="1"/>
    <n v="95037"/>
    <x v="1"/>
    <x v="0"/>
    <x v="0"/>
    <n v="205.666"/>
    <n v="2"/>
    <n v="0.15"/>
    <n v="-12.098000000000001"/>
  </r>
  <r>
    <s v="Second Class"/>
    <x v="0"/>
    <s v="United States"/>
    <s v="Saint Charles"/>
    <x v="10"/>
    <n v="60174"/>
    <x v="2"/>
    <x v="0"/>
    <x v="5"/>
    <n v="30.344000000000001"/>
    <n v="2"/>
    <n v="0.6"/>
    <n v="-31.8612"/>
  </r>
  <r>
    <s v="First Class"/>
    <x v="0"/>
    <s v="United States"/>
    <s v="Cleveland"/>
    <x v="24"/>
    <n v="44105"/>
    <x v="3"/>
    <x v="1"/>
    <x v="4"/>
    <n v="25.696000000000002"/>
    <n v="2"/>
    <n v="0.2"/>
    <n v="1.9272"/>
  </r>
  <r>
    <s v="Standard Class"/>
    <x v="2"/>
    <s v="United States"/>
    <s v="New York City"/>
    <x v="15"/>
    <n v="10024"/>
    <x v="3"/>
    <x v="2"/>
    <x v="15"/>
    <n v="3404.5"/>
    <n v="5"/>
    <n v="0"/>
    <n v="1668.2049999999999"/>
  </r>
  <r>
    <s v="Standard Class"/>
    <x v="2"/>
    <s v="United States"/>
    <s v="New York City"/>
    <x v="15"/>
    <n v="10024"/>
    <x v="3"/>
    <x v="2"/>
    <x v="11"/>
    <n v="101.34"/>
    <n v="3"/>
    <n v="0"/>
    <n v="8.1072000000000006"/>
  </r>
  <r>
    <s v="Standard Class"/>
    <x v="2"/>
    <s v="United States"/>
    <s v="Philadelphia"/>
    <x v="9"/>
    <n v="19140"/>
    <x v="3"/>
    <x v="0"/>
    <x v="1"/>
    <n v="344.37200000000001"/>
    <n v="4"/>
    <n v="0.3"/>
    <n v="-93.472399999999993"/>
  </r>
  <r>
    <s v="Second Class"/>
    <x v="2"/>
    <s v="United States"/>
    <s v="Garland"/>
    <x v="5"/>
    <n v="75043"/>
    <x v="2"/>
    <x v="1"/>
    <x v="6"/>
    <n v="30.384"/>
    <n v="1"/>
    <n v="0.2"/>
    <n v="3.798"/>
  </r>
  <r>
    <s v="Second Class"/>
    <x v="2"/>
    <s v="United States"/>
    <s v="San Diego"/>
    <x v="1"/>
    <n v="92024"/>
    <x v="1"/>
    <x v="1"/>
    <x v="8"/>
    <n v="22.847999999999999"/>
    <n v="2"/>
    <n v="0.2"/>
    <n v="7.4256000000000002"/>
  </r>
  <r>
    <s v="Standard Class"/>
    <x v="2"/>
    <s v="United States"/>
    <s v="Waterbury"/>
    <x v="29"/>
    <n v="6708"/>
    <x v="3"/>
    <x v="1"/>
    <x v="4"/>
    <n v="38.619999999999997"/>
    <n v="2"/>
    <n v="0"/>
    <n v="10.813599999999999"/>
  </r>
  <r>
    <s v="Standard Class"/>
    <x v="2"/>
    <s v="United States"/>
    <s v="Waterbury"/>
    <x v="29"/>
    <n v="6708"/>
    <x v="3"/>
    <x v="2"/>
    <x v="11"/>
    <n v="59.98"/>
    <n v="2"/>
    <n v="0"/>
    <n v="10.7964"/>
  </r>
  <r>
    <s v="Standard Class"/>
    <x v="0"/>
    <s v="United States"/>
    <s v="Columbia"/>
    <x v="39"/>
    <n v="21044"/>
    <x v="3"/>
    <x v="1"/>
    <x v="8"/>
    <n v="174.3"/>
    <n v="3"/>
    <n v="0"/>
    <n v="81.921000000000006"/>
  </r>
  <r>
    <s v="Standard Class"/>
    <x v="2"/>
    <s v="United States"/>
    <s v="Hollywood"/>
    <x v="2"/>
    <n v="33021"/>
    <x v="0"/>
    <x v="2"/>
    <x v="7"/>
    <n v="383.96"/>
    <n v="5"/>
    <n v="0.2"/>
    <n v="38.396000000000001"/>
  </r>
  <r>
    <s v="Standard Class"/>
    <x v="2"/>
    <s v="United States"/>
    <s v="Hollywood"/>
    <x v="2"/>
    <n v="33021"/>
    <x v="0"/>
    <x v="1"/>
    <x v="8"/>
    <n v="15.57"/>
    <n v="3"/>
    <n v="0.7"/>
    <n v="-11.417999999999999"/>
  </r>
  <r>
    <s v="First Class"/>
    <x v="0"/>
    <s v="United States"/>
    <s v="Springfield"/>
    <x v="17"/>
    <n v="22153"/>
    <x v="0"/>
    <x v="1"/>
    <x v="8"/>
    <n v="22.32"/>
    <n v="4"/>
    <n v="0"/>
    <n v="10.7136"/>
  </r>
  <r>
    <s v="First Class"/>
    <x v="0"/>
    <s v="United States"/>
    <s v="Springfield"/>
    <x v="17"/>
    <n v="22153"/>
    <x v="0"/>
    <x v="1"/>
    <x v="2"/>
    <n v="103.6"/>
    <n v="7"/>
    <n v="0"/>
    <n v="51.8"/>
  </r>
  <r>
    <s v="Second Class"/>
    <x v="1"/>
    <s v="United States"/>
    <s v="New York City"/>
    <x v="15"/>
    <n v="10035"/>
    <x v="3"/>
    <x v="2"/>
    <x v="11"/>
    <n v="2.97"/>
    <n v="3"/>
    <n v="0"/>
    <n v="1.3365"/>
  </r>
  <r>
    <s v="Second Class"/>
    <x v="1"/>
    <s v="United States"/>
    <s v="New York City"/>
    <x v="15"/>
    <n v="10035"/>
    <x v="3"/>
    <x v="2"/>
    <x v="7"/>
    <n v="569.99"/>
    <n v="1"/>
    <n v="0"/>
    <n v="170.99700000000001"/>
  </r>
  <r>
    <s v="Second Class"/>
    <x v="1"/>
    <s v="United States"/>
    <s v="New York City"/>
    <x v="15"/>
    <n v="10035"/>
    <x v="3"/>
    <x v="0"/>
    <x v="5"/>
    <n v="50.97"/>
    <n v="3"/>
    <n v="0"/>
    <n v="9.1745999999999999"/>
  </r>
  <r>
    <s v="First Class"/>
    <x v="2"/>
    <s v="United States"/>
    <s v="Dallas"/>
    <x v="5"/>
    <n v="75217"/>
    <x v="2"/>
    <x v="0"/>
    <x v="3"/>
    <n v="298.11599999999999"/>
    <n v="6"/>
    <n v="0.3"/>
    <n v="-4.2587999999999999"/>
  </r>
  <r>
    <s v="Second Class"/>
    <x v="1"/>
    <s v="United States"/>
    <s v="New York City"/>
    <x v="15"/>
    <n v="10024"/>
    <x v="3"/>
    <x v="1"/>
    <x v="6"/>
    <n v="59.52"/>
    <n v="3"/>
    <n v="0"/>
    <n v="17.856000000000002"/>
  </r>
  <r>
    <s v="Standard Class"/>
    <x v="1"/>
    <s v="United States"/>
    <s v="Portland"/>
    <x v="21"/>
    <n v="97206"/>
    <x v="1"/>
    <x v="0"/>
    <x v="1"/>
    <n v="230.28"/>
    <n v="3"/>
    <n v="0.2"/>
    <n v="23.027999999999999"/>
  </r>
  <r>
    <s v="Standard Class"/>
    <x v="1"/>
    <s v="United States"/>
    <s v="Portland"/>
    <x v="21"/>
    <n v="97206"/>
    <x v="1"/>
    <x v="1"/>
    <x v="10"/>
    <n v="105.52"/>
    <n v="5"/>
    <n v="0.2"/>
    <n v="34.293999999999997"/>
  </r>
  <r>
    <s v="Standard Class"/>
    <x v="1"/>
    <s v="United States"/>
    <s v="Brentwood"/>
    <x v="1"/>
    <n v="94513"/>
    <x v="1"/>
    <x v="1"/>
    <x v="12"/>
    <n v="23.36"/>
    <n v="2"/>
    <n v="0"/>
    <n v="11.68"/>
  </r>
  <r>
    <s v="Standard Class"/>
    <x v="1"/>
    <s v="United States"/>
    <s v="Brentwood"/>
    <x v="1"/>
    <n v="94513"/>
    <x v="1"/>
    <x v="2"/>
    <x v="7"/>
    <n v="71.975999999999999"/>
    <n v="3"/>
    <n v="0.2"/>
    <n v="8.9969999999999999"/>
  </r>
  <r>
    <s v="Standard Class"/>
    <x v="1"/>
    <s v="United States"/>
    <s v="Brentwood"/>
    <x v="1"/>
    <n v="94513"/>
    <x v="1"/>
    <x v="1"/>
    <x v="10"/>
    <n v="8.56"/>
    <n v="2"/>
    <n v="0"/>
    <n v="3.8519999999999999"/>
  </r>
  <r>
    <s v="Standard Class"/>
    <x v="1"/>
    <s v="United States"/>
    <s v="Brentwood"/>
    <x v="1"/>
    <n v="94513"/>
    <x v="1"/>
    <x v="1"/>
    <x v="8"/>
    <n v="13.92"/>
    <n v="3"/>
    <n v="0.2"/>
    <n v="4.8719999999999999"/>
  </r>
  <r>
    <s v="Standard Class"/>
    <x v="1"/>
    <s v="United States"/>
    <s v="Brentwood"/>
    <x v="1"/>
    <n v="94513"/>
    <x v="1"/>
    <x v="1"/>
    <x v="9"/>
    <n v="2518.29"/>
    <n v="9"/>
    <n v="0"/>
    <n v="654.75540000000001"/>
  </r>
  <r>
    <s v="Standard Class"/>
    <x v="1"/>
    <s v="United States"/>
    <s v="Brentwood"/>
    <x v="1"/>
    <n v="94513"/>
    <x v="1"/>
    <x v="1"/>
    <x v="4"/>
    <n v="540.57000000000005"/>
    <n v="3"/>
    <n v="0"/>
    <n v="140.54820000000001"/>
  </r>
  <r>
    <s v="Standard Class"/>
    <x v="1"/>
    <s v="United States"/>
    <s v="Brentwood"/>
    <x v="1"/>
    <n v="94513"/>
    <x v="1"/>
    <x v="1"/>
    <x v="8"/>
    <n v="221.05600000000001"/>
    <n v="8"/>
    <n v="0.2"/>
    <n v="77.369600000000005"/>
  </r>
  <r>
    <s v="First Class"/>
    <x v="1"/>
    <s v="United States"/>
    <s v="San Diego"/>
    <x v="1"/>
    <n v="92037"/>
    <x v="1"/>
    <x v="0"/>
    <x v="1"/>
    <n v="81.424000000000007"/>
    <n v="2"/>
    <n v="0.2"/>
    <n v="-9.1601999999999997"/>
  </r>
  <r>
    <s v="First Class"/>
    <x v="1"/>
    <s v="United States"/>
    <s v="San Diego"/>
    <x v="1"/>
    <n v="92037"/>
    <x v="1"/>
    <x v="1"/>
    <x v="4"/>
    <n v="134.80000000000001"/>
    <n v="10"/>
    <n v="0"/>
    <n v="35.048000000000002"/>
  </r>
  <r>
    <s v="Standard Class"/>
    <x v="0"/>
    <s v="United States"/>
    <s v="Dallas"/>
    <x v="5"/>
    <n v="75081"/>
    <x v="2"/>
    <x v="1"/>
    <x v="8"/>
    <n v="39.582000000000001"/>
    <n v="9"/>
    <n v="0.8"/>
    <n v="-59.372999999999998"/>
  </r>
  <r>
    <s v="Standard Class"/>
    <x v="0"/>
    <s v="United States"/>
    <s v="Dallas"/>
    <x v="5"/>
    <n v="75081"/>
    <x v="2"/>
    <x v="1"/>
    <x v="14"/>
    <n v="44.688000000000002"/>
    <n v="7"/>
    <n v="0.2"/>
    <n v="5.0274000000000001"/>
  </r>
  <r>
    <s v="Standard Class"/>
    <x v="0"/>
    <s v="United States"/>
    <s v="Dallas"/>
    <x v="5"/>
    <n v="75081"/>
    <x v="2"/>
    <x v="1"/>
    <x v="6"/>
    <n v="31.744"/>
    <n v="2"/>
    <n v="0.2"/>
    <n v="2.3807999999999998"/>
  </r>
  <r>
    <s v="Standard Class"/>
    <x v="0"/>
    <s v="United States"/>
    <s v="Dallas"/>
    <x v="5"/>
    <n v="75081"/>
    <x v="2"/>
    <x v="1"/>
    <x v="8"/>
    <n v="40.98"/>
    <n v="5"/>
    <n v="0.8"/>
    <n v="-65.567999999999998"/>
  </r>
  <r>
    <s v="Standard Class"/>
    <x v="0"/>
    <s v="United States"/>
    <s v="Dallas"/>
    <x v="5"/>
    <n v="75081"/>
    <x v="2"/>
    <x v="1"/>
    <x v="8"/>
    <n v="3.1680000000000001"/>
    <n v="3"/>
    <n v="0.8"/>
    <n v="-5.0688000000000004"/>
  </r>
  <r>
    <s v="Standard Class"/>
    <x v="0"/>
    <s v="United States"/>
    <s v="El Paso"/>
    <x v="5"/>
    <n v="79907"/>
    <x v="2"/>
    <x v="1"/>
    <x v="13"/>
    <n v="18.84"/>
    <n v="5"/>
    <n v="0.2"/>
    <n v="-3.5325000000000002"/>
  </r>
  <r>
    <s v="Standard Class"/>
    <x v="0"/>
    <s v="United States"/>
    <s v="El Paso"/>
    <x v="5"/>
    <n v="79907"/>
    <x v="2"/>
    <x v="0"/>
    <x v="1"/>
    <n v="362.25"/>
    <n v="6"/>
    <n v="0.3"/>
    <n v="0"/>
  </r>
  <r>
    <s v="Standard Class"/>
    <x v="0"/>
    <s v="United States"/>
    <s v="El Paso"/>
    <x v="5"/>
    <n v="79907"/>
    <x v="2"/>
    <x v="0"/>
    <x v="5"/>
    <n v="63.552"/>
    <n v="6"/>
    <n v="0.6"/>
    <n v="-34.953600000000002"/>
  </r>
  <r>
    <s v="Standard Class"/>
    <x v="0"/>
    <s v="United States"/>
    <s v="El Paso"/>
    <x v="5"/>
    <n v="79907"/>
    <x v="2"/>
    <x v="1"/>
    <x v="4"/>
    <n v="129.55199999999999"/>
    <n v="3"/>
    <n v="0.2"/>
    <n v="-22.671600000000002"/>
  </r>
  <r>
    <s v="Standard Class"/>
    <x v="0"/>
    <s v="United States"/>
    <s v="New York City"/>
    <x v="15"/>
    <n v="10035"/>
    <x v="3"/>
    <x v="1"/>
    <x v="8"/>
    <n v="5.984"/>
    <n v="2"/>
    <n v="0.2"/>
    <n v="2.2440000000000002"/>
  </r>
  <r>
    <s v="Standard Class"/>
    <x v="0"/>
    <s v="United States"/>
    <s v="New York City"/>
    <x v="15"/>
    <n v="10035"/>
    <x v="3"/>
    <x v="2"/>
    <x v="7"/>
    <n v="861.76"/>
    <n v="4"/>
    <n v="0"/>
    <n v="249.91040000000001"/>
  </r>
  <r>
    <s v="Standard Class"/>
    <x v="1"/>
    <s v="United States"/>
    <s v="Revere"/>
    <x v="31"/>
    <n v="2151"/>
    <x v="3"/>
    <x v="1"/>
    <x v="4"/>
    <n v="66.959999999999994"/>
    <n v="4"/>
    <n v="0"/>
    <n v="2.6783999999999999"/>
  </r>
  <r>
    <s v="Standard Class"/>
    <x v="1"/>
    <s v="United States"/>
    <s v="Revere"/>
    <x v="31"/>
    <n v="2151"/>
    <x v="3"/>
    <x v="1"/>
    <x v="8"/>
    <n v="6.24"/>
    <n v="2"/>
    <n v="0"/>
    <n v="3.0575999999999999"/>
  </r>
  <r>
    <s v="Standard Class"/>
    <x v="1"/>
    <s v="United States"/>
    <s v="Chico"/>
    <x v="1"/>
    <n v="95928"/>
    <x v="1"/>
    <x v="0"/>
    <x v="1"/>
    <n v="435.16800000000001"/>
    <n v="4"/>
    <n v="0.2"/>
    <n v="-59.835599999999999"/>
  </r>
  <r>
    <s v="Standard Class"/>
    <x v="1"/>
    <s v="United States"/>
    <s v="Chico"/>
    <x v="1"/>
    <n v="95928"/>
    <x v="1"/>
    <x v="1"/>
    <x v="13"/>
    <n v="14.9"/>
    <n v="5"/>
    <n v="0"/>
    <n v="6.8540000000000001"/>
  </r>
  <r>
    <s v="Standard Class"/>
    <x v="1"/>
    <s v="United States"/>
    <s v="Chico"/>
    <x v="1"/>
    <n v="95928"/>
    <x v="1"/>
    <x v="1"/>
    <x v="9"/>
    <n v="15.8"/>
    <n v="4"/>
    <n v="0"/>
    <n v="4.1079999999999997"/>
  </r>
  <r>
    <s v="Standard Class"/>
    <x v="1"/>
    <s v="United States"/>
    <s v="Chico"/>
    <x v="1"/>
    <n v="95928"/>
    <x v="1"/>
    <x v="0"/>
    <x v="5"/>
    <n v="72.900000000000006"/>
    <n v="5"/>
    <n v="0"/>
    <n v="26.972999999999999"/>
  </r>
  <r>
    <s v="Standard Class"/>
    <x v="1"/>
    <s v="United States"/>
    <s v="Chico"/>
    <x v="1"/>
    <n v="95928"/>
    <x v="1"/>
    <x v="0"/>
    <x v="3"/>
    <n v="206.352"/>
    <n v="3"/>
    <n v="0.2"/>
    <n v="5.1588000000000003"/>
  </r>
  <r>
    <s v="Standard Class"/>
    <x v="1"/>
    <s v="United States"/>
    <s v="Chico"/>
    <x v="1"/>
    <n v="95928"/>
    <x v="1"/>
    <x v="2"/>
    <x v="7"/>
    <n v="7.992"/>
    <n v="1"/>
    <n v="0.2"/>
    <n v="2.6972999999999998"/>
  </r>
  <r>
    <s v="Second Class"/>
    <x v="1"/>
    <s v="United States"/>
    <s v="Miramar"/>
    <x v="2"/>
    <n v="33023"/>
    <x v="0"/>
    <x v="1"/>
    <x v="4"/>
    <n v="81.36"/>
    <n v="5"/>
    <n v="0.2"/>
    <n v="-19.323"/>
  </r>
  <r>
    <s v="Second Class"/>
    <x v="1"/>
    <s v="United States"/>
    <s v="Miramar"/>
    <x v="2"/>
    <n v="33023"/>
    <x v="0"/>
    <x v="1"/>
    <x v="8"/>
    <n v="20.231999999999999"/>
    <n v="8"/>
    <n v="0.7"/>
    <n v="-16.185600000000001"/>
  </r>
  <r>
    <s v="Second Class"/>
    <x v="1"/>
    <s v="United States"/>
    <s v="Miramar"/>
    <x v="2"/>
    <n v="33023"/>
    <x v="0"/>
    <x v="1"/>
    <x v="9"/>
    <n v="389.05599999999998"/>
    <n v="4"/>
    <n v="0.2"/>
    <n v="48.631999999999998"/>
  </r>
  <r>
    <s v="Second Class"/>
    <x v="1"/>
    <s v="United States"/>
    <s v="Miramar"/>
    <x v="2"/>
    <n v="33023"/>
    <x v="0"/>
    <x v="1"/>
    <x v="10"/>
    <n v="20.736000000000001"/>
    <n v="4"/>
    <n v="0.2"/>
    <n v="7.2576000000000001"/>
  </r>
  <r>
    <s v="Second Class"/>
    <x v="1"/>
    <s v="United States"/>
    <s v="Miramar"/>
    <x v="2"/>
    <n v="33023"/>
    <x v="0"/>
    <x v="1"/>
    <x v="10"/>
    <n v="41.472000000000001"/>
    <n v="8"/>
    <n v="0.2"/>
    <n v="14.5152"/>
  </r>
  <r>
    <s v="Standard Class"/>
    <x v="1"/>
    <s v="United States"/>
    <s v="Los Angeles"/>
    <x v="1"/>
    <n v="90049"/>
    <x v="1"/>
    <x v="1"/>
    <x v="10"/>
    <n v="33.36"/>
    <n v="4"/>
    <n v="0"/>
    <n v="16.68"/>
  </r>
  <r>
    <s v="First Class"/>
    <x v="1"/>
    <s v="United States"/>
    <s v="Denver"/>
    <x v="22"/>
    <n v="80219"/>
    <x v="1"/>
    <x v="0"/>
    <x v="0"/>
    <n v="90.882000000000005"/>
    <n v="3"/>
    <n v="0.7"/>
    <n v="-190.85220000000001"/>
  </r>
  <r>
    <s v="First Class"/>
    <x v="1"/>
    <s v="United States"/>
    <s v="Denver"/>
    <x v="22"/>
    <n v="80219"/>
    <x v="1"/>
    <x v="2"/>
    <x v="7"/>
    <n v="15.992000000000001"/>
    <n v="1"/>
    <n v="0.2"/>
    <n v="-2.9984999999999999"/>
  </r>
  <r>
    <s v="First Class"/>
    <x v="1"/>
    <s v="United States"/>
    <s v="Denver"/>
    <x v="22"/>
    <n v="80219"/>
    <x v="1"/>
    <x v="0"/>
    <x v="1"/>
    <n v="120.78400000000001"/>
    <n v="1"/>
    <n v="0.2"/>
    <n v="13.588200000000001"/>
  </r>
  <r>
    <s v="Standard Class"/>
    <x v="1"/>
    <s v="United States"/>
    <s v="Philadelphia"/>
    <x v="9"/>
    <n v="19134"/>
    <x v="3"/>
    <x v="2"/>
    <x v="7"/>
    <n v="519.79200000000003"/>
    <n v="4"/>
    <n v="0.4"/>
    <n v="-112.6216"/>
  </r>
  <r>
    <s v="Standard Class"/>
    <x v="1"/>
    <s v="United States"/>
    <s v="Philadelphia"/>
    <x v="9"/>
    <n v="19134"/>
    <x v="3"/>
    <x v="2"/>
    <x v="11"/>
    <n v="31.175999999999998"/>
    <n v="3"/>
    <n v="0.2"/>
    <n v="-5.4558"/>
  </r>
  <r>
    <s v="Standard Class"/>
    <x v="1"/>
    <s v="United States"/>
    <s v="Philadelphia"/>
    <x v="9"/>
    <n v="19134"/>
    <x v="3"/>
    <x v="1"/>
    <x v="10"/>
    <n v="10.368"/>
    <n v="2"/>
    <n v="0.2"/>
    <n v="3.6288"/>
  </r>
  <r>
    <s v="Standard Class"/>
    <x v="1"/>
    <s v="United States"/>
    <s v="Philadelphia"/>
    <x v="9"/>
    <n v="19134"/>
    <x v="3"/>
    <x v="1"/>
    <x v="8"/>
    <n v="2.7240000000000002"/>
    <n v="2"/>
    <n v="0.7"/>
    <n v="-1.9068000000000001"/>
  </r>
  <r>
    <s v="Standard Class"/>
    <x v="1"/>
    <s v="United States"/>
    <s v="Philadelphia"/>
    <x v="9"/>
    <n v="19134"/>
    <x v="3"/>
    <x v="0"/>
    <x v="5"/>
    <n v="254.352"/>
    <n v="3"/>
    <n v="0.2"/>
    <n v="0"/>
  </r>
  <r>
    <s v="Standard Class"/>
    <x v="1"/>
    <s v="United States"/>
    <s v="Philadelphia"/>
    <x v="9"/>
    <n v="19134"/>
    <x v="3"/>
    <x v="1"/>
    <x v="8"/>
    <n v="3.762"/>
    <n v="3"/>
    <n v="0.7"/>
    <n v="-2.7587999999999999"/>
  </r>
  <r>
    <s v="Standard Class"/>
    <x v="1"/>
    <s v="United States"/>
    <s v="Philadelphia"/>
    <x v="9"/>
    <n v="19134"/>
    <x v="3"/>
    <x v="1"/>
    <x v="10"/>
    <n v="10.272"/>
    <n v="3"/>
    <n v="0.2"/>
    <n v="3.21"/>
  </r>
  <r>
    <s v="Standard Class"/>
    <x v="0"/>
    <s v="United States"/>
    <s v="Jackson"/>
    <x v="35"/>
    <n v="39212"/>
    <x v="0"/>
    <x v="2"/>
    <x v="7"/>
    <n v="659.97"/>
    <n v="3"/>
    <n v="0"/>
    <n v="197.99100000000001"/>
  </r>
  <r>
    <s v="Standard Class"/>
    <x v="0"/>
    <s v="United States"/>
    <s v="Jackson"/>
    <x v="35"/>
    <n v="39212"/>
    <x v="0"/>
    <x v="2"/>
    <x v="7"/>
    <n v="113.73"/>
    <n v="3"/>
    <n v="0"/>
    <n v="32.981699999999996"/>
  </r>
  <r>
    <s v="Standard Class"/>
    <x v="2"/>
    <s v="United States"/>
    <s v="Los Angeles"/>
    <x v="1"/>
    <n v="90045"/>
    <x v="1"/>
    <x v="1"/>
    <x v="8"/>
    <n v="5.1040000000000001"/>
    <n v="1"/>
    <n v="0.2"/>
    <n v="1.6588000000000001"/>
  </r>
  <r>
    <s v="Standard Class"/>
    <x v="0"/>
    <s v="United States"/>
    <s v="Houston"/>
    <x v="5"/>
    <n v="77095"/>
    <x v="2"/>
    <x v="1"/>
    <x v="10"/>
    <n v="16.448"/>
    <n v="2"/>
    <n v="0.2"/>
    <n v="5.5511999999999997"/>
  </r>
  <r>
    <s v="First Class"/>
    <x v="0"/>
    <s v="United States"/>
    <s v="Clifton"/>
    <x v="30"/>
    <n v="7011"/>
    <x v="3"/>
    <x v="1"/>
    <x v="9"/>
    <n v="81.92"/>
    <n v="4"/>
    <n v="0"/>
    <n v="22.118400000000001"/>
  </r>
  <r>
    <s v="First Class"/>
    <x v="0"/>
    <s v="United States"/>
    <s v="Clifton"/>
    <x v="30"/>
    <n v="7011"/>
    <x v="3"/>
    <x v="0"/>
    <x v="5"/>
    <n v="254.9"/>
    <n v="5"/>
    <n v="0"/>
    <n v="76.47"/>
  </r>
  <r>
    <s v="Second Class"/>
    <x v="1"/>
    <s v="United States"/>
    <s v="Chicago"/>
    <x v="10"/>
    <n v="60623"/>
    <x v="2"/>
    <x v="1"/>
    <x v="13"/>
    <n v="15.12"/>
    <n v="5"/>
    <n v="0.2"/>
    <n v="4.9139999999999997"/>
  </r>
  <r>
    <s v="Second Class"/>
    <x v="1"/>
    <s v="United States"/>
    <s v="Chicago"/>
    <x v="10"/>
    <n v="60623"/>
    <x v="2"/>
    <x v="1"/>
    <x v="6"/>
    <n v="7.8719999999999999"/>
    <n v="3"/>
    <n v="0.2"/>
    <n v="0.88560000000000005"/>
  </r>
  <r>
    <s v="First Class"/>
    <x v="0"/>
    <s v="United States"/>
    <s v="Seattle"/>
    <x v="4"/>
    <n v="98115"/>
    <x v="1"/>
    <x v="1"/>
    <x v="8"/>
    <n v="8.32"/>
    <n v="5"/>
    <n v="0.2"/>
    <n v="2.8079999999999998"/>
  </r>
  <r>
    <s v="Second Class"/>
    <x v="0"/>
    <s v="United States"/>
    <s v="Long Beach"/>
    <x v="15"/>
    <n v="11561"/>
    <x v="3"/>
    <x v="2"/>
    <x v="7"/>
    <n v="89.95"/>
    <n v="5"/>
    <n v="0"/>
    <n v="43.176000000000002"/>
  </r>
  <r>
    <s v="Standard Class"/>
    <x v="2"/>
    <s v="United States"/>
    <s v="Sheboygan"/>
    <x v="6"/>
    <n v="53081"/>
    <x v="2"/>
    <x v="1"/>
    <x v="2"/>
    <n v="25.2"/>
    <n v="4"/>
    <n v="0"/>
    <n v="11.592000000000001"/>
  </r>
  <r>
    <s v="Standard Class"/>
    <x v="2"/>
    <s v="United States"/>
    <s v="Sheboygan"/>
    <x v="6"/>
    <n v="53081"/>
    <x v="2"/>
    <x v="1"/>
    <x v="2"/>
    <n v="37.590000000000003"/>
    <n v="3"/>
    <n v="0"/>
    <n v="17.667300000000001"/>
  </r>
  <r>
    <s v="Standard Class"/>
    <x v="2"/>
    <s v="United States"/>
    <s v="Sheboygan"/>
    <x v="6"/>
    <n v="53081"/>
    <x v="2"/>
    <x v="1"/>
    <x v="4"/>
    <n v="14.97"/>
    <n v="1"/>
    <n v="0"/>
    <n v="4.1916000000000002"/>
  </r>
  <r>
    <s v="Standard Class"/>
    <x v="2"/>
    <s v="United States"/>
    <s v="Sheboygan"/>
    <x v="6"/>
    <n v="53081"/>
    <x v="2"/>
    <x v="2"/>
    <x v="11"/>
    <n v="1.98"/>
    <n v="2"/>
    <n v="0"/>
    <n v="0.89100000000000001"/>
  </r>
  <r>
    <s v="First Class"/>
    <x v="0"/>
    <s v="United States"/>
    <s v="Boca Raton"/>
    <x v="2"/>
    <n v="33433"/>
    <x v="0"/>
    <x v="1"/>
    <x v="8"/>
    <n v="39.936"/>
    <n v="4"/>
    <n v="0.7"/>
    <n v="-26.623999999999999"/>
  </r>
  <r>
    <s v="First Class"/>
    <x v="0"/>
    <s v="United States"/>
    <s v="Boca Raton"/>
    <x v="2"/>
    <n v="33433"/>
    <x v="0"/>
    <x v="2"/>
    <x v="11"/>
    <n v="18.463999999999999"/>
    <n v="2"/>
    <n v="0.2"/>
    <n v="2.3079999999999998"/>
  </r>
  <r>
    <s v="Second Class"/>
    <x v="0"/>
    <s v="United States"/>
    <s v="Aurora"/>
    <x v="22"/>
    <n v="80013"/>
    <x v="1"/>
    <x v="1"/>
    <x v="8"/>
    <n v="4.8959999999999999"/>
    <n v="3"/>
    <n v="0.7"/>
    <n v="-3.4272"/>
  </r>
  <r>
    <s v="Second Class"/>
    <x v="0"/>
    <s v="United States"/>
    <s v="Aurora"/>
    <x v="22"/>
    <n v="80013"/>
    <x v="1"/>
    <x v="0"/>
    <x v="0"/>
    <n v="145.76400000000001"/>
    <n v="6"/>
    <n v="0.7"/>
    <n v="-247.7988"/>
  </r>
  <r>
    <s v="Second Class"/>
    <x v="0"/>
    <s v="United States"/>
    <s v="Aurora"/>
    <x v="22"/>
    <n v="80013"/>
    <x v="1"/>
    <x v="1"/>
    <x v="8"/>
    <n v="9.6120000000000001"/>
    <n v="6"/>
    <n v="0.7"/>
    <n v="-7.3692000000000002"/>
  </r>
  <r>
    <s v="First Class"/>
    <x v="2"/>
    <s v="United States"/>
    <s v="San Diego"/>
    <x v="1"/>
    <n v="92037"/>
    <x v="1"/>
    <x v="2"/>
    <x v="11"/>
    <n v="199.75"/>
    <n v="5"/>
    <n v="0"/>
    <n v="87.89"/>
  </r>
  <r>
    <s v="First Class"/>
    <x v="2"/>
    <s v="United States"/>
    <s v="San Diego"/>
    <x v="1"/>
    <n v="92037"/>
    <x v="1"/>
    <x v="0"/>
    <x v="3"/>
    <n v="1673.184"/>
    <n v="12"/>
    <n v="0.2"/>
    <n v="20.9148"/>
  </r>
  <r>
    <s v="First Class"/>
    <x v="1"/>
    <s v="United States"/>
    <s v="Seattle"/>
    <x v="4"/>
    <n v="98105"/>
    <x v="1"/>
    <x v="0"/>
    <x v="5"/>
    <n v="12.18"/>
    <n v="7"/>
    <n v="0"/>
    <n v="3.8976000000000002"/>
  </r>
  <r>
    <s v="First Class"/>
    <x v="1"/>
    <s v="United States"/>
    <s v="Seattle"/>
    <x v="4"/>
    <n v="98105"/>
    <x v="1"/>
    <x v="1"/>
    <x v="9"/>
    <n v="57.68"/>
    <n v="4"/>
    <n v="0"/>
    <n v="19.034400000000002"/>
  </r>
  <r>
    <s v="Standard Class"/>
    <x v="0"/>
    <s v="United States"/>
    <s v="Dubuque"/>
    <x v="23"/>
    <n v="52001"/>
    <x v="2"/>
    <x v="2"/>
    <x v="7"/>
    <n v="263.95999999999998"/>
    <n v="4"/>
    <n v="0"/>
    <n v="76.548400000000001"/>
  </r>
  <r>
    <s v="First Class"/>
    <x v="0"/>
    <s v="United States"/>
    <s v="Los Angeles"/>
    <x v="1"/>
    <n v="90032"/>
    <x v="1"/>
    <x v="2"/>
    <x v="11"/>
    <n v="299.94"/>
    <n v="6"/>
    <n v="0"/>
    <n v="128.9742"/>
  </r>
  <r>
    <s v="First Class"/>
    <x v="0"/>
    <s v="United States"/>
    <s v="Los Angeles"/>
    <x v="1"/>
    <n v="90032"/>
    <x v="1"/>
    <x v="1"/>
    <x v="14"/>
    <n v="25.76"/>
    <n v="7"/>
    <n v="0"/>
    <n v="0.51519999999999999"/>
  </r>
  <r>
    <s v="First Class"/>
    <x v="0"/>
    <s v="United States"/>
    <s v="Lowell"/>
    <x v="31"/>
    <n v="1852"/>
    <x v="3"/>
    <x v="2"/>
    <x v="7"/>
    <n v="271.89999999999998"/>
    <n v="2"/>
    <n v="0"/>
    <n v="78.850999999999999"/>
  </r>
  <r>
    <s v="First Class"/>
    <x v="0"/>
    <s v="United States"/>
    <s v="Lowell"/>
    <x v="31"/>
    <n v="1852"/>
    <x v="3"/>
    <x v="0"/>
    <x v="5"/>
    <n v="45.84"/>
    <n v="3"/>
    <n v="0"/>
    <n v="15.585599999999999"/>
  </r>
  <r>
    <s v="First Class"/>
    <x v="0"/>
    <s v="United States"/>
    <s v="Lowell"/>
    <x v="31"/>
    <n v="1852"/>
    <x v="3"/>
    <x v="0"/>
    <x v="5"/>
    <n v="9.82"/>
    <n v="2"/>
    <n v="0"/>
    <n v="3.2406000000000001"/>
  </r>
  <r>
    <s v="Standard Class"/>
    <x v="0"/>
    <s v="United States"/>
    <s v="Marysville"/>
    <x v="4"/>
    <n v="98270"/>
    <x v="1"/>
    <x v="1"/>
    <x v="13"/>
    <n v="93.36"/>
    <n v="12"/>
    <n v="0"/>
    <n v="0.93359999999999999"/>
  </r>
  <r>
    <s v="Standard Class"/>
    <x v="0"/>
    <s v="United States"/>
    <s v="Oklahoma City"/>
    <x v="26"/>
    <n v="73120"/>
    <x v="2"/>
    <x v="1"/>
    <x v="4"/>
    <n v="541.24"/>
    <n v="4"/>
    <n v="0"/>
    <n v="5.4123999999999999"/>
  </r>
  <r>
    <s v="Standard Class"/>
    <x v="0"/>
    <s v="United States"/>
    <s v="Oklahoma City"/>
    <x v="26"/>
    <n v="73120"/>
    <x v="2"/>
    <x v="1"/>
    <x v="10"/>
    <n v="106.32"/>
    <n v="3"/>
    <n v="0"/>
    <n v="49.970399999999998"/>
  </r>
  <r>
    <s v="Standard Class"/>
    <x v="0"/>
    <s v="United States"/>
    <s v="Oklahoma City"/>
    <x v="26"/>
    <n v="73120"/>
    <x v="2"/>
    <x v="0"/>
    <x v="1"/>
    <n v="1323.9"/>
    <n v="5"/>
    <n v="0"/>
    <n v="383.93099999999998"/>
  </r>
  <r>
    <s v="Second Class"/>
    <x v="1"/>
    <s v="United States"/>
    <s v="Philadelphia"/>
    <x v="9"/>
    <n v="19134"/>
    <x v="3"/>
    <x v="1"/>
    <x v="10"/>
    <n v="126.624"/>
    <n v="6"/>
    <n v="0.2"/>
    <n v="41.152799999999999"/>
  </r>
  <r>
    <s v="First Class"/>
    <x v="0"/>
    <s v="United States"/>
    <s v="Aurora"/>
    <x v="22"/>
    <n v="80013"/>
    <x v="1"/>
    <x v="2"/>
    <x v="7"/>
    <n v="125.944"/>
    <n v="7"/>
    <n v="0.2"/>
    <n v="15.743"/>
  </r>
  <r>
    <s v="Same Day"/>
    <x v="0"/>
    <s v="United States"/>
    <s v="New York City"/>
    <x v="15"/>
    <n v="10009"/>
    <x v="3"/>
    <x v="1"/>
    <x v="8"/>
    <n v="663.92"/>
    <n v="5"/>
    <n v="0.2"/>
    <n v="207.47499999999999"/>
  </r>
  <r>
    <s v="Same Day"/>
    <x v="0"/>
    <s v="United States"/>
    <s v="New York City"/>
    <x v="15"/>
    <n v="10009"/>
    <x v="3"/>
    <x v="2"/>
    <x v="11"/>
    <n v="120"/>
    <n v="8"/>
    <n v="0"/>
    <n v="13.2"/>
  </r>
  <r>
    <s v="Same Day"/>
    <x v="0"/>
    <s v="United States"/>
    <s v="New York City"/>
    <x v="15"/>
    <n v="10009"/>
    <x v="3"/>
    <x v="1"/>
    <x v="13"/>
    <n v="3.29"/>
    <n v="1"/>
    <n v="0"/>
    <n v="1.4804999999999999"/>
  </r>
  <r>
    <s v="Same Day"/>
    <x v="0"/>
    <s v="United States"/>
    <s v="New York City"/>
    <x v="15"/>
    <n v="10009"/>
    <x v="3"/>
    <x v="0"/>
    <x v="5"/>
    <n v="18.84"/>
    <n v="3"/>
    <n v="0"/>
    <n v="6.0288000000000004"/>
  </r>
  <r>
    <s v="First Class"/>
    <x v="2"/>
    <s v="United States"/>
    <s v="Lancaster"/>
    <x v="24"/>
    <n v="43130"/>
    <x v="3"/>
    <x v="0"/>
    <x v="5"/>
    <n v="60.671999999999997"/>
    <n v="6"/>
    <n v="0.2"/>
    <n v="12.892799999999999"/>
  </r>
  <r>
    <s v="First Class"/>
    <x v="2"/>
    <s v="United States"/>
    <s v="Lancaster"/>
    <x v="24"/>
    <n v="43130"/>
    <x v="3"/>
    <x v="1"/>
    <x v="6"/>
    <n v="30.815999999999999"/>
    <n v="9"/>
    <n v="0.2"/>
    <n v="2.6964000000000001"/>
  </r>
  <r>
    <s v="Second Class"/>
    <x v="1"/>
    <s v="United States"/>
    <s v="Modesto"/>
    <x v="1"/>
    <n v="95351"/>
    <x v="1"/>
    <x v="2"/>
    <x v="7"/>
    <n v="52.792000000000002"/>
    <n v="1"/>
    <n v="0.2"/>
    <n v="4.6193"/>
  </r>
  <r>
    <s v="First Class"/>
    <x v="0"/>
    <s v="United States"/>
    <s v="Saint Louis"/>
    <x v="25"/>
    <n v="63116"/>
    <x v="2"/>
    <x v="1"/>
    <x v="9"/>
    <n v="83.9"/>
    <n v="10"/>
    <n v="0"/>
    <n v="20.975000000000001"/>
  </r>
  <r>
    <s v="First Class"/>
    <x v="0"/>
    <s v="United States"/>
    <s v="Saint Louis"/>
    <x v="25"/>
    <n v="63116"/>
    <x v="2"/>
    <x v="1"/>
    <x v="10"/>
    <n v="11.76"/>
    <n v="2"/>
    <n v="0"/>
    <n v="5.7624000000000004"/>
  </r>
  <r>
    <s v="Standard Class"/>
    <x v="1"/>
    <s v="United States"/>
    <s v="Dallas"/>
    <x v="5"/>
    <n v="75217"/>
    <x v="2"/>
    <x v="1"/>
    <x v="9"/>
    <n v="4.992"/>
    <n v="3"/>
    <n v="0.8"/>
    <n v="-12.979200000000001"/>
  </r>
  <r>
    <s v="Standard Class"/>
    <x v="1"/>
    <s v="United States"/>
    <s v="Dallas"/>
    <x v="5"/>
    <n v="75217"/>
    <x v="2"/>
    <x v="1"/>
    <x v="12"/>
    <n v="87.92"/>
    <n v="5"/>
    <n v="0.2"/>
    <n v="29.672999999999998"/>
  </r>
  <r>
    <s v="Standard Class"/>
    <x v="1"/>
    <s v="United States"/>
    <s v="Dallas"/>
    <x v="5"/>
    <n v="75217"/>
    <x v="2"/>
    <x v="0"/>
    <x v="1"/>
    <n v="657.93"/>
    <n v="5"/>
    <n v="0.3"/>
    <n v="-93.99"/>
  </r>
  <r>
    <s v="Standard Class"/>
    <x v="1"/>
    <s v="United States"/>
    <s v="Dallas"/>
    <x v="5"/>
    <n v="75217"/>
    <x v="2"/>
    <x v="1"/>
    <x v="8"/>
    <n v="1.044"/>
    <n v="1"/>
    <n v="0.8"/>
    <n v="-1.827"/>
  </r>
  <r>
    <s v="Second Class"/>
    <x v="1"/>
    <s v="United States"/>
    <s v="New York City"/>
    <x v="15"/>
    <n v="10035"/>
    <x v="3"/>
    <x v="0"/>
    <x v="5"/>
    <n v="210.68"/>
    <n v="2"/>
    <n v="0"/>
    <n v="50.563200000000002"/>
  </r>
  <r>
    <s v="Second Class"/>
    <x v="1"/>
    <s v="United States"/>
    <s v="New York City"/>
    <x v="15"/>
    <n v="10035"/>
    <x v="3"/>
    <x v="1"/>
    <x v="4"/>
    <n v="78.8"/>
    <n v="1"/>
    <n v="0"/>
    <n v="1.5760000000000001"/>
  </r>
  <r>
    <s v="Second Class"/>
    <x v="1"/>
    <s v="United States"/>
    <s v="New York City"/>
    <x v="15"/>
    <n v="10035"/>
    <x v="3"/>
    <x v="2"/>
    <x v="11"/>
    <n v="19.989999999999998"/>
    <n v="1"/>
    <n v="0"/>
    <n v="6.7965999999999998"/>
  </r>
  <r>
    <s v="Second Class"/>
    <x v="1"/>
    <s v="United States"/>
    <s v="New York City"/>
    <x v="15"/>
    <n v="10035"/>
    <x v="3"/>
    <x v="1"/>
    <x v="4"/>
    <n v="772.68"/>
    <n v="4"/>
    <n v="0"/>
    <n v="108.1752"/>
  </r>
  <r>
    <s v="Standard Class"/>
    <x v="0"/>
    <s v="United States"/>
    <s v="San Antonio"/>
    <x v="5"/>
    <n v="78207"/>
    <x v="2"/>
    <x v="2"/>
    <x v="11"/>
    <n v="106.08"/>
    <n v="6"/>
    <n v="0.2"/>
    <n v="-9.282"/>
  </r>
  <r>
    <s v="Standard Class"/>
    <x v="0"/>
    <s v="United States"/>
    <s v="Amarillo"/>
    <x v="5"/>
    <n v="79109"/>
    <x v="2"/>
    <x v="0"/>
    <x v="5"/>
    <n v="23.076000000000001"/>
    <n v="3"/>
    <n v="0.6"/>
    <n v="-10.9611"/>
  </r>
  <r>
    <s v="Standard Class"/>
    <x v="0"/>
    <s v="United States"/>
    <s v="Amarillo"/>
    <x v="5"/>
    <n v="79109"/>
    <x v="2"/>
    <x v="1"/>
    <x v="10"/>
    <n v="25.92"/>
    <n v="5"/>
    <n v="0.2"/>
    <n v="9.0719999999999992"/>
  </r>
  <r>
    <s v="First Class"/>
    <x v="0"/>
    <s v="United States"/>
    <s v="Houston"/>
    <x v="5"/>
    <n v="77041"/>
    <x v="2"/>
    <x v="1"/>
    <x v="10"/>
    <n v="47.951999999999998"/>
    <n v="3"/>
    <n v="0.2"/>
    <n v="16.183800000000002"/>
  </r>
  <r>
    <s v="First Class"/>
    <x v="0"/>
    <s v="United States"/>
    <s v="Houston"/>
    <x v="5"/>
    <n v="77041"/>
    <x v="2"/>
    <x v="1"/>
    <x v="8"/>
    <n v="0.98399999999999999"/>
    <n v="2"/>
    <n v="0.8"/>
    <n v="-1.476"/>
  </r>
  <r>
    <s v="First Class"/>
    <x v="0"/>
    <s v="United States"/>
    <s v="Houston"/>
    <x v="5"/>
    <n v="77041"/>
    <x v="2"/>
    <x v="0"/>
    <x v="5"/>
    <n v="75.384"/>
    <n v="9"/>
    <n v="0.6"/>
    <n v="-20.730599999999999"/>
  </r>
  <r>
    <s v="First Class"/>
    <x v="0"/>
    <s v="United States"/>
    <s v="Houston"/>
    <x v="5"/>
    <n v="77041"/>
    <x v="2"/>
    <x v="1"/>
    <x v="2"/>
    <n v="4.6079999999999997"/>
    <n v="2"/>
    <n v="0.2"/>
    <n v="1.6704000000000001"/>
  </r>
  <r>
    <s v="First Class"/>
    <x v="0"/>
    <s v="United States"/>
    <s v="Lawrence"/>
    <x v="31"/>
    <n v="1841"/>
    <x v="3"/>
    <x v="1"/>
    <x v="8"/>
    <n v="37.68"/>
    <n v="6"/>
    <n v="0"/>
    <n v="16.956"/>
  </r>
  <r>
    <s v="Standard Class"/>
    <x v="1"/>
    <s v="United States"/>
    <s v="Columbus"/>
    <x v="32"/>
    <n v="31907"/>
    <x v="0"/>
    <x v="1"/>
    <x v="9"/>
    <n v="41.91"/>
    <n v="3"/>
    <n v="0"/>
    <n v="10.896599999999999"/>
  </r>
  <r>
    <s v="Second Class"/>
    <x v="0"/>
    <s v="United States"/>
    <s v="Los Angeles"/>
    <x v="1"/>
    <n v="90032"/>
    <x v="1"/>
    <x v="0"/>
    <x v="0"/>
    <n v="435.99900000000002"/>
    <n v="3"/>
    <n v="0.15"/>
    <n v="5.1294000000000004"/>
  </r>
  <r>
    <s v="Second Class"/>
    <x v="1"/>
    <s v="United States"/>
    <s v="Seattle"/>
    <x v="4"/>
    <n v="98115"/>
    <x v="1"/>
    <x v="0"/>
    <x v="1"/>
    <n v="388.70400000000001"/>
    <n v="6"/>
    <n v="0.2"/>
    <n v="38.870399999999997"/>
  </r>
  <r>
    <s v="Second Class"/>
    <x v="1"/>
    <s v="United States"/>
    <s v="Seattle"/>
    <x v="4"/>
    <n v="98115"/>
    <x v="1"/>
    <x v="1"/>
    <x v="4"/>
    <n v="572.58000000000004"/>
    <n v="6"/>
    <n v="0"/>
    <n v="34.354799999999997"/>
  </r>
  <r>
    <s v="Second Class"/>
    <x v="1"/>
    <s v="United States"/>
    <s v="Seattle"/>
    <x v="4"/>
    <n v="98115"/>
    <x v="1"/>
    <x v="2"/>
    <x v="11"/>
    <n v="33.18"/>
    <n v="2"/>
    <n v="0"/>
    <n v="11.613"/>
  </r>
  <r>
    <s v="Standard Class"/>
    <x v="2"/>
    <s v="United States"/>
    <s v="Cambridge"/>
    <x v="31"/>
    <n v="2138"/>
    <x v="3"/>
    <x v="2"/>
    <x v="11"/>
    <n v="63.88"/>
    <n v="4"/>
    <n v="0"/>
    <n v="24.9132"/>
  </r>
  <r>
    <s v="Standard Class"/>
    <x v="2"/>
    <s v="United States"/>
    <s v="Cambridge"/>
    <x v="31"/>
    <n v="2138"/>
    <x v="3"/>
    <x v="0"/>
    <x v="5"/>
    <n v="26.72"/>
    <n v="1"/>
    <n v="0"/>
    <n v="11.7568"/>
  </r>
  <r>
    <s v="Second Class"/>
    <x v="0"/>
    <s v="United States"/>
    <s v="Salt Lake City"/>
    <x v="7"/>
    <n v="84106"/>
    <x v="1"/>
    <x v="1"/>
    <x v="8"/>
    <n v="295.05599999999998"/>
    <n v="9"/>
    <n v="0.2"/>
    <n v="106.95780000000001"/>
  </r>
  <r>
    <s v="Standard Class"/>
    <x v="0"/>
    <s v="United States"/>
    <s v="New York City"/>
    <x v="15"/>
    <n v="10035"/>
    <x v="3"/>
    <x v="1"/>
    <x v="9"/>
    <n v="393.25"/>
    <n v="5"/>
    <n v="0"/>
    <n v="129.77250000000001"/>
  </r>
  <r>
    <s v="Second Class"/>
    <x v="0"/>
    <s v="United States"/>
    <s v="Cuyahoga Falls"/>
    <x v="24"/>
    <n v="44221"/>
    <x v="3"/>
    <x v="1"/>
    <x v="8"/>
    <n v="2.214"/>
    <n v="3"/>
    <n v="0.7"/>
    <n v="-1.476"/>
  </r>
  <r>
    <s v="Second Class"/>
    <x v="0"/>
    <s v="United States"/>
    <s v="Wilmington"/>
    <x v="3"/>
    <n v="28403"/>
    <x v="0"/>
    <x v="1"/>
    <x v="10"/>
    <n v="16.271999999999998"/>
    <n v="3"/>
    <n v="0.2"/>
    <n v="5.2884000000000002"/>
  </r>
  <r>
    <s v="Standard Class"/>
    <x v="1"/>
    <s v="United States"/>
    <s v="New York City"/>
    <x v="15"/>
    <n v="10035"/>
    <x v="3"/>
    <x v="1"/>
    <x v="9"/>
    <n v="706.86"/>
    <n v="7"/>
    <n v="0"/>
    <n v="197.92080000000001"/>
  </r>
  <r>
    <s v="Standard Class"/>
    <x v="1"/>
    <s v="United States"/>
    <s v="Philadelphia"/>
    <x v="9"/>
    <n v="19140"/>
    <x v="3"/>
    <x v="1"/>
    <x v="8"/>
    <n v="5.97"/>
    <n v="5"/>
    <n v="0.7"/>
    <n v="-4.577"/>
  </r>
  <r>
    <s v="Standard Class"/>
    <x v="1"/>
    <s v="United States"/>
    <s v="Philadelphia"/>
    <x v="9"/>
    <n v="19140"/>
    <x v="3"/>
    <x v="0"/>
    <x v="5"/>
    <n v="21.184000000000001"/>
    <n v="1"/>
    <n v="0.2"/>
    <n v="4.7664"/>
  </r>
  <r>
    <s v="Standard Class"/>
    <x v="1"/>
    <s v="United States"/>
    <s v="Philadelphia"/>
    <x v="9"/>
    <n v="19140"/>
    <x v="3"/>
    <x v="1"/>
    <x v="9"/>
    <n v="41.375999999999998"/>
    <n v="6"/>
    <n v="0.2"/>
    <n v="3.1032000000000002"/>
  </r>
  <r>
    <s v="Second Class"/>
    <x v="1"/>
    <s v="United States"/>
    <s v="New York City"/>
    <x v="15"/>
    <n v="10009"/>
    <x v="3"/>
    <x v="1"/>
    <x v="6"/>
    <n v="17.940000000000001"/>
    <n v="3"/>
    <n v="0"/>
    <n v="4.4850000000000003"/>
  </r>
  <r>
    <s v="Standard Class"/>
    <x v="1"/>
    <s v="United States"/>
    <s v="Philadelphia"/>
    <x v="9"/>
    <n v="19134"/>
    <x v="3"/>
    <x v="1"/>
    <x v="8"/>
    <n v="2.6549999999999998"/>
    <n v="1"/>
    <n v="0.7"/>
    <n v="-1.8585"/>
  </r>
  <r>
    <s v="Standard Class"/>
    <x v="0"/>
    <s v="United States"/>
    <s v="Los Angeles"/>
    <x v="1"/>
    <n v="90049"/>
    <x v="1"/>
    <x v="1"/>
    <x v="4"/>
    <n v="892.35"/>
    <n v="5"/>
    <n v="0"/>
    <n v="267.70499999999998"/>
  </r>
  <r>
    <s v="Standard Class"/>
    <x v="0"/>
    <s v="United States"/>
    <s v="Los Angeles"/>
    <x v="1"/>
    <n v="90049"/>
    <x v="1"/>
    <x v="0"/>
    <x v="0"/>
    <n v="307.666"/>
    <n v="2"/>
    <n v="0.15"/>
    <n v="28.956800000000001"/>
  </r>
  <r>
    <s v="Standard Class"/>
    <x v="0"/>
    <s v="United States"/>
    <s v="Los Angeles"/>
    <x v="1"/>
    <n v="90049"/>
    <x v="1"/>
    <x v="1"/>
    <x v="4"/>
    <n v="728.82"/>
    <n v="9"/>
    <n v="0"/>
    <n v="29.152799999999999"/>
  </r>
  <r>
    <s v="Standard Class"/>
    <x v="0"/>
    <s v="United States"/>
    <s v="Los Angeles"/>
    <x v="1"/>
    <n v="90049"/>
    <x v="1"/>
    <x v="1"/>
    <x v="8"/>
    <n v="41.36"/>
    <n v="5"/>
    <n v="0.2"/>
    <n v="13.959"/>
  </r>
  <r>
    <s v="Standard Class"/>
    <x v="0"/>
    <s v="United States"/>
    <s v="Los Angeles"/>
    <x v="1"/>
    <n v="90049"/>
    <x v="1"/>
    <x v="2"/>
    <x v="7"/>
    <n v="43.176000000000002"/>
    <n v="3"/>
    <n v="0.2"/>
    <n v="15.111599999999999"/>
  </r>
  <r>
    <s v="Standard Class"/>
    <x v="0"/>
    <s v="United States"/>
    <s v="Los Angeles"/>
    <x v="1"/>
    <n v="90049"/>
    <x v="1"/>
    <x v="0"/>
    <x v="5"/>
    <n v="4.16"/>
    <n v="2"/>
    <n v="0"/>
    <n v="1.7472000000000001"/>
  </r>
  <r>
    <s v="Standard Class"/>
    <x v="1"/>
    <s v="United States"/>
    <s v="Long Beach"/>
    <x v="15"/>
    <n v="11561"/>
    <x v="3"/>
    <x v="1"/>
    <x v="10"/>
    <n v="61.4"/>
    <n v="5"/>
    <n v="0"/>
    <n v="28.858000000000001"/>
  </r>
  <r>
    <s v="Standard Class"/>
    <x v="1"/>
    <s v="United States"/>
    <s v="Long Beach"/>
    <x v="15"/>
    <n v="11561"/>
    <x v="3"/>
    <x v="1"/>
    <x v="8"/>
    <n v="24.448"/>
    <n v="2"/>
    <n v="0.2"/>
    <n v="8.8623999999999992"/>
  </r>
  <r>
    <s v="First Class"/>
    <x v="0"/>
    <s v="United States"/>
    <s v="Rochester"/>
    <x v="15"/>
    <n v="14609"/>
    <x v="3"/>
    <x v="2"/>
    <x v="7"/>
    <n v="263.95999999999998"/>
    <n v="4"/>
    <n v="0"/>
    <n v="71.269199999999998"/>
  </r>
  <r>
    <s v="First Class"/>
    <x v="0"/>
    <s v="United States"/>
    <s v="Rochester"/>
    <x v="15"/>
    <n v="14609"/>
    <x v="3"/>
    <x v="2"/>
    <x v="7"/>
    <n v="359.97"/>
    <n v="3"/>
    <n v="0"/>
    <n v="100.7916"/>
  </r>
  <r>
    <s v="First Class"/>
    <x v="0"/>
    <s v="United States"/>
    <s v="Rochester"/>
    <x v="15"/>
    <n v="14609"/>
    <x v="3"/>
    <x v="1"/>
    <x v="10"/>
    <n v="12.96"/>
    <n v="2"/>
    <n v="0"/>
    <n v="6.2207999999999997"/>
  </r>
  <r>
    <s v="First Class"/>
    <x v="0"/>
    <s v="United States"/>
    <s v="Rochester"/>
    <x v="15"/>
    <n v="14609"/>
    <x v="3"/>
    <x v="1"/>
    <x v="4"/>
    <n v="116.82"/>
    <n v="3"/>
    <n v="0"/>
    <n v="5.8410000000000002"/>
  </r>
  <r>
    <s v="First Class"/>
    <x v="0"/>
    <s v="United States"/>
    <s v="Rochester"/>
    <x v="15"/>
    <n v="14609"/>
    <x v="3"/>
    <x v="1"/>
    <x v="8"/>
    <n v="276.78399999999999"/>
    <n v="2"/>
    <n v="0.2"/>
    <n v="89.954800000000006"/>
  </r>
  <r>
    <s v="Standard Class"/>
    <x v="1"/>
    <s v="United States"/>
    <s v="San Francisco"/>
    <x v="1"/>
    <n v="94109"/>
    <x v="1"/>
    <x v="2"/>
    <x v="11"/>
    <n v="239.97"/>
    <n v="3"/>
    <n v="0"/>
    <n v="86.389200000000002"/>
  </r>
  <r>
    <s v="Standard Class"/>
    <x v="1"/>
    <s v="United States"/>
    <s v="San Francisco"/>
    <x v="1"/>
    <n v="94109"/>
    <x v="1"/>
    <x v="0"/>
    <x v="5"/>
    <n v="16.02"/>
    <n v="6"/>
    <n v="0"/>
    <n v="6.0876000000000001"/>
  </r>
  <r>
    <s v="Standard Class"/>
    <x v="0"/>
    <s v="United States"/>
    <s v="Huntsville"/>
    <x v="5"/>
    <n v="77340"/>
    <x v="2"/>
    <x v="1"/>
    <x v="4"/>
    <n v="454.56"/>
    <n v="5"/>
    <n v="0.2"/>
    <n v="-107.958"/>
  </r>
  <r>
    <s v="Standard Class"/>
    <x v="0"/>
    <s v="United States"/>
    <s v="Huntsville"/>
    <x v="5"/>
    <n v="77340"/>
    <x v="2"/>
    <x v="0"/>
    <x v="5"/>
    <n v="141.41999999999999"/>
    <n v="5"/>
    <n v="0.6"/>
    <n v="-187.38149999999999"/>
  </r>
  <r>
    <s v="Standard Class"/>
    <x v="0"/>
    <s v="United States"/>
    <s v="Huntsville"/>
    <x v="5"/>
    <n v="77340"/>
    <x v="2"/>
    <x v="0"/>
    <x v="1"/>
    <n v="310.74400000000003"/>
    <n v="4"/>
    <n v="0.3"/>
    <n v="-26.635200000000001"/>
  </r>
  <r>
    <s v="Standard Class"/>
    <x v="0"/>
    <s v="United States"/>
    <s v="Huntsville"/>
    <x v="5"/>
    <n v="77340"/>
    <x v="2"/>
    <x v="1"/>
    <x v="6"/>
    <n v="12.736000000000001"/>
    <n v="4"/>
    <n v="0.2"/>
    <n v="2.2288000000000001"/>
  </r>
  <r>
    <s v="Standard Class"/>
    <x v="0"/>
    <s v="United States"/>
    <s v="Huntsville"/>
    <x v="5"/>
    <n v="77340"/>
    <x v="2"/>
    <x v="1"/>
    <x v="8"/>
    <n v="6.47"/>
    <n v="5"/>
    <n v="0.8"/>
    <n v="-9.7050000000000001"/>
  </r>
  <r>
    <s v="Standard Class"/>
    <x v="0"/>
    <s v="United States"/>
    <s v="Huntsville"/>
    <x v="5"/>
    <n v="77340"/>
    <x v="2"/>
    <x v="1"/>
    <x v="8"/>
    <n v="13.747999999999999"/>
    <n v="14"/>
    <n v="0.8"/>
    <n v="-22.684200000000001"/>
  </r>
  <r>
    <s v="Standard Class"/>
    <x v="0"/>
    <s v="United States"/>
    <s v="Huntsville"/>
    <x v="5"/>
    <n v="77340"/>
    <x v="2"/>
    <x v="1"/>
    <x v="9"/>
    <n v="15.224"/>
    <n v="2"/>
    <n v="0.8"/>
    <n v="-38.821199999999997"/>
  </r>
  <r>
    <s v="Standard Class"/>
    <x v="1"/>
    <s v="United States"/>
    <s v="East Point"/>
    <x v="32"/>
    <n v="30344"/>
    <x v="0"/>
    <x v="0"/>
    <x v="5"/>
    <n v="27.42"/>
    <n v="3"/>
    <n v="0"/>
    <n v="9.3228000000000009"/>
  </r>
  <r>
    <s v="Standard Class"/>
    <x v="1"/>
    <s v="United States"/>
    <s v="East Point"/>
    <x v="32"/>
    <n v="30344"/>
    <x v="0"/>
    <x v="1"/>
    <x v="8"/>
    <n v="165.98"/>
    <n v="1"/>
    <n v="0"/>
    <n v="74.691000000000003"/>
  </r>
  <r>
    <s v="Standard Class"/>
    <x v="1"/>
    <s v="United States"/>
    <s v="East Point"/>
    <x v="32"/>
    <n v="30344"/>
    <x v="0"/>
    <x v="2"/>
    <x v="11"/>
    <n v="75"/>
    <n v="3"/>
    <n v="0"/>
    <n v="18"/>
  </r>
  <r>
    <s v="Standard Class"/>
    <x v="2"/>
    <s v="United States"/>
    <s v="New York City"/>
    <x v="15"/>
    <n v="10009"/>
    <x v="3"/>
    <x v="1"/>
    <x v="8"/>
    <n v="134.27199999999999"/>
    <n v="8"/>
    <n v="0.2"/>
    <n v="46.995199999999997"/>
  </r>
  <r>
    <s v="Standard Class"/>
    <x v="1"/>
    <s v="United States"/>
    <s v="Springfield"/>
    <x v="21"/>
    <n v="97477"/>
    <x v="1"/>
    <x v="1"/>
    <x v="2"/>
    <n v="146.54400000000001"/>
    <n v="6"/>
    <n v="0.2"/>
    <n v="47.626800000000003"/>
  </r>
  <r>
    <s v="Standard Class"/>
    <x v="1"/>
    <s v="United States"/>
    <s v="Springfield"/>
    <x v="21"/>
    <n v="97477"/>
    <x v="1"/>
    <x v="1"/>
    <x v="10"/>
    <n v="131.904"/>
    <n v="3"/>
    <n v="0.2"/>
    <n v="47.815199999999997"/>
  </r>
  <r>
    <s v="Standard Class"/>
    <x v="1"/>
    <s v="United States"/>
    <s v="Springfield"/>
    <x v="21"/>
    <n v="97477"/>
    <x v="1"/>
    <x v="1"/>
    <x v="9"/>
    <n v="203.88"/>
    <n v="5"/>
    <n v="0.2"/>
    <n v="20.388000000000002"/>
  </r>
  <r>
    <s v="Standard Class"/>
    <x v="1"/>
    <s v="United States"/>
    <s v="Springfield"/>
    <x v="21"/>
    <n v="97477"/>
    <x v="1"/>
    <x v="1"/>
    <x v="8"/>
    <n v="14.301"/>
    <n v="7"/>
    <n v="0.7"/>
    <n v="-10.487399999999999"/>
  </r>
  <r>
    <s v="Standard Class"/>
    <x v="1"/>
    <s v="United States"/>
    <s v="Springfield"/>
    <x v="21"/>
    <n v="97477"/>
    <x v="1"/>
    <x v="1"/>
    <x v="4"/>
    <n v="718.64"/>
    <n v="10"/>
    <n v="0.2"/>
    <n v="-161.69399999999999"/>
  </r>
  <r>
    <s v="Standard Class"/>
    <x v="2"/>
    <s v="United States"/>
    <s v="Arlington"/>
    <x v="17"/>
    <n v="22204"/>
    <x v="0"/>
    <x v="0"/>
    <x v="5"/>
    <n v="61.1"/>
    <n v="5"/>
    <n v="0"/>
    <n v="18.329999999999998"/>
  </r>
  <r>
    <s v="Standard Class"/>
    <x v="0"/>
    <s v="United States"/>
    <s v="Wilmington"/>
    <x v="3"/>
    <n v="28403"/>
    <x v="0"/>
    <x v="1"/>
    <x v="9"/>
    <n v="28.08"/>
    <n v="3"/>
    <n v="0.2"/>
    <n v="5.2649999999999997"/>
  </r>
  <r>
    <s v="Second Class"/>
    <x v="1"/>
    <s v="United States"/>
    <s v="Yuma"/>
    <x v="16"/>
    <n v="85364"/>
    <x v="1"/>
    <x v="1"/>
    <x v="6"/>
    <n v="10.496"/>
    <n v="4"/>
    <n v="0.2"/>
    <n v="1.1808000000000001"/>
  </r>
  <r>
    <s v="Standard Class"/>
    <x v="0"/>
    <s v="United States"/>
    <s v="San Bernardino"/>
    <x v="1"/>
    <n v="92404"/>
    <x v="1"/>
    <x v="1"/>
    <x v="8"/>
    <n v="39.92"/>
    <n v="2"/>
    <n v="0.2"/>
    <n v="12.974"/>
  </r>
  <r>
    <s v="First Class"/>
    <x v="1"/>
    <s v="United States"/>
    <s v="Baltimore"/>
    <x v="39"/>
    <n v="21215"/>
    <x v="3"/>
    <x v="1"/>
    <x v="9"/>
    <n v="77.58"/>
    <n v="9"/>
    <n v="0"/>
    <n v="20.1708"/>
  </r>
  <r>
    <s v="Standard Class"/>
    <x v="2"/>
    <s v="United States"/>
    <s v="Seattle"/>
    <x v="4"/>
    <n v="98103"/>
    <x v="1"/>
    <x v="1"/>
    <x v="4"/>
    <n v="269.36"/>
    <n v="7"/>
    <n v="0"/>
    <n v="70.033600000000007"/>
  </r>
  <r>
    <s v="Standard Class"/>
    <x v="0"/>
    <s v="United States"/>
    <s v="San Francisco"/>
    <x v="1"/>
    <n v="94110"/>
    <x v="1"/>
    <x v="1"/>
    <x v="2"/>
    <n v="5.76"/>
    <n v="2"/>
    <n v="0"/>
    <n v="2.8224"/>
  </r>
  <r>
    <s v="Second Class"/>
    <x v="2"/>
    <s v="United States"/>
    <s v="New York City"/>
    <x v="15"/>
    <n v="10035"/>
    <x v="3"/>
    <x v="1"/>
    <x v="6"/>
    <n v="109.9"/>
    <n v="5"/>
    <n v="0"/>
    <n v="32.97"/>
  </r>
  <r>
    <s v="Second Class"/>
    <x v="0"/>
    <s v="United States"/>
    <s v="Seattle"/>
    <x v="4"/>
    <n v="98115"/>
    <x v="1"/>
    <x v="0"/>
    <x v="5"/>
    <n v="23.88"/>
    <n v="3"/>
    <n v="0"/>
    <n v="10.507199999999999"/>
  </r>
  <r>
    <s v="Second Class"/>
    <x v="0"/>
    <s v="United States"/>
    <s v="Seattle"/>
    <x v="4"/>
    <n v="98115"/>
    <x v="1"/>
    <x v="1"/>
    <x v="10"/>
    <n v="26.2"/>
    <n v="4"/>
    <n v="0"/>
    <n v="12.052"/>
  </r>
  <r>
    <s v="Second Class"/>
    <x v="0"/>
    <s v="United States"/>
    <s v="Seattle"/>
    <x v="4"/>
    <n v="98115"/>
    <x v="1"/>
    <x v="1"/>
    <x v="10"/>
    <n v="12.96"/>
    <n v="2"/>
    <n v="0"/>
    <n v="6.2207999999999997"/>
  </r>
  <r>
    <s v="Second Class"/>
    <x v="0"/>
    <s v="United States"/>
    <s v="Seattle"/>
    <x v="4"/>
    <n v="98115"/>
    <x v="1"/>
    <x v="2"/>
    <x v="11"/>
    <n v="234.95"/>
    <n v="5"/>
    <n v="0"/>
    <n v="32.893000000000001"/>
  </r>
  <r>
    <s v="Standard Class"/>
    <x v="0"/>
    <s v="United States"/>
    <s v="Albuquerque"/>
    <x v="27"/>
    <n v="87105"/>
    <x v="1"/>
    <x v="1"/>
    <x v="4"/>
    <n v="118.25"/>
    <n v="5"/>
    <n v="0"/>
    <n v="34.292499999999997"/>
  </r>
  <r>
    <s v="Standard Class"/>
    <x v="0"/>
    <s v="United States"/>
    <s v="Albuquerque"/>
    <x v="27"/>
    <n v="87105"/>
    <x v="1"/>
    <x v="1"/>
    <x v="10"/>
    <n v="4.28"/>
    <n v="1"/>
    <n v="0"/>
    <n v="1.9259999999999999"/>
  </r>
  <r>
    <s v="First Class"/>
    <x v="2"/>
    <s v="United States"/>
    <s v="Los Angeles"/>
    <x v="1"/>
    <n v="90045"/>
    <x v="1"/>
    <x v="2"/>
    <x v="11"/>
    <n v="26.85"/>
    <n v="3"/>
    <n v="0"/>
    <n v="5.1014999999999997"/>
  </r>
  <r>
    <s v="First Class"/>
    <x v="2"/>
    <s v="United States"/>
    <s v="Los Angeles"/>
    <x v="1"/>
    <n v="90045"/>
    <x v="1"/>
    <x v="2"/>
    <x v="15"/>
    <n v="3357.6"/>
    <n v="3"/>
    <n v="0.2"/>
    <n v="377.73"/>
  </r>
  <r>
    <s v="Standard Class"/>
    <x v="0"/>
    <s v="United States"/>
    <s v="Los Angeles"/>
    <x v="1"/>
    <n v="90045"/>
    <x v="1"/>
    <x v="1"/>
    <x v="2"/>
    <n v="8.26"/>
    <n v="2"/>
    <n v="0"/>
    <n v="3.7995999999999999"/>
  </r>
  <r>
    <s v="Standard Class"/>
    <x v="0"/>
    <s v="United States"/>
    <s v="Los Angeles"/>
    <x v="1"/>
    <n v="90045"/>
    <x v="1"/>
    <x v="2"/>
    <x v="15"/>
    <n v="2973.32"/>
    <n v="7"/>
    <n v="0.2"/>
    <n v="334.49849999999998"/>
  </r>
  <r>
    <s v="Standard Class"/>
    <x v="0"/>
    <s v="United States"/>
    <s v="Los Angeles"/>
    <x v="1"/>
    <n v="90045"/>
    <x v="1"/>
    <x v="1"/>
    <x v="4"/>
    <n v="104.79"/>
    <n v="7"/>
    <n v="0"/>
    <n v="29.341200000000001"/>
  </r>
  <r>
    <s v="Standard Class"/>
    <x v="0"/>
    <s v="United States"/>
    <s v="Los Angeles"/>
    <x v="1"/>
    <n v="90045"/>
    <x v="1"/>
    <x v="2"/>
    <x v="7"/>
    <n v="775.72799999999995"/>
    <n v="6"/>
    <n v="0.2"/>
    <n v="58.179600000000001"/>
  </r>
  <r>
    <s v="First Class"/>
    <x v="2"/>
    <s v="United States"/>
    <s v="Houston"/>
    <x v="5"/>
    <n v="77041"/>
    <x v="2"/>
    <x v="0"/>
    <x v="0"/>
    <n v="89.066400000000002"/>
    <n v="1"/>
    <n v="0.32"/>
    <n v="-17.0274"/>
  </r>
  <r>
    <s v="First Class"/>
    <x v="2"/>
    <s v="United States"/>
    <s v="Houston"/>
    <x v="5"/>
    <n v="77041"/>
    <x v="2"/>
    <x v="1"/>
    <x v="6"/>
    <n v="175.44"/>
    <n v="6"/>
    <n v="0.2"/>
    <n v="52.631999999999998"/>
  </r>
  <r>
    <s v="First Class"/>
    <x v="2"/>
    <s v="United States"/>
    <s v="Houston"/>
    <x v="5"/>
    <n v="77041"/>
    <x v="2"/>
    <x v="2"/>
    <x v="7"/>
    <n v="438.33600000000001"/>
    <n v="4"/>
    <n v="0.2"/>
    <n v="-87.667199999999994"/>
  </r>
  <r>
    <s v="Standard Class"/>
    <x v="0"/>
    <s v="United States"/>
    <s v="Philadelphia"/>
    <x v="9"/>
    <n v="19140"/>
    <x v="3"/>
    <x v="0"/>
    <x v="1"/>
    <n v="215.54400000000001"/>
    <n v="4"/>
    <n v="0.3"/>
    <n v="-58.504800000000003"/>
  </r>
  <r>
    <s v="Standard Class"/>
    <x v="0"/>
    <s v="United States"/>
    <s v="Chicago"/>
    <x v="10"/>
    <n v="60623"/>
    <x v="2"/>
    <x v="1"/>
    <x v="12"/>
    <n v="55.584000000000003"/>
    <n v="6"/>
    <n v="0.2"/>
    <n v="20.844000000000001"/>
  </r>
  <r>
    <s v="Standard Class"/>
    <x v="0"/>
    <s v="United States"/>
    <s v="Chicago"/>
    <x v="10"/>
    <n v="60623"/>
    <x v="2"/>
    <x v="0"/>
    <x v="1"/>
    <n v="127.386"/>
    <n v="2"/>
    <n v="0.3"/>
    <n v="-25.4772"/>
  </r>
  <r>
    <s v="Second Class"/>
    <x v="0"/>
    <s v="United States"/>
    <s v="San Angelo"/>
    <x v="5"/>
    <n v="76903"/>
    <x v="2"/>
    <x v="0"/>
    <x v="1"/>
    <n v="248.43"/>
    <n v="5"/>
    <n v="0.3"/>
    <n v="-17.745000000000001"/>
  </r>
  <r>
    <s v="Second Class"/>
    <x v="0"/>
    <s v="United States"/>
    <s v="San Angelo"/>
    <x v="5"/>
    <n v="76903"/>
    <x v="2"/>
    <x v="1"/>
    <x v="9"/>
    <n v="11.648"/>
    <n v="4"/>
    <n v="0.8"/>
    <n v="-30.8672"/>
  </r>
  <r>
    <s v="Second Class"/>
    <x v="0"/>
    <s v="United States"/>
    <s v="San Angelo"/>
    <x v="5"/>
    <n v="76903"/>
    <x v="2"/>
    <x v="0"/>
    <x v="1"/>
    <n v="85.245999999999995"/>
    <n v="2"/>
    <n v="0.3"/>
    <n v="-1.2178"/>
  </r>
  <r>
    <s v="Second Class"/>
    <x v="1"/>
    <s v="United States"/>
    <s v="Pasadena"/>
    <x v="5"/>
    <n v="77506"/>
    <x v="2"/>
    <x v="1"/>
    <x v="6"/>
    <n v="20.64"/>
    <n v="5"/>
    <n v="0.2"/>
    <n v="2.3220000000000001"/>
  </r>
  <r>
    <s v="Standard Class"/>
    <x v="1"/>
    <s v="United States"/>
    <s v="Los Angeles"/>
    <x v="1"/>
    <n v="90049"/>
    <x v="1"/>
    <x v="0"/>
    <x v="5"/>
    <n v="148.02000000000001"/>
    <n v="3"/>
    <n v="0"/>
    <n v="41.445599999999999"/>
  </r>
  <r>
    <s v="Same Day"/>
    <x v="1"/>
    <s v="United States"/>
    <s v="Garden City"/>
    <x v="41"/>
    <n v="67846"/>
    <x v="2"/>
    <x v="1"/>
    <x v="4"/>
    <n v="33.29"/>
    <n v="1"/>
    <n v="0"/>
    <n v="7.9896000000000003"/>
  </r>
  <r>
    <s v="Standard Class"/>
    <x v="0"/>
    <s v="United States"/>
    <s v="Los Angeles"/>
    <x v="1"/>
    <n v="90045"/>
    <x v="1"/>
    <x v="1"/>
    <x v="10"/>
    <n v="204.95"/>
    <n v="5"/>
    <n v="0"/>
    <n v="100.4255"/>
  </r>
  <r>
    <s v="Standard Class"/>
    <x v="0"/>
    <s v="United States"/>
    <s v="Chicago"/>
    <x v="10"/>
    <n v="60653"/>
    <x v="2"/>
    <x v="0"/>
    <x v="1"/>
    <n v="526.34400000000005"/>
    <n v="4"/>
    <n v="0.3"/>
    <n v="-75.191999999999993"/>
  </r>
  <r>
    <s v="Standard Class"/>
    <x v="0"/>
    <s v="United States"/>
    <s v="San Francisco"/>
    <x v="1"/>
    <n v="94110"/>
    <x v="1"/>
    <x v="0"/>
    <x v="5"/>
    <n v="41.96"/>
    <n v="2"/>
    <n v="0"/>
    <n v="10.909599999999999"/>
  </r>
  <r>
    <s v="Standard Class"/>
    <x v="0"/>
    <s v="United States"/>
    <s v="San Francisco"/>
    <x v="1"/>
    <n v="94110"/>
    <x v="1"/>
    <x v="0"/>
    <x v="1"/>
    <n v="451.15199999999999"/>
    <n v="3"/>
    <n v="0.2"/>
    <n v="0"/>
  </r>
  <r>
    <s v="Standard Class"/>
    <x v="0"/>
    <s v="United States"/>
    <s v="San Francisco"/>
    <x v="1"/>
    <n v="94110"/>
    <x v="1"/>
    <x v="1"/>
    <x v="8"/>
    <n v="31.504000000000001"/>
    <n v="11"/>
    <n v="0.2"/>
    <n v="11.026400000000001"/>
  </r>
  <r>
    <s v="Standard Class"/>
    <x v="0"/>
    <s v="United States"/>
    <s v="Philadelphia"/>
    <x v="9"/>
    <n v="19134"/>
    <x v="3"/>
    <x v="1"/>
    <x v="12"/>
    <n v="30.672000000000001"/>
    <n v="3"/>
    <n v="0.2"/>
    <n v="9.5850000000000009"/>
  </r>
  <r>
    <s v="Standard Class"/>
    <x v="0"/>
    <s v="United States"/>
    <s v="Philadelphia"/>
    <x v="9"/>
    <n v="19134"/>
    <x v="3"/>
    <x v="2"/>
    <x v="16"/>
    <n v="1079.9760000000001"/>
    <n v="4"/>
    <n v="0.4"/>
    <n v="125.99720000000001"/>
  </r>
  <r>
    <s v="Standard Class"/>
    <x v="0"/>
    <s v="United States"/>
    <s v="Modesto"/>
    <x v="1"/>
    <n v="95351"/>
    <x v="1"/>
    <x v="0"/>
    <x v="1"/>
    <n v="161.56800000000001"/>
    <n v="2"/>
    <n v="0.2"/>
    <n v="-28.2744"/>
  </r>
  <r>
    <s v="Standard Class"/>
    <x v="0"/>
    <s v="United States"/>
    <s v="Houston"/>
    <x v="5"/>
    <n v="77070"/>
    <x v="2"/>
    <x v="1"/>
    <x v="8"/>
    <n v="2.9340000000000002"/>
    <n v="3"/>
    <n v="0.8"/>
    <n v="-4.9878"/>
  </r>
  <r>
    <s v="Standard Class"/>
    <x v="0"/>
    <s v="United States"/>
    <s v="Houston"/>
    <x v="5"/>
    <n v="77070"/>
    <x v="2"/>
    <x v="2"/>
    <x v="11"/>
    <n v="18.527999999999999"/>
    <n v="2"/>
    <n v="0.2"/>
    <n v="4.4004000000000003"/>
  </r>
  <r>
    <s v="Standard Class"/>
    <x v="0"/>
    <s v="United States"/>
    <s v="Houston"/>
    <x v="5"/>
    <n v="77070"/>
    <x v="2"/>
    <x v="1"/>
    <x v="4"/>
    <n v="670.75199999999995"/>
    <n v="3"/>
    <n v="0.2"/>
    <n v="-125.76600000000001"/>
  </r>
  <r>
    <s v="Standard Class"/>
    <x v="0"/>
    <s v="United States"/>
    <s v="Chicago"/>
    <x v="10"/>
    <n v="60610"/>
    <x v="2"/>
    <x v="0"/>
    <x v="5"/>
    <n v="64.959999999999994"/>
    <n v="5"/>
    <n v="0.6"/>
    <n v="-43.847999999999999"/>
  </r>
  <r>
    <s v="First Class"/>
    <x v="1"/>
    <s v="United States"/>
    <s v="Riverside"/>
    <x v="1"/>
    <n v="92503"/>
    <x v="1"/>
    <x v="2"/>
    <x v="11"/>
    <n v="41.94"/>
    <n v="2"/>
    <n v="0"/>
    <n v="15.0984"/>
  </r>
  <r>
    <s v="First Class"/>
    <x v="1"/>
    <s v="United States"/>
    <s v="Riverside"/>
    <x v="1"/>
    <n v="92503"/>
    <x v="1"/>
    <x v="1"/>
    <x v="10"/>
    <n v="11.96"/>
    <n v="2"/>
    <n v="0"/>
    <n v="5.8604000000000003"/>
  </r>
  <r>
    <s v="First Class"/>
    <x v="1"/>
    <s v="United States"/>
    <s v="Riverside"/>
    <x v="1"/>
    <n v="92503"/>
    <x v="1"/>
    <x v="1"/>
    <x v="6"/>
    <n v="13.12"/>
    <n v="4"/>
    <n v="0"/>
    <n v="3.8048000000000002"/>
  </r>
  <r>
    <s v="First Class"/>
    <x v="1"/>
    <s v="United States"/>
    <s v="Riverside"/>
    <x v="1"/>
    <n v="92503"/>
    <x v="1"/>
    <x v="1"/>
    <x v="4"/>
    <n v="535.41"/>
    <n v="3"/>
    <n v="0"/>
    <n v="160.62299999999999"/>
  </r>
  <r>
    <s v="Standard Class"/>
    <x v="1"/>
    <s v="United States"/>
    <s v="Dallas"/>
    <x v="5"/>
    <n v="75081"/>
    <x v="2"/>
    <x v="0"/>
    <x v="5"/>
    <n v="72.78"/>
    <n v="3"/>
    <n v="0.6"/>
    <n v="-70.960499999999996"/>
  </r>
  <r>
    <s v="Standard Class"/>
    <x v="0"/>
    <s v="United States"/>
    <s v="Los Angeles"/>
    <x v="1"/>
    <n v="90008"/>
    <x v="1"/>
    <x v="1"/>
    <x v="10"/>
    <n v="36.840000000000003"/>
    <n v="3"/>
    <n v="0"/>
    <n v="17.314800000000002"/>
  </r>
  <r>
    <s v="Standard Class"/>
    <x v="0"/>
    <s v="United States"/>
    <s v="Los Angeles"/>
    <x v="1"/>
    <n v="90008"/>
    <x v="1"/>
    <x v="1"/>
    <x v="2"/>
    <n v="87.71"/>
    <n v="7"/>
    <n v="0"/>
    <n v="41.223700000000001"/>
  </r>
  <r>
    <s v="Standard Class"/>
    <x v="1"/>
    <s v="United States"/>
    <s v="Lakeland"/>
    <x v="2"/>
    <n v="33801"/>
    <x v="0"/>
    <x v="0"/>
    <x v="3"/>
    <n v="562.29250000000002"/>
    <n v="7"/>
    <n v="0.45"/>
    <n v="-255.58750000000001"/>
  </r>
  <r>
    <s v="Standard Class"/>
    <x v="2"/>
    <s v="United States"/>
    <s v="New York City"/>
    <x v="15"/>
    <n v="10035"/>
    <x v="3"/>
    <x v="0"/>
    <x v="5"/>
    <n v="56.52"/>
    <n v="9"/>
    <n v="0"/>
    <n v="21.477599999999999"/>
  </r>
  <r>
    <s v="Standard Class"/>
    <x v="2"/>
    <s v="United States"/>
    <s v="Philadelphia"/>
    <x v="9"/>
    <n v="19140"/>
    <x v="3"/>
    <x v="1"/>
    <x v="6"/>
    <n v="11.263999999999999"/>
    <n v="8"/>
    <n v="0.2"/>
    <n v="1.2672000000000001"/>
  </r>
  <r>
    <s v="Standard Class"/>
    <x v="2"/>
    <s v="United States"/>
    <s v="Philadelphia"/>
    <x v="9"/>
    <n v="19140"/>
    <x v="3"/>
    <x v="1"/>
    <x v="4"/>
    <n v="284.08"/>
    <n v="10"/>
    <n v="0.2"/>
    <n v="24.856999999999999"/>
  </r>
  <r>
    <s v="Standard Class"/>
    <x v="2"/>
    <s v="United States"/>
    <s v="Philadelphia"/>
    <x v="9"/>
    <n v="19140"/>
    <x v="3"/>
    <x v="1"/>
    <x v="10"/>
    <n v="18.495999999999999"/>
    <n v="4"/>
    <n v="0.2"/>
    <n v="6.7047999999999996"/>
  </r>
  <r>
    <s v="Standard Class"/>
    <x v="0"/>
    <s v="United States"/>
    <s v="San Diego"/>
    <x v="1"/>
    <n v="92037"/>
    <x v="1"/>
    <x v="1"/>
    <x v="2"/>
    <n v="14.73"/>
    <n v="3"/>
    <n v="0"/>
    <n v="7.2176999999999998"/>
  </r>
  <r>
    <s v="Standard Class"/>
    <x v="0"/>
    <s v="United States"/>
    <s v="San Diego"/>
    <x v="1"/>
    <n v="92037"/>
    <x v="1"/>
    <x v="1"/>
    <x v="4"/>
    <n v="186.54"/>
    <n v="3"/>
    <n v="0"/>
    <n v="50.3658"/>
  </r>
  <r>
    <s v="Standard Class"/>
    <x v="0"/>
    <s v="United States"/>
    <s v="San Diego"/>
    <x v="1"/>
    <n v="92037"/>
    <x v="1"/>
    <x v="0"/>
    <x v="3"/>
    <n v="557.72799999999995"/>
    <n v="4"/>
    <n v="0.2"/>
    <n v="6.9715999999999996"/>
  </r>
  <r>
    <s v="Standard Class"/>
    <x v="0"/>
    <s v="United States"/>
    <s v="San Diego"/>
    <x v="1"/>
    <n v="92037"/>
    <x v="1"/>
    <x v="2"/>
    <x v="7"/>
    <n v="159.96799999999999"/>
    <n v="4"/>
    <n v="0.2"/>
    <n v="-31.993600000000001"/>
  </r>
  <r>
    <s v="Standard Class"/>
    <x v="0"/>
    <s v="United States"/>
    <s v="Lawton"/>
    <x v="26"/>
    <n v="73505"/>
    <x v="2"/>
    <x v="1"/>
    <x v="9"/>
    <n v="471.9"/>
    <n v="6"/>
    <n v="0"/>
    <n v="155.727"/>
  </r>
  <r>
    <s v="Standard Class"/>
    <x v="0"/>
    <s v="United States"/>
    <s v="Lawton"/>
    <x v="26"/>
    <n v="73505"/>
    <x v="2"/>
    <x v="1"/>
    <x v="6"/>
    <n v="3.52"/>
    <n v="2"/>
    <n v="0"/>
    <n v="1.6896"/>
  </r>
  <r>
    <s v="Standard Class"/>
    <x v="0"/>
    <s v="United States"/>
    <s v="Salem"/>
    <x v="17"/>
    <n v="24153"/>
    <x v="0"/>
    <x v="1"/>
    <x v="10"/>
    <n v="49.12"/>
    <n v="4"/>
    <n v="0"/>
    <n v="23.086400000000001"/>
  </r>
  <r>
    <s v="Standard Class"/>
    <x v="2"/>
    <s v="United States"/>
    <s v="Santa Ana"/>
    <x v="1"/>
    <n v="92704"/>
    <x v="1"/>
    <x v="1"/>
    <x v="2"/>
    <n v="20.16"/>
    <n v="7"/>
    <n v="0"/>
    <n v="9.8783999999999992"/>
  </r>
  <r>
    <s v="First Class"/>
    <x v="1"/>
    <s v="United States"/>
    <s v="Rapid City"/>
    <x v="44"/>
    <n v="57701"/>
    <x v="2"/>
    <x v="1"/>
    <x v="8"/>
    <n v="10.68"/>
    <n v="2"/>
    <n v="0"/>
    <n v="5.0195999999999996"/>
  </r>
  <r>
    <s v="First Class"/>
    <x v="1"/>
    <s v="United States"/>
    <s v="Rapid City"/>
    <x v="44"/>
    <n v="57701"/>
    <x v="2"/>
    <x v="0"/>
    <x v="0"/>
    <n v="141.96"/>
    <n v="2"/>
    <n v="0"/>
    <n v="39.748800000000003"/>
  </r>
  <r>
    <s v="First Class"/>
    <x v="0"/>
    <s v="United States"/>
    <s v="Seattle"/>
    <x v="4"/>
    <n v="98115"/>
    <x v="1"/>
    <x v="1"/>
    <x v="4"/>
    <n v="32.479999999999997"/>
    <n v="2"/>
    <n v="0"/>
    <n v="4.8719999999999999"/>
  </r>
  <r>
    <s v="First Class"/>
    <x v="0"/>
    <s v="United States"/>
    <s v="Seattle"/>
    <x v="4"/>
    <n v="98115"/>
    <x v="1"/>
    <x v="1"/>
    <x v="10"/>
    <n v="20.04"/>
    <n v="3"/>
    <n v="0"/>
    <n v="9.6191999999999993"/>
  </r>
  <r>
    <s v="First Class"/>
    <x v="0"/>
    <s v="United States"/>
    <s v="Seattle"/>
    <x v="4"/>
    <n v="98115"/>
    <x v="1"/>
    <x v="2"/>
    <x v="16"/>
    <n v="13999.96"/>
    <n v="4"/>
    <n v="0"/>
    <n v="6719.9808000000003"/>
  </r>
  <r>
    <s v="Standard Class"/>
    <x v="0"/>
    <s v="United States"/>
    <s v="Middletown"/>
    <x v="29"/>
    <n v="6457"/>
    <x v="3"/>
    <x v="2"/>
    <x v="11"/>
    <n v="238"/>
    <n v="2"/>
    <n v="0"/>
    <n v="38.08"/>
  </r>
  <r>
    <s v="Standard Class"/>
    <x v="0"/>
    <s v="United States"/>
    <s v="Middletown"/>
    <x v="29"/>
    <n v="6457"/>
    <x v="3"/>
    <x v="1"/>
    <x v="10"/>
    <n v="61.96"/>
    <n v="2"/>
    <n v="0"/>
    <n v="27.882000000000001"/>
  </r>
  <r>
    <s v="Standard Class"/>
    <x v="0"/>
    <s v="United States"/>
    <s v="Baltimore"/>
    <x v="39"/>
    <n v="21215"/>
    <x v="3"/>
    <x v="0"/>
    <x v="3"/>
    <n v="239.37200000000001"/>
    <n v="2"/>
    <n v="0.3"/>
    <n v="-23.937200000000001"/>
  </r>
  <r>
    <s v="Standard Class"/>
    <x v="0"/>
    <s v="United States"/>
    <s v="San Diego"/>
    <x v="1"/>
    <n v="92105"/>
    <x v="1"/>
    <x v="2"/>
    <x v="11"/>
    <n v="595"/>
    <n v="5"/>
    <n v="0"/>
    <n v="95.2"/>
  </r>
  <r>
    <s v="Standard Class"/>
    <x v="1"/>
    <s v="United States"/>
    <s v="Odessa"/>
    <x v="5"/>
    <n v="79762"/>
    <x v="2"/>
    <x v="1"/>
    <x v="10"/>
    <n v="16.032"/>
    <n v="3"/>
    <n v="0.2"/>
    <n v="5.6112000000000002"/>
  </r>
  <r>
    <s v="Standard Class"/>
    <x v="2"/>
    <s v="United States"/>
    <s v="Milford"/>
    <x v="29"/>
    <n v="6460"/>
    <x v="3"/>
    <x v="2"/>
    <x v="11"/>
    <n v="199.75"/>
    <n v="5"/>
    <n v="0"/>
    <n v="87.89"/>
  </r>
  <r>
    <s v="Standard Class"/>
    <x v="0"/>
    <s v="United States"/>
    <s v="Belleville"/>
    <x v="30"/>
    <n v="7109"/>
    <x v="3"/>
    <x v="0"/>
    <x v="1"/>
    <n v="227.96"/>
    <n v="2"/>
    <n v="0"/>
    <n v="36.473599999999998"/>
  </r>
  <r>
    <s v="Second Class"/>
    <x v="0"/>
    <s v="United States"/>
    <s v="New York City"/>
    <x v="15"/>
    <n v="10035"/>
    <x v="3"/>
    <x v="1"/>
    <x v="9"/>
    <n v="293.52"/>
    <n v="6"/>
    <n v="0"/>
    <n v="76.315200000000004"/>
  </r>
  <r>
    <s v="Second Class"/>
    <x v="0"/>
    <s v="United States"/>
    <s v="New York City"/>
    <x v="15"/>
    <n v="10035"/>
    <x v="3"/>
    <x v="2"/>
    <x v="7"/>
    <n v="307.98"/>
    <n v="2"/>
    <n v="0"/>
    <n v="89.3142"/>
  </r>
  <r>
    <s v="Standard Class"/>
    <x v="0"/>
    <s v="United States"/>
    <s v="San Diego"/>
    <x v="1"/>
    <n v="92105"/>
    <x v="1"/>
    <x v="0"/>
    <x v="5"/>
    <n v="96.96"/>
    <n v="6"/>
    <n v="0"/>
    <n v="33.936"/>
  </r>
  <r>
    <s v="Standard Class"/>
    <x v="0"/>
    <s v="United States"/>
    <s v="San Diego"/>
    <x v="1"/>
    <n v="92105"/>
    <x v="1"/>
    <x v="1"/>
    <x v="8"/>
    <n v="117.488"/>
    <n v="7"/>
    <n v="0.2"/>
    <n v="41.120800000000003"/>
  </r>
  <r>
    <s v="Standard Class"/>
    <x v="0"/>
    <s v="United States"/>
    <s v="San Diego"/>
    <x v="1"/>
    <n v="92105"/>
    <x v="1"/>
    <x v="1"/>
    <x v="8"/>
    <n v="11.952"/>
    <n v="3"/>
    <n v="0.2"/>
    <n v="4.1832000000000003"/>
  </r>
  <r>
    <s v="Standard Class"/>
    <x v="0"/>
    <s v="United States"/>
    <s v="San Diego"/>
    <x v="1"/>
    <n v="92105"/>
    <x v="1"/>
    <x v="0"/>
    <x v="0"/>
    <n v="512.49900000000002"/>
    <n v="3"/>
    <n v="0.15"/>
    <n v="-30.146999999999998"/>
  </r>
  <r>
    <s v="Standard Class"/>
    <x v="1"/>
    <s v="United States"/>
    <s v="San Francisco"/>
    <x v="1"/>
    <n v="94122"/>
    <x v="1"/>
    <x v="0"/>
    <x v="3"/>
    <n v="863.12800000000004"/>
    <n v="7"/>
    <n v="0.2"/>
    <n v="-32.3673"/>
  </r>
  <r>
    <s v="Standard Class"/>
    <x v="2"/>
    <s v="United States"/>
    <s v="Seattle"/>
    <x v="4"/>
    <n v="98105"/>
    <x v="1"/>
    <x v="0"/>
    <x v="3"/>
    <n v="2036.86"/>
    <n v="7"/>
    <n v="0"/>
    <n v="366.63479999999998"/>
  </r>
  <r>
    <s v="Standard Class"/>
    <x v="2"/>
    <s v="United States"/>
    <s v="Seattle"/>
    <x v="4"/>
    <n v="98105"/>
    <x v="1"/>
    <x v="0"/>
    <x v="1"/>
    <n v="449.56799999999998"/>
    <n v="2"/>
    <n v="0.2"/>
    <n v="-73.0548"/>
  </r>
  <r>
    <s v="Standard Class"/>
    <x v="2"/>
    <s v="United States"/>
    <s v="Seattle"/>
    <x v="4"/>
    <n v="98105"/>
    <x v="1"/>
    <x v="2"/>
    <x v="11"/>
    <n v="108.96"/>
    <n v="3"/>
    <n v="0"/>
    <n v="32.688000000000002"/>
  </r>
  <r>
    <s v="Standard Class"/>
    <x v="0"/>
    <s v="United States"/>
    <s v="Jackson"/>
    <x v="35"/>
    <n v="39212"/>
    <x v="0"/>
    <x v="1"/>
    <x v="6"/>
    <n v="264.18"/>
    <n v="7"/>
    <n v="0"/>
    <n v="68.686800000000005"/>
  </r>
  <r>
    <s v="Standard Class"/>
    <x v="2"/>
    <s v="United States"/>
    <s v="Los Angeles"/>
    <x v="1"/>
    <n v="90049"/>
    <x v="1"/>
    <x v="1"/>
    <x v="2"/>
    <n v="2.88"/>
    <n v="1"/>
    <n v="0"/>
    <n v="1.4112"/>
  </r>
  <r>
    <s v="Standard Class"/>
    <x v="2"/>
    <s v="United States"/>
    <s v="Los Angeles"/>
    <x v="1"/>
    <n v="90049"/>
    <x v="1"/>
    <x v="1"/>
    <x v="8"/>
    <n v="41.904000000000003"/>
    <n v="6"/>
    <n v="0.2"/>
    <n v="14.1426"/>
  </r>
  <r>
    <s v="Standard Class"/>
    <x v="2"/>
    <s v="United States"/>
    <s v="Los Angeles"/>
    <x v="1"/>
    <n v="90049"/>
    <x v="1"/>
    <x v="1"/>
    <x v="4"/>
    <n v="23.92"/>
    <n v="4"/>
    <n v="0"/>
    <n v="4.0663999999999998"/>
  </r>
  <r>
    <s v="Standard Class"/>
    <x v="1"/>
    <s v="United States"/>
    <s v="Chicago"/>
    <x v="10"/>
    <n v="60623"/>
    <x v="2"/>
    <x v="1"/>
    <x v="10"/>
    <n v="156.512"/>
    <n v="4"/>
    <n v="0.2"/>
    <n v="52.822800000000001"/>
  </r>
  <r>
    <s v="First Class"/>
    <x v="2"/>
    <s v="United States"/>
    <s v="New York City"/>
    <x v="15"/>
    <n v="10035"/>
    <x v="3"/>
    <x v="1"/>
    <x v="4"/>
    <n v="128.34"/>
    <n v="6"/>
    <n v="0"/>
    <n v="37.218600000000002"/>
  </r>
  <r>
    <s v="First Class"/>
    <x v="0"/>
    <s v="United States"/>
    <s v="Los Angeles"/>
    <x v="1"/>
    <n v="90008"/>
    <x v="1"/>
    <x v="2"/>
    <x v="11"/>
    <n v="474.95"/>
    <n v="5"/>
    <n v="0"/>
    <n v="142.48500000000001"/>
  </r>
  <r>
    <s v="Standard Class"/>
    <x v="0"/>
    <s v="United States"/>
    <s v="Des Moines"/>
    <x v="4"/>
    <n v="98198"/>
    <x v="1"/>
    <x v="2"/>
    <x v="16"/>
    <n v="999.98"/>
    <n v="2"/>
    <n v="0"/>
    <n v="449.99099999999999"/>
  </r>
  <r>
    <s v="Standard Class"/>
    <x v="0"/>
    <s v="United States"/>
    <s v="Springfield"/>
    <x v="21"/>
    <n v="97477"/>
    <x v="1"/>
    <x v="0"/>
    <x v="3"/>
    <n v="277.5"/>
    <n v="4"/>
    <n v="0.5"/>
    <n v="-188.7"/>
  </r>
  <r>
    <s v="Standard Class"/>
    <x v="0"/>
    <s v="United States"/>
    <s v="Philadelphia"/>
    <x v="9"/>
    <n v="19120"/>
    <x v="3"/>
    <x v="0"/>
    <x v="3"/>
    <n v="1252.704"/>
    <n v="8"/>
    <n v="0.4"/>
    <n v="-480.20319999999998"/>
  </r>
  <r>
    <s v="Standard Class"/>
    <x v="0"/>
    <s v="United States"/>
    <s v="Philadelphia"/>
    <x v="9"/>
    <n v="19120"/>
    <x v="3"/>
    <x v="2"/>
    <x v="7"/>
    <n v="110.97"/>
    <n v="5"/>
    <n v="0.4"/>
    <n v="-24.043500000000002"/>
  </r>
  <r>
    <s v="Standard Class"/>
    <x v="1"/>
    <s v="United States"/>
    <s v="Chicago"/>
    <x v="10"/>
    <n v="60653"/>
    <x v="2"/>
    <x v="0"/>
    <x v="5"/>
    <n v="22.608000000000001"/>
    <n v="3"/>
    <n v="0.6"/>
    <n v="-10.1736"/>
  </r>
  <r>
    <s v="Standard Class"/>
    <x v="1"/>
    <s v="United States"/>
    <s v="Chicago"/>
    <x v="10"/>
    <n v="60653"/>
    <x v="2"/>
    <x v="0"/>
    <x v="5"/>
    <n v="1.8919999999999999"/>
    <n v="1"/>
    <n v="0.6"/>
    <n v="-0.99329999999999996"/>
  </r>
  <r>
    <s v="Standard Class"/>
    <x v="1"/>
    <s v="United States"/>
    <s v="Chicago"/>
    <x v="10"/>
    <n v="60623"/>
    <x v="2"/>
    <x v="1"/>
    <x v="10"/>
    <n v="63.311999999999998"/>
    <n v="3"/>
    <n v="0.2"/>
    <n v="20.5764"/>
  </r>
  <r>
    <s v="Second Class"/>
    <x v="0"/>
    <s v="United States"/>
    <s v="Chicago"/>
    <x v="10"/>
    <n v="60623"/>
    <x v="2"/>
    <x v="1"/>
    <x v="12"/>
    <n v="7.8239999999999998"/>
    <n v="1"/>
    <n v="0.2"/>
    <n v="2.9340000000000002"/>
  </r>
  <r>
    <s v="Second Class"/>
    <x v="0"/>
    <s v="United States"/>
    <s v="Chicago"/>
    <x v="10"/>
    <n v="60623"/>
    <x v="2"/>
    <x v="0"/>
    <x v="1"/>
    <n v="170.072"/>
    <n v="4"/>
    <n v="0.3"/>
    <n v="-12.148"/>
  </r>
  <r>
    <s v="Standard Class"/>
    <x v="1"/>
    <s v="United States"/>
    <s v="New York City"/>
    <x v="15"/>
    <n v="10024"/>
    <x v="3"/>
    <x v="1"/>
    <x v="10"/>
    <n v="62.82"/>
    <n v="9"/>
    <n v="0"/>
    <n v="29.525400000000001"/>
  </r>
  <r>
    <s v="Second Class"/>
    <x v="0"/>
    <s v="United States"/>
    <s v="Rockville"/>
    <x v="39"/>
    <n v="20852"/>
    <x v="3"/>
    <x v="1"/>
    <x v="10"/>
    <n v="19.440000000000001"/>
    <n v="3"/>
    <n v="0"/>
    <n v="9.3312000000000008"/>
  </r>
  <r>
    <s v="Second Class"/>
    <x v="0"/>
    <s v="United States"/>
    <s v="Rockville"/>
    <x v="39"/>
    <n v="20852"/>
    <x v="3"/>
    <x v="1"/>
    <x v="8"/>
    <n v="7.38"/>
    <n v="1"/>
    <n v="0"/>
    <n v="3.6162000000000001"/>
  </r>
  <r>
    <s v="Standard Class"/>
    <x v="0"/>
    <s v="United States"/>
    <s v="New York City"/>
    <x v="15"/>
    <n v="10011"/>
    <x v="3"/>
    <x v="1"/>
    <x v="10"/>
    <n v="38.880000000000003"/>
    <n v="6"/>
    <n v="0"/>
    <n v="18.662400000000002"/>
  </r>
  <r>
    <s v="Standard Class"/>
    <x v="0"/>
    <s v="United States"/>
    <s v="New York City"/>
    <x v="15"/>
    <n v="10011"/>
    <x v="3"/>
    <x v="0"/>
    <x v="5"/>
    <n v="187.76"/>
    <n v="4"/>
    <n v="0"/>
    <n v="76.9816"/>
  </r>
  <r>
    <s v="First Class"/>
    <x v="0"/>
    <s v="United States"/>
    <s v="Durham"/>
    <x v="3"/>
    <n v="27707"/>
    <x v="0"/>
    <x v="1"/>
    <x v="8"/>
    <n v="6.048"/>
    <n v="7"/>
    <n v="0.7"/>
    <n v="-4.2336"/>
  </r>
  <r>
    <s v="First Class"/>
    <x v="0"/>
    <s v="United States"/>
    <s v="Durham"/>
    <x v="3"/>
    <n v="27707"/>
    <x v="0"/>
    <x v="1"/>
    <x v="9"/>
    <n v="98.352000000000004"/>
    <n v="3"/>
    <n v="0.2"/>
    <n v="9.8352000000000004"/>
  </r>
  <r>
    <s v="First Class"/>
    <x v="0"/>
    <s v="United States"/>
    <s v="Durham"/>
    <x v="3"/>
    <n v="27707"/>
    <x v="0"/>
    <x v="0"/>
    <x v="5"/>
    <n v="335.74400000000003"/>
    <n v="2"/>
    <n v="0.2"/>
    <n v="25.180800000000001"/>
  </r>
  <r>
    <s v="Second Class"/>
    <x v="1"/>
    <s v="United States"/>
    <s v="Santa Barbara"/>
    <x v="1"/>
    <n v="93101"/>
    <x v="1"/>
    <x v="1"/>
    <x v="10"/>
    <n v="8.9600000000000009"/>
    <n v="2"/>
    <n v="0"/>
    <n v="4.3903999999999996"/>
  </r>
  <r>
    <s v="Standard Class"/>
    <x v="0"/>
    <s v="United States"/>
    <s v="Knoxville"/>
    <x v="18"/>
    <n v="37918"/>
    <x v="0"/>
    <x v="2"/>
    <x v="11"/>
    <n v="89.567999999999998"/>
    <n v="4"/>
    <n v="0.2"/>
    <n v="-1.1195999999999999"/>
  </r>
  <r>
    <s v="Standard Class"/>
    <x v="0"/>
    <s v="United States"/>
    <s v="Knoxville"/>
    <x v="18"/>
    <n v="37918"/>
    <x v="0"/>
    <x v="1"/>
    <x v="6"/>
    <n v="71.959999999999994"/>
    <n v="5"/>
    <n v="0.2"/>
    <n v="7.1959999999999997"/>
  </r>
  <r>
    <s v="Standard Class"/>
    <x v="0"/>
    <s v="United States"/>
    <s v="Knoxville"/>
    <x v="18"/>
    <n v="37918"/>
    <x v="0"/>
    <x v="1"/>
    <x v="10"/>
    <n v="15.552"/>
    <n v="3"/>
    <n v="0.2"/>
    <n v="5.4432"/>
  </r>
  <r>
    <s v="Standard Class"/>
    <x v="0"/>
    <s v="United States"/>
    <s v="Chicago"/>
    <x v="10"/>
    <n v="60610"/>
    <x v="2"/>
    <x v="1"/>
    <x v="8"/>
    <n v="10.43"/>
    <n v="5"/>
    <n v="0.8"/>
    <n v="-18.252500000000001"/>
  </r>
  <r>
    <s v="Standard Class"/>
    <x v="0"/>
    <s v="United States"/>
    <s v="Chicago"/>
    <x v="10"/>
    <n v="60610"/>
    <x v="2"/>
    <x v="1"/>
    <x v="4"/>
    <n v="72.784000000000006"/>
    <n v="1"/>
    <n v="0.2"/>
    <n v="-18.196000000000002"/>
  </r>
  <r>
    <s v="Same Day"/>
    <x v="1"/>
    <s v="United States"/>
    <s v="New York City"/>
    <x v="15"/>
    <n v="10024"/>
    <x v="3"/>
    <x v="1"/>
    <x v="4"/>
    <n v="67.150000000000006"/>
    <n v="5"/>
    <n v="0"/>
    <n v="16.787500000000001"/>
  </r>
  <r>
    <s v="Same Day"/>
    <x v="1"/>
    <s v="United States"/>
    <s v="New York City"/>
    <x v="15"/>
    <n v="10024"/>
    <x v="3"/>
    <x v="2"/>
    <x v="7"/>
    <n v="549.98"/>
    <n v="2"/>
    <n v="0"/>
    <n v="142.9948"/>
  </r>
  <r>
    <s v="Same Day"/>
    <x v="1"/>
    <s v="United States"/>
    <s v="New York City"/>
    <x v="15"/>
    <n v="10024"/>
    <x v="3"/>
    <x v="0"/>
    <x v="5"/>
    <n v="11.82"/>
    <n v="3"/>
    <n v="0"/>
    <n v="4.7279999999999998"/>
  </r>
  <r>
    <s v="Same Day"/>
    <x v="1"/>
    <s v="United States"/>
    <s v="New York City"/>
    <x v="15"/>
    <n v="10024"/>
    <x v="3"/>
    <x v="2"/>
    <x v="15"/>
    <n v="4643.8"/>
    <n v="4"/>
    <n v="0"/>
    <n v="2229.0239999999999"/>
  </r>
  <r>
    <s v="Same Day"/>
    <x v="1"/>
    <s v="United States"/>
    <s v="New York City"/>
    <x v="15"/>
    <n v="10024"/>
    <x v="3"/>
    <x v="0"/>
    <x v="1"/>
    <n v="577.76400000000001"/>
    <n v="2"/>
    <n v="0.1"/>
    <n v="115.5528"/>
  </r>
  <r>
    <s v="Standard Class"/>
    <x v="0"/>
    <s v="United States"/>
    <s v="Daytona Beach"/>
    <x v="2"/>
    <n v="32114"/>
    <x v="0"/>
    <x v="0"/>
    <x v="3"/>
    <n v="191.5155"/>
    <n v="1"/>
    <n v="0.45"/>
    <n v="-76.606200000000001"/>
  </r>
  <r>
    <s v="Standard Class"/>
    <x v="0"/>
    <s v="United States"/>
    <s v="Daytona Beach"/>
    <x v="2"/>
    <n v="32114"/>
    <x v="0"/>
    <x v="1"/>
    <x v="6"/>
    <n v="2.6240000000000001"/>
    <n v="1"/>
    <n v="0.2"/>
    <n v="0.4264"/>
  </r>
  <r>
    <s v="Standard Class"/>
    <x v="0"/>
    <s v="United States"/>
    <s v="Nashville"/>
    <x v="18"/>
    <n v="37211"/>
    <x v="0"/>
    <x v="1"/>
    <x v="8"/>
    <n v="1369.7639999999999"/>
    <n v="6"/>
    <n v="0.7"/>
    <n v="-913.17600000000004"/>
  </r>
  <r>
    <s v="Standard Class"/>
    <x v="0"/>
    <s v="United States"/>
    <s v="Nashville"/>
    <x v="18"/>
    <n v="37211"/>
    <x v="0"/>
    <x v="1"/>
    <x v="4"/>
    <n v="294.36799999999999"/>
    <n v="4"/>
    <n v="0.2"/>
    <n v="-58.873600000000003"/>
  </r>
  <r>
    <s v="Standard Class"/>
    <x v="1"/>
    <s v="United States"/>
    <s v="Nashville"/>
    <x v="18"/>
    <n v="37211"/>
    <x v="0"/>
    <x v="1"/>
    <x v="9"/>
    <n v="81.567999999999998"/>
    <n v="2"/>
    <n v="0.2"/>
    <n v="7.1372"/>
  </r>
  <r>
    <s v="Standard Class"/>
    <x v="0"/>
    <s v="United States"/>
    <s v="Dallas"/>
    <x v="5"/>
    <n v="75220"/>
    <x v="2"/>
    <x v="0"/>
    <x v="5"/>
    <n v="44.46"/>
    <n v="5"/>
    <n v="0.6"/>
    <n v="-17.783999999999999"/>
  </r>
  <r>
    <s v="Standard Class"/>
    <x v="0"/>
    <s v="United States"/>
    <s v="Dallas"/>
    <x v="5"/>
    <n v="75220"/>
    <x v="2"/>
    <x v="1"/>
    <x v="4"/>
    <n v="314.08800000000002"/>
    <n v="3"/>
    <n v="0.2"/>
    <n v="19.630500000000001"/>
  </r>
  <r>
    <s v="Standard Class"/>
    <x v="1"/>
    <s v="United States"/>
    <s v="Murfreesboro"/>
    <x v="18"/>
    <n v="37130"/>
    <x v="0"/>
    <x v="1"/>
    <x v="8"/>
    <n v="6.3360000000000003"/>
    <n v="4"/>
    <n v="0.7"/>
    <n v="-4.6463999999999999"/>
  </r>
  <r>
    <s v="Standard Class"/>
    <x v="1"/>
    <s v="United States"/>
    <s v="Murfreesboro"/>
    <x v="18"/>
    <n v="37130"/>
    <x v="0"/>
    <x v="1"/>
    <x v="10"/>
    <n v="10.48"/>
    <n v="1"/>
    <n v="0.2"/>
    <n v="3.7989999999999999"/>
  </r>
  <r>
    <s v="Standard Class"/>
    <x v="1"/>
    <s v="United States"/>
    <s v="Murfreesboro"/>
    <x v="18"/>
    <n v="37130"/>
    <x v="0"/>
    <x v="1"/>
    <x v="8"/>
    <n v="2.4689999999999999"/>
    <n v="1"/>
    <n v="0.7"/>
    <n v="-1.8106"/>
  </r>
  <r>
    <s v="Standard Class"/>
    <x v="1"/>
    <s v="United States"/>
    <s v="Murfreesboro"/>
    <x v="18"/>
    <n v="37130"/>
    <x v="0"/>
    <x v="1"/>
    <x v="8"/>
    <n v="3.2639999999999998"/>
    <n v="2"/>
    <n v="0.7"/>
    <n v="-2.2848000000000002"/>
  </r>
  <r>
    <s v="Standard Class"/>
    <x v="0"/>
    <s v="United States"/>
    <s v="Dallas"/>
    <x v="5"/>
    <n v="75217"/>
    <x v="2"/>
    <x v="1"/>
    <x v="13"/>
    <n v="4.3440000000000003"/>
    <n v="3"/>
    <n v="0.2"/>
    <n v="0.86880000000000002"/>
  </r>
  <r>
    <s v="Standard Class"/>
    <x v="0"/>
    <s v="United States"/>
    <s v="Dallas"/>
    <x v="5"/>
    <n v="75217"/>
    <x v="2"/>
    <x v="0"/>
    <x v="5"/>
    <n v="31.776"/>
    <n v="3"/>
    <n v="0.6"/>
    <n v="-19.0656"/>
  </r>
  <r>
    <s v="Standard Class"/>
    <x v="0"/>
    <s v="United States"/>
    <s v="Dallas"/>
    <x v="5"/>
    <n v="75217"/>
    <x v="2"/>
    <x v="1"/>
    <x v="2"/>
    <n v="4.9279999999999999"/>
    <n v="2"/>
    <n v="0.2"/>
    <n v="1.7248000000000001"/>
  </r>
  <r>
    <s v="Standard Class"/>
    <x v="0"/>
    <s v="United States"/>
    <s v="Dallas"/>
    <x v="5"/>
    <n v="75217"/>
    <x v="2"/>
    <x v="1"/>
    <x v="8"/>
    <n v="1.788"/>
    <n v="3"/>
    <n v="0.8"/>
    <n v="-3.0396000000000001"/>
  </r>
  <r>
    <s v="Standard Class"/>
    <x v="0"/>
    <s v="United States"/>
    <s v="Dallas"/>
    <x v="5"/>
    <n v="75217"/>
    <x v="2"/>
    <x v="1"/>
    <x v="13"/>
    <n v="15.071999999999999"/>
    <n v="4"/>
    <n v="0.2"/>
    <n v="-3.7679999999999998"/>
  </r>
  <r>
    <s v="Standard Class"/>
    <x v="0"/>
    <s v="United States"/>
    <s v="Arlington"/>
    <x v="5"/>
    <n v="76017"/>
    <x v="2"/>
    <x v="1"/>
    <x v="4"/>
    <n v="12.624000000000001"/>
    <n v="2"/>
    <n v="0.2"/>
    <n v="-2.5247999999999999"/>
  </r>
  <r>
    <s v="Standard Class"/>
    <x v="1"/>
    <s v="United States"/>
    <s v="Pasadena"/>
    <x v="1"/>
    <n v="91104"/>
    <x v="1"/>
    <x v="1"/>
    <x v="10"/>
    <n v="185.88"/>
    <n v="6"/>
    <n v="0"/>
    <n v="83.646000000000001"/>
  </r>
  <r>
    <s v="Standard Class"/>
    <x v="1"/>
    <s v="United States"/>
    <s v="Pasadena"/>
    <x v="1"/>
    <n v="91104"/>
    <x v="1"/>
    <x v="1"/>
    <x v="10"/>
    <n v="12.96"/>
    <n v="2"/>
    <n v="0"/>
    <n v="6.2207999999999997"/>
  </r>
  <r>
    <s v="Second Class"/>
    <x v="0"/>
    <s v="United States"/>
    <s v="Everett"/>
    <x v="31"/>
    <n v="2149"/>
    <x v="3"/>
    <x v="1"/>
    <x v="10"/>
    <n v="189.7"/>
    <n v="10"/>
    <n v="0"/>
    <n v="91.055999999999997"/>
  </r>
  <r>
    <s v="Second Class"/>
    <x v="0"/>
    <s v="United States"/>
    <s v="Everett"/>
    <x v="31"/>
    <n v="2149"/>
    <x v="3"/>
    <x v="1"/>
    <x v="10"/>
    <n v="40.99"/>
    <n v="1"/>
    <n v="0"/>
    <n v="20.085100000000001"/>
  </r>
  <r>
    <s v="Second Class"/>
    <x v="2"/>
    <s v="United States"/>
    <s v="Troy"/>
    <x v="15"/>
    <n v="12180"/>
    <x v="3"/>
    <x v="0"/>
    <x v="5"/>
    <n v="82.64"/>
    <n v="2"/>
    <n v="0"/>
    <n v="7.4375999999999998"/>
  </r>
  <r>
    <s v="Second Class"/>
    <x v="2"/>
    <s v="United States"/>
    <s v="Troy"/>
    <x v="15"/>
    <n v="12180"/>
    <x v="3"/>
    <x v="1"/>
    <x v="4"/>
    <n v="31.02"/>
    <n v="2"/>
    <n v="0"/>
    <n v="8.0652000000000008"/>
  </r>
  <r>
    <s v="Second Class"/>
    <x v="2"/>
    <s v="United States"/>
    <s v="Troy"/>
    <x v="15"/>
    <n v="12180"/>
    <x v="3"/>
    <x v="2"/>
    <x v="11"/>
    <n v="89.97"/>
    <n v="3"/>
    <n v="0"/>
    <n v="37.787399999999998"/>
  </r>
  <r>
    <s v="Second Class"/>
    <x v="0"/>
    <s v="United States"/>
    <s v="Sandy Springs"/>
    <x v="32"/>
    <n v="30328"/>
    <x v="0"/>
    <x v="1"/>
    <x v="6"/>
    <n v="35.97"/>
    <n v="3"/>
    <n v="0"/>
    <n v="9.7119"/>
  </r>
  <r>
    <s v="Second Class"/>
    <x v="0"/>
    <s v="United States"/>
    <s v="Sandy Springs"/>
    <x v="32"/>
    <n v="30328"/>
    <x v="0"/>
    <x v="0"/>
    <x v="0"/>
    <n v="1266.8599999999999"/>
    <n v="7"/>
    <n v="0"/>
    <n v="291.37779999999998"/>
  </r>
  <r>
    <s v="Standard Class"/>
    <x v="0"/>
    <s v="United States"/>
    <s v="San Jose"/>
    <x v="1"/>
    <n v="95123"/>
    <x v="1"/>
    <x v="1"/>
    <x v="4"/>
    <n v="169.45"/>
    <n v="5"/>
    <n v="0"/>
    <n v="42.362499999999997"/>
  </r>
  <r>
    <s v="Standard Class"/>
    <x v="0"/>
    <s v="United States"/>
    <s v="San Jose"/>
    <x v="1"/>
    <n v="95123"/>
    <x v="1"/>
    <x v="1"/>
    <x v="4"/>
    <n v="40.68"/>
    <n v="2"/>
    <n v="0"/>
    <n v="0.40679999999999999"/>
  </r>
  <r>
    <s v="Standard Class"/>
    <x v="0"/>
    <s v="United States"/>
    <s v="Jacksonville"/>
    <x v="2"/>
    <n v="32216"/>
    <x v="0"/>
    <x v="1"/>
    <x v="14"/>
    <n v="3.3279999999999998"/>
    <n v="2"/>
    <n v="0.2"/>
    <n v="0.41599999999999998"/>
  </r>
  <r>
    <s v="Standard Class"/>
    <x v="0"/>
    <s v="United States"/>
    <s v="Jacksonville"/>
    <x v="2"/>
    <n v="32216"/>
    <x v="0"/>
    <x v="0"/>
    <x v="3"/>
    <n v="933.26199999999994"/>
    <n v="4"/>
    <n v="0.45"/>
    <n v="-458.14679999999998"/>
  </r>
  <r>
    <s v="Standard Class"/>
    <x v="0"/>
    <s v="United States"/>
    <s v="Jacksonville"/>
    <x v="2"/>
    <n v="32216"/>
    <x v="0"/>
    <x v="0"/>
    <x v="1"/>
    <n v="2803.92"/>
    <n v="5"/>
    <n v="0.2"/>
    <n v="0"/>
  </r>
  <r>
    <s v="Same Day"/>
    <x v="0"/>
    <s v="United States"/>
    <s v="Jacksonville"/>
    <x v="2"/>
    <n v="32216"/>
    <x v="0"/>
    <x v="1"/>
    <x v="4"/>
    <n v="4.7679999999999998"/>
    <n v="2"/>
    <n v="0.2"/>
    <n v="-0.77480000000000004"/>
  </r>
  <r>
    <s v="Same Day"/>
    <x v="0"/>
    <s v="United States"/>
    <s v="Jacksonville"/>
    <x v="2"/>
    <n v="32216"/>
    <x v="0"/>
    <x v="1"/>
    <x v="10"/>
    <n v="6.6719999999999997"/>
    <n v="1"/>
    <n v="0.2"/>
    <n v="2.5019999999999998"/>
  </r>
  <r>
    <s v="Same Day"/>
    <x v="0"/>
    <s v="United States"/>
    <s v="Jacksonville"/>
    <x v="2"/>
    <n v="32216"/>
    <x v="0"/>
    <x v="1"/>
    <x v="6"/>
    <n v="4.4480000000000004"/>
    <n v="2"/>
    <n v="0.2"/>
    <n v="1.1120000000000001"/>
  </r>
  <r>
    <s v="Same Day"/>
    <x v="0"/>
    <s v="United States"/>
    <s v="Jacksonville"/>
    <x v="2"/>
    <n v="32216"/>
    <x v="0"/>
    <x v="0"/>
    <x v="5"/>
    <n v="43.936"/>
    <n v="4"/>
    <n v="0.2"/>
    <n v="6.0411999999999999"/>
  </r>
  <r>
    <s v="Standard Class"/>
    <x v="0"/>
    <s v="United States"/>
    <s v="New York City"/>
    <x v="15"/>
    <n v="10009"/>
    <x v="3"/>
    <x v="1"/>
    <x v="8"/>
    <n v="23.744"/>
    <n v="2"/>
    <n v="0.2"/>
    <n v="8.3103999999999996"/>
  </r>
  <r>
    <s v="Standard Class"/>
    <x v="0"/>
    <s v="United States"/>
    <s v="New York City"/>
    <x v="15"/>
    <n v="10009"/>
    <x v="3"/>
    <x v="2"/>
    <x v="11"/>
    <n v="357"/>
    <n v="3"/>
    <n v="0"/>
    <n v="57.12"/>
  </r>
  <r>
    <s v="Standard Class"/>
    <x v="0"/>
    <s v="United States"/>
    <s v="San Francisco"/>
    <x v="1"/>
    <n v="94122"/>
    <x v="1"/>
    <x v="2"/>
    <x v="7"/>
    <n v="806.33600000000001"/>
    <n v="8"/>
    <n v="0.2"/>
    <n v="50.396000000000001"/>
  </r>
  <r>
    <s v="Standard Class"/>
    <x v="0"/>
    <s v="United States"/>
    <s v="San Francisco"/>
    <x v="1"/>
    <n v="94122"/>
    <x v="1"/>
    <x v="0"/>
    <x v="5"/>
    <n v="85.44"/>
    <n v="3"/>
    <n v="0"/>
    <n v="31.6128"/>
  </r>
  <r>
    <s v="Standard Class"/>
    <x v="1"/>
    <s v="United States"/>
    <s v="Columbus"/>
    <x v="32"/>
    <n v="31907"/>
    <x v="0"/>
    <x v="1"/>
    <x v="4"/>
    <n v="344.91"/>
    <n v="3"/>
    <n v="0"/>
    <n v="10.347300000000001"/>
  </r>
  <r>
    <s v="Same Day"/>
    <x v="2"/>
    <s v="United States"/>
    <s v="Aurora"/>
    <x v="10"/>
    <n v="60505"/>
    <x v="2"/>
    <x v="1"/>
    <x v="9"/>
    <n v="70.97"/>
    <n v="5"/>
    <n v="0.8"/>
    <n v="-191.619"/>
  </r>
  <r>
    <s v="Same Day"/>
    <x v="2"/>
    <s v="United States"/>
    <s v="Aurora"/>
    <x v="10"/>
    <n v="60505"/>
    <x v="2"/>
    <x v="1"/>
    <x v="6"/>
    <n v="36.783999999999999"/>
    <n v="2"/>
    <n v="0.2"/>
    <n v="3.6783999999999999"/>
  </r>
  <r>
    <s v="Second Class"/>
    <x v="2"/>
    <s v="United States"/>
    <s v="Philadelphia"/>
    <x v="9"/>
    <n v="19134"/>
    <x v="3"/>
    <x v="2"/>
    <x v="7"/>
    <n v="743.98800000000006"/>
    <n v="2"/>
    <n v="0.4"/>
    <n v="-123.998"/>
  </r>
  <r>
    <s v="Second Class"/>
    <x v="0"/>
    <s v="United States"/>
    <s v="Chicago"/>
    <x v="10"/>
    <n v="60653"/>
    <x v="2"/>
    <x v="1"/>
    <x v="8"/>
    <n v="11.212"/>
    <n v="2"/>
    <n v="0.8"/>
    <n v="-16.818000000000001"/>
  </r>
  <r>
    <s v="Second Class"/>
    <x v="0"/>
    <s v="United States"/>
    <s v="Chicago"/>
    <x v="10"/>
    <n v="60653"/>
    <x v="2"/>
    <x v="0"/>
    <x v="5"/>
    <n v="4.7119999999999997"/>
    <n v="2"/>
    <n v="0.6"/>
    <n v="-1.8848"/>
  </r>
  <r>
    <s v="Second Class"/>
    <x v="0"/>
    <s v="United States"/>
    <s v="Chicago"/>
    <x v="10"/>
    <n v="60653"/>
    <x v="2"/>
    <x v="1"/>
    <x v="9"/>
    <n v="180.98"/>
    <n v="5"/>
    <n v="0.8"/>
    <n v="-470.548"/>
  </r>
  <r>
    <s v="Second Class"/>
    <x v="0"/>
    <s v="United States"/>
    <s v="Chicago"/>
    <x v="10"/>
    <n v="60653"/>
    <x v="2"/>
    <x v="1"/>
    <x v="4"/>
    <n v="60.415999999999997"/>
    <n v="2"/>
    <n v="0.2"/>
    <n v="6.0415999999999999"/>
  </r>
  <r>
    <s v="Standard Class"/>
    <x v="0"/>
    <s v="United States"/>
    <s v="Seattle"/>
    <x v="4"/>
    <n v="98103"/>
    <x v="1"/>
    <x v="2"/>
    <x v="16"/>
    <n v="299.99"/>
    <n v="1"/>
    <n v="0"/>
    <n v="89.997"/>
  </r>
  <r>
    <s v="Standard Class"/>
    <x v="0"/>
    <s v="United States"/>
    <s v="Seattle"/>
    <x v="4"/>
    <n v="98103"/>
    <x v="1"/>
    <x v="1"/>
    <x v="10"/>
    <n v="192.16"/>
    <n v="4"/>
    <n v="0"/>
    <n v="92.236800000000002"/>
  </r>
  <r>
    <s v="Standard Class"/>
    <x v="0"/>
    <s v="United States"/>
    <s v="Seattle"/>
    <x v="4"/>
    <n v="98103"/>
    <x v="1"/>
    <x v="2"/>
    <x v="7"/>
    <n v="242.624"/>
    <n v="8"/>
    <n v="0.2"/>
    <n v="27.295200000000001"/>
  </r>
  <r>
    <s v="Standard Class"/>
    <x v="0"/>
    <s v="United States"/>
    <s v="Seattle"/>
    <x v="4"/>
    <n v="98103"/>
    <x v="1"/>
    <x v="1"/>
    <x v="4"/>
    <n v="46.74"/>
    <n v="3"/>
    <n v="0"/>
    <n v="11.685"/>
  </r>
  <r>
    <s v="Standard Class"/>
    <x v="0"/>
    <s v="United States"/>
    <s v="Seattle"/>
    <x v="4"/>
    <n v="98103"/>
    <x v="1"/>
    <x v="2"/>
    <x v="11"/>
    <n v="174.95"/>
    <n v="5"/>
    <n v="0"/>
    <n v="12.246499999999999"/>
  </r>
  <r>
    <s v="Standard Class"/>
    <x v="0"/>
    <s v="United States"/>
    <s v="Seattle"/>
    <x v="4"/>
    <n v="98103"/>
    <x v="1"/>
    <x v="1"/>
    <x v="8"/>
    <n v="100.70399999999999"/>
    <n v="6"/>
    <n v="0.2"/>
    <n v="37.764000000000003"/>
  </r>
  <r>
    <s v="Same Day"/>
    <x v="2"/>
    <s v="United States"/>
    <s v="Roseville"/>
    <x v="12"/>
    <n v="48066"/>
    <x v="2"/>
    <x v="1"/>
    <x v="10"/>
    <n v="368.91"/>
    <n v="9"/>
    <n v="0"/>
    <n v="180.76589999999999"/>
  </r>
  <r>
    <s v="Same Day"/>
    <x v="2"/>
    <s v="United States"/>
    <s v="Roseville"/>
    <x v="12"/>
    <n v="48066"/>
    <x v="2"/>
    <x v="1"/>
    <x v="8"/>
    <n v="8.02"/>
    <n v="1"/>
    <n v="0"/>
    <n v="3.7694000000000001"/>
  </r>
  <r>
    <s v="Same Day"/>
    <x v="2"/>
    <s v="United States"/>
    <s v="Roseville"/>
    <x v="12"/>
    <n v="48066"/>
    <x v="2"/>
    <x v="1"/>
    <x v="4"/>
    <n v="171.04"/>
    <n v="4"/>
    <n v="0"/>
    <n v="44.470399999999998"/>
  </r>
  <r>
    <s v="Standard Class"/>
    <x v="2"/>
    <s v="United States"/>
    <s v="Fayetteville"/>
    <x v="36"/>
    <n v="72701"/>
    <x v="0"/>
    <x v="1"/>
    <x v="10"/>
    <n v="19.440000000000001"/>
    <n v="3"/>
    <n v="0"/>
    <n v="9.3312000000000008"/>
  </r>
  <r>
    <s v="Standard Class"/>
    <x v="0"/>
    <s v="United States"/>
    <s v="Jacksonville"/>
    <x v="3"/>
    <n v="28540"/>
    <x v="0"/>
    <x v="1"/>
    <x v="8"/>
    <n v="13.092000000000001"/>
    <n v="4"/>
    <n v="0.7"/>
    <n v="-10.0372"/>
  </r>
  <r>
    <s v="Standard Class"/>
    <x v="0"/>
    <s v="United States"/>
    <s v="New York City"/>
    <x v="15"/>
    <n v="10035"/>
    <x v="3"/>
    <x v="1"/>
    <x v="9"/>
    <n v="122.94"/>
    <n v="3"/>
    <n v="0"/>
    <n v="30.734999999999999"/>
  </r>
  <r>
    <s v="Standard Class"/>
    <x v="0"/>
    <s v="United States"/>
    <s v="New York City"/>
    <x v="15"/>
    <n v="10035"/>
    <x v="3"/>
    <x v="1"/>
    <x v="8"/>
    <n v="35.448"/>
    <n v="7"/>
    <n v="0.2"/>
    <n v="12.8499"/>
  </r>
  <r>
    <s v="Standard Class"/>
    <x v="0"/>
    <s v="United States"/>
    <s v="Dover"/>
    <x v="13"/>
    <n v="19901"/>
    <x v="3"/>
    <x v="2"/>
    <x v="7"/>
    <n v="19.98"/>
    <n v="2"/>
    <n v="0"/>
    <n v="5.1947999999999999"/>
  </r>
  <r>
    <s v="Standard Class"/>
    <x v="0"/>
    <s v="United States"/>
    <s v="Aurora"/>
    <x v="10"/>
    <n v="60505"/>
    <x v="2"/>
    <x v="0"/>
    <x v="3"/>
    <n v="69.375"/>
    <n v="1"/>
    <n v="0.5"/>
    <n v="-47.174999999999997"/>
  </r>
  <r>
    <s v="Standard Class"/>
    <x v="0"/>
    <s v="United States"/>
    <s v="Aurora"/>
    <x v="10"/>
    <n v="60505"/>
    <x v="2"/>
    <x v="1"/>
    <x v="14"/>
    <n v="31.68"/>
    <n v="4"/>
    <n v="0.2"/>
    <n v="2.7719999999999998"/>
  </r>
  <r>
    <s v="Standard Class"/>
    <x v="0"/>
    <s v="United States"/>
    <s v="Aurora"/>
    <x v="10"/>
    <n v="60505"/>
    <x v="2"/>
    <x v="2"/>
    <x v="7"/>
    <n v="2003.1679999999999"/>
    <n v="4"/>
    <n v="0.2"/>
    <n v="250.39599999999999"/>
  </r>
  <r>
    <s v="Standard Class"/>
    <x v="0"/>
    <s v="United States"/>
    <s v="Aurora"/>
    <x v="10"/>
    <n v="60505"/>
    <x v="2"/>
    <x v="1"/>
    <x v="6"/>
    <n v="9.3439999999999994"/>
    <n v="2"/>
    <n v="0.2"/>
    <n v="3.1536"/>
  </r>
  <r>
    <s v="Standard Class"/>
    <x v="0"/>
    <s v="United States"/>
    <s v="New York City"/>
    <x v="15"/>
    <n v="10009"/>
    <x v="3"/>
    <x v="0"/>
    <x v="1"/>
    <n v="2563.056"/>
    <n v="8"/>
    <n v="0.1"/>
    <n v="313.26240000000001"/>
  </r>
  <r>
    <s v="Standard Class"/>
    <x v="1"/>
    <s v="United States"/>
    <s v="El Cajon"/>
    <x v="1"/>
    <n v="92020"/>
    <x v="1"/>
    <x v="0"/>
    <x v="1"/>
    <n v="387.13600000000002"/>
    <n v="4"/>
    <n v="0.2"/>
    <n v="4.8391999999999999"/>
  </r>
  <r>
    <s v="Second Class"/>
    <x v="2"/>
    <s v="United States"/>
    <s v="Springfield"/>
    <x v="24"/>
    <n v="45503"/>
    <x v="3"/>
    <x v="1"/>
    <x v="6"/>
    <n v="3.4239999999999999"/>
    <n v="1"/>
    <n v="0.2"/>
    <n v="0.29959999999999998"/>
  </r>
  <r>
    <s v="Standard Class"/>
    <x v="1"/>
    <s v="United States"/>
    <s v="Mount Vernon"/>
    <x v="15"/>
    <n v="10550"/>
    <x v="3"/>
    <x v="1"/>
    <x v="4"/>
    <n v="1085.42"/>
    <n v="7"/>
    <n v="0"/>
    <n v="282.20920000000001"/>
  </r>
  <r>
    <s v="Standard Class"/>
    <x v="2"/>
    <s v="United States"/>
    <s v="Lakewood"/>
    <x v="24"/>
    <n v="44107"/>
    <x v="3"/>
    <x v="1"/>
    <x v="10"/>
    <n v="43.055999999999997"/>
    <n v="9"/>
    <n v="0.2"/>
    <n v="15.607799999999999"/>
  </r>
  <r>
    <s v="Standard Class"/>
    <x v="2"/>
    <s v="United States"/>
    <s v="Tampa"/>
    <x v="2"/>
    <n v="33614"/>
    <x v="0"/>
    <x v="1"/>
    <x v="8"/>
    <n v="3.762"/>
    <n v="3"/>
    <n v="0.7"/>
    <n v="-2.7587999999999999"/>
  </r>
  <r>
    <s v="Standard Class"/>
    <x v="2"/>
    <s v="United States"/>
    <s v="Tampa"/>
    <x v="2"/>
    <n v="33614"/>
    <x v="0"/>
    <x v="1"/>
    <x v="8"/>
    <n v="34.86"/>
    <n v="2"/>
    <n v="0.7"/>
    <n v="-26.725999999999999"/>
  </r>
  <r>
    <s v="Standard Class"/>
    <x v="2"/>
    <s v="United States"/>
    <s v="Tampa"/>
    <x v="2"/>
    <n v="33614"/>
    <x v="0"/>
    <x v="1"/>
    <x v="4"/>
    <n v="432.45600000000002"/>
    <n v="3"/>
    <n v="0.2"/>
    <n v="32.434199999999997"/>
  </r>
  <r>
    <s v="Standard Class"/>
    <x v="0"/>
    <s v="United States"/>
    <s v="Columbus"/>
    <x v="32"/>
    <n v="31907"/>
    <x v="0"/>
    <x v="1"/>
    <x v="4"/>
    <n v="675.06"/>
    <n v="3"/>
    <n v="0"/>
    <n v="87.757800000000003"/>
  </r>
  <r>
    <s v="First Class"/>
    <x v="1"/>
    <s v="United States"/>
    <s v="Jacksonville"/>
    <x v="3"/>
    <n v="28540"/>
    <x v="0"/>
    <x v="1"/>
    <x v="12"/>
    <n v="65.231999999999999"/>
    <n v="3"/>
    <n v="0.2"/>
    <n v="22.015799999999999"/>
  </r>
  <r>
    <s v="First Class"/>
    <x v="1"/>
    <s v="United States"/>
    <s v="Jacksonville"/>
    <x v="3"/>
    <n v="28540"/>
    <x v="0"/>
    <x v="0"/>
    <x v="1"/>
    <n v="207"/>
    <n v="3"/>
    <n v="0.2"/>
    <n v="25.875"/>
  </r>
  <r>
    <s v="Second Class"/>
    <x v="2"/>
    <s v="United States"/>
    <s v="Saint Charles"/>
    <x v="10"/>
    <n v="60174"/>
    <x v="2"/>
    <x v="2"/>
    <x v="15"/>
    <n v="600.53"/>
    <n v="2"/>
    <n v="0.3"/>
    <n v="137.26400000000001"/>
  </r>
  <r>
    <s v="Second Class"/>
    <x v="2"/>
    <s v="United States"/>
    <s v="Saint Charles"/>
    <x v="10"/>
    <n v="60174"/>
    <x v="2"/>
    <x v="1"/>
    <x v="6"/>
    <n v="59.904000000000003"/>
    <n v="2"/>
    <n v="0.2"/>
    <n v="14.2272"/>
  </r>
  <r>
    <s v="Second Class"/>
    <x v="2"/>
    <s v="United States"/>
    <s v="Saint Charles"/>
    <x v="10"/>
    <n v="60174"/>
    <x v="2"/>
    <x v="2"/>
    <x v="11"/>
    <n v="637.44000000000005"/>
    <n v="8"/>
    <n v="0.2"/>
    <n v="135.45599999999999"/>
  </r>
  <r>
    <s v="Second Class"/>
    <x v="2"/>
    <s v="United States"/>
    <s v="Saint Charles"/>
    <x v="10"/>
    <n v="60174"/>
    <x v="2"/>
    <x v="0"/>
    <x v="5"/>
    <n v="51.756"/>
    <n v="3"/>
    <n v="0.6"/>
    <n v="-33.641399999999997"/>
  </r>
  <r>
    <s v="Standard Class"/>
    <x v="2"/>
    <s v="United States"/>
    <s v="Miami"/>
    <x v="2"/>
    <n v="33180"/>
    <x v="0"/>
    <x v="1"/>
    <x v="10"/>
    <n v="31.103999999999999"/>
    <n v="6"/>
    <n v="0.2"/>
    <n v="10.8864"/>
  </r>
  <r>
    <s v="Standard Class"/>
    <x v="2"/>
    <s v="United States"/>
    <s v="Miami"/>
    <x v="2"/>
    <n v="33180"/>
    <x v="0"/>
    <x v="1"/>
    <x v="6"/>
    <n v="47.96"/>
    <n v="5"/>
    <n v="0.2"/>
    <n v="4.1965000000000003"/>
  </r>
  <r>
    <s v="Standard Class"/>
    <x v="2"/>
    <s v="United States"/>
    <s v="Miami"/>
    <x v="2"/>
    <n v="33180"/>
    <x v="0"/>
    <x v="2"/>
    <x v="11"/>
    <n v="158.928"/>
    <n v="7"/>
    <n v="0.2"/>
    <n v="41.718600000000002"/>
  </r>
  <r>
    <s v="Standard Class"/>
    <x v="2"/>
    <s v="United States"/>
    <s v="Miami"/>
    <x v="2"/>
    <n v="33180"/>
    <x v="0"/>
    <x v="1"/>
    <x v="9"/>
    <n v="211.24799999999999"/>
    <n v="6"/>
    <n v="0.2"/>
    <n v="15.8436"/>
  </r>
  <r>
    <s v="Standard Class"/>
    <x v="2"/>
    <s v="United States"/>
    <s v="Miami"/>
    <x v="2"/>
    <n v="33180"/>
    <x v="0"/>
    <x v="1"/>
    <x v="14"/>
    <n v="5.5519999999999996"/>
    <n v="2"/>
    <n v="0.2"/>
    <n v="-1.0409999999999999"/>
  </r>
  <r>
    <s v="Standard Class"/>
    <x v="2"/>
    <s v="United States"/>
    <s v="Miami"/>
    <x v="2"/>
    <n v="33180"/>
    <x v="0"/>
    <x v="1"/>
    <x v="2"/>
    <n v="2.952"/>
    <n v="1"/>
    <n v="0.2"/>
    <n v="0.99629999999999996"/>
  </r>
  <r>
    <s v="Standard Class"/>
    <x v="0"/>
    <s v="United States"/>
    <s v="Troy"/>
    <x v="24"/>
    <n v="45373"/>
    <x v="3"/>
    <x v="1"/>
    <x v="8"/>
    <n v="10.332000000000001"/>
    <n v="3"/>
    <n v="0.7"/>
    <n v="-7.5768000000000004"/>
  </r>
  <r>
    <s v="Standard Class"/>
    <x v="1"/>
    <s v="United States"/>
    <s v="Seattle"/>
    <x v="4"/>
    <n v="98103"/>
    <x v="1"/>
    <x v="1"/>
    <x v="8"/>
    <n v="18.367999999999999"/>
    <n v="4"/>
    <n v="0.2"/>
    <n v="5.9695999999999998"/>
  </r>
  <r>
    <s v="Standard Class"/>
    <x v="0"/>
    <s v="United States"/>
    <s v="New York City"/>
    <x v="15"/>
    <n v="10011"/>
    <x v="3"/>
    <x v="2"/>
    <x v="7"/>
    <n v="299.89999999999998"/>
    <n v="2"/>
    <n v="0"/>
    <n v="74.974999999999994"/>
  </r>
  <r>
    <s v="Standard Class"/>
    <x v="1"/>
    <s v="United States"/>
    <s v="Arlington"/>
    <x v="17"/>
    <n v="22204"/>
    <x v="0"/>
    <x v="1"/>
    <x v="12"/>
    <n v="26.55"/>
    <n v="9"/>
    <n v="0"/>
    <n v="12.744"/>
  </r>
  <r>
    <s v="Standard Class"/>
    <x v="1"/>
    <s v="United States"/>
    <s v="Arlington"/>
    <x v="17"/>
    <n v="22204"/>
    <x v="0"/>
    <x v="2"/>
    <x v="11"/>
    <n v="111.98"/>
    <n v="2"/>
    <n v="0"/>
    <n v="26.8752"/>
  </r>
  <r>
    <s v="Standard Class"/>
    <x v="1"/>
    <s v="United States"/>
    <s v="Charlotte"/>
    <x v="3"/>
    <n v="28205"/>
    <x v="0"/>
    <x v="0"/>
    <x v="5"/>
    <n v="4.9279999999999999"/>
    <n v="2"/>
    <n v="0.2"/>
    <n v="0.73919999999999997"/>
  </r>
  <r>
    <s v="Standard Class"/>
    <x v="1"/>
    <s v="United States"/>
    <s v="Charlotte"/>
    <x v="3"/>
    <n v="28205"/>
    <x v="0"/>
    <x v="1"/>
    <x v="2"/>
    <n v="11.784000000000001"/>
    <n v="3"/>
    <n v="0.2"/>
    <n v="4.2717000000000001"/>
  </r>
  <r>
    <s v="Standard Class"/>
    <x v="0"/>
    <s v="United States"/>
    <s v="Roseville"/>
    <x v="1"/>
    <n v="95661"/>
    <x v="1"/>
    <x v="1"/>
    <x v="6"/>
    <n v="7.98"/>
    <n v="3"/>
    <n v="0"/>
    <n v="2.0748000000000002"/>
  </r>
  <r>
    <s v="Standard Class"/>
    <x v="0"/>
    <s v="United States"/>
    <s v="Detroit"/>
    <x v="12"/>
    <n v="48234"/>
    <x v="2"/>
    <x v="1"/>
    <x v="12"/>
    <n v="180.96"/>
    <n v="2"/>
    <n v="0"/>
    <n v="81.432000000000002"/>
  </r>
  <r>
    <s v="Standard Class"/>
    <x v="1"/>
    <s v="United States"/>
    <s v="Los Angeles"/>
    <x v="1"/>
    <n v="90036"/>
    <x v="1"/>
    <x v="2"/>
    <x v="11"/>
    <n v="1649.95"/>
    <n v="5"/>
    <n v="0"/>
    <n v="659.98"/>
  </r>
  <r>
    <s v="Standard Class"/>
    <x v="1"/>
    <s v="United States"/>
    <s v="Los Angeles"/>
    <x v="1"/>
    <n v="90036"/>
    <x v="1"/>
    <x v="0"/>
    <x v="1"/>
    <n v="362.35199999999998"/>
    <n v="3"/>
    <n v="0.2"/>
    <n v="45.293999999999997"/>
  </r>
  <r>
    <s v="Second Class"/>
    <x v="2"/>
    <s v="United States"/>
    <s v="San Francisco"/>
    <x v="1"/>
    <n v="94110"/>
    <x v="1"/>
    <x v="2"/>
    <x v="7"/>
    <n v="73.584000000000003"/>
    <n v="2"/>
    <n v="0.2"/>
    <n v="8.2782"/>
  </r>
  <r>
    <s v="Standard Class"/>
    <x v="0"/>
    <s v="United States"/>
    <s v="Bakersfield"/>
    <x v="1"/>
    <n v="93309"/>
    <x v="1"/>
    <x v="0"/>
    <x v="3"/>
    <n v="486.36799999999999"/>
    <n v="4"/>
    <n v="0.2"/>
    <n v="36.477600000000002"/>
  </r>
  <r>
    <s v="Standard Class"/>
    <x v="2"/>
    <s v="United States"/>
    <s v="Tulsa"/>
    <x v="26"/>
    <n v="74133"/>
    <x v="2"/>
    <x v="1"/>
    <x v="10"/>
    <n v="32.4"/>
    <n v="5"/>
    <n v="0"/>
    <n v="15.552"/>
  </r>
  <r>
    <s v="Standard Class"/>
    <x v="2"/>
    <s v="United States"/>
    <s v="Tulsa"/>
    <x v="26"/>
    <n v="74133"/>
    <x v="2"/>
    <x v="1"/>
    <x v="8"/>
    <n v="41.86"/>
    <n v="7"/>
    <n v="0"/>
    <n v="19.255600000000001"/>
  </r>
  <r>
    <s v="Standard Class"/>
    <x v="2"/>
    <s v="United States"/>
    <s v="Tulsa"/>
    <x v="26"/>
    <n v="74133"/>
    <x v="2"/>
    <x v="1"/>
    <x v="8"/>
    <n v="77.56"/>
    <n v="2"/>
    <n v="0"/>
    <n v="35.677599999999998"/>
  </r>
  <r>
    <s v="Same Day"/>
    <x v="2"/>
    <s v="United States"/>
    <s v="San Francisco"/>
    <x v="1"/>
    <n v="94122"/>
    <x v="1"/>
    <x v="1"/>
    <x v="6"/>
    <n v="37.17"/>
    <n v="9"/>
    <n v="0"/>
    <n v="11.151"/>
  </r>
  <r>
    <s v="Standard Class"/>
    <x v="0"/>
    <s v="United States"/>
    <s v="Houston"/>
    <x v="5"/>
    <n v="77036"/>
    <x v="2"/>
    <x v="1"/>
    <x v="4"/>
    <n v="137.352"/>
    <n v="3"/>
    <n v="0.2"/>
    <n v="8.5845000000000002"/>
  </r>
  <r>
    <s v="Standard Class"/>
    <x v="0"/>
    <s v="United States"/>
    <s v="Houston"/>
    <x v="5"/>
    <n v="77036"/>
    <x v="2"/>
    <x v="0"/>
    <x v="3"/>
    <n v="376.50900000000001"/>
    <n v="3"/>
    <n v="0.3"/>
    <n v="-43.029600000000002"/>
  </r>
  <r>
    <s v="Standard Class"/>
    <x v="0"/>
    <s v="United States"/>
    <s v="Columbus"/>
    <x v="32"/>
    <n v="31907"/>
    <x v="0"/>
    <x v="0"/>
    <x v="5"/>
    <n v="62.72"/>
    <n v="4"/>
    <n v="0"/>
    <n v="24.460799999999999"/>
  </r>
  <r>
    <s v="Standard Class"/>
    <x v="0"/>
    <s v="United States"/>
    <s v="Columbus"/>
    <x v="32"/>
    <n v="31907"/>
    <x v="0"/>
    <x v="2"/>
    <x v="7"/>
    <n v="2939.93"/>
    <n v="7"/>
    <n v="0"/>
    <n v="764.3818"/>
  </r>
  <r>
    <s v="Standard Class"/>
    <x v="2"/>
    <s v="United States"/>
    <s v="League City"/>
    <x v="5"/>
    <n v="77573"/>
    <x v="2"/>
    <x v="0"/>
    <x v="1"/>
    <n v="512.35799999999995"/>
    <n v="3"/>
    <n v="0.3"/>
    <n v="-14.6388"/>
  </r>
  <r>
    <s v="Standard Class"/>
    <x v="2"/>
    <s v="United States"/>
    <s v="League City"/>
    <x v="5"/>
    <n v="77573"/>
    <x v="2"/>
    <x v="1"/>
    <x v="13"/>
    <n v="3.488"/>
    <n v="2"/>
    <n v="0.2"/>
    <n v="0.56679999999999997"/>
  </r>
  <r>
    <s v="Standard Class"/>
    <x v="2"/>
    <s v="United States"/>
    <s v="League City"/>
    <x v="5"/>
    <n v="77573"/>
    <x v="2"/>
    <x v="1"/>
    <x v="6"/>
    <n v="22.288"/>
    <n v="7"/>
    <n v="0.2"/>
    <n v="3.9003999999999999"/>
  </r>
  <r>
    <s v="Standard Class"/>
    <x v="2"/>
    <s v="United States"/>
    <s v="League City"/>
    <x v="5"/>
    <n v="77573"/>
    <x v="2"/>
    <x v="1"/>
    <x v="10"/>
    <n v="16.032"/>
    <n v="3"/>
    <n v="0.2"/>
    <n v="5.6112000000000002"/>
  </r>
  <r>
    <s v="Standard Class"/>
    <x v="0"/>
    <s v="United States"/>
    <s v="Burlington"/>
    <x v="3"/>
    <n v="27217"/>
    <x v="0"/>
    <x v="1"/>
    <x v="6"/>
    <n v="1.752"/>
    <n v="1"/>
    <n v="0.2"/>
    <n v="0.15329999999999999"/>
  </r>
  <r>
    <s v="Standard Class"/>
    <x v="0"/>
    <s v="United States"/>
    <s v="Burlington"/>
    <x v="3"/>
    <n v="27217"/>
    <x v="0"/>
    <x v="1"/>
    <x v="6"/>
    <n v="20.992000000000001"/>
    <n v="8"/>
    <n v="0.2"/>
    <n v="2.3616000000000001"/>
  </r>
  <r>
    <s v="Standard Class"/>
    <x v="0"/>
    <s v="United States"/>
    <s v="New York City"/>
    <x v="15"/>
    <n v="10009"/>
    <x v="3"/>
    <x v="1"/>
    <x v="4"/>
    <n v="11.21"/>
    <n v="1"/>
    <n v="0"/>
    <n v="3.363"/>
  </r>
  <r>
    <s v="First Class"/>
    <x v="0"/>
    <s v="United States"/>
    <s v="Dallas"/>
    <x v="5"/>
    <n v="75220"/>
    <x v="2"/>
    <x v="1"/>
    <x v="6"/>
    <n v="45.04"/>
    <n v="2"/>
    <n v="0.2"/>
    <n v="4.5039999999999996"/>
  </r>
  <r>
    <s v="Standard Class"/>
    <x v="0"/>
    <s v="United States"/>
    <s v="Houston"/>
    <x v="5"/>
    <n v="77095"/>
    <x v="2"/>
    <x v="1"/>
    <x v="8"/>
    <n v="15.624000000000001"/>
    <n v="2"/>
    <n v="0.8"/>
    <n v="-24.9984"/>
  </r>
  <r>
    <s v="Standard Class"/>
    <x v="0"/>
    <s v="United States"/>
    <s v="Long Beach"/>
    <x v="15"/>
    <n v="11561"/>
    <x v="3"/>
    <x v="1"/>
    <x v="9"/>
    <n v="8.74"/>
    <n v="2"/>
    <n v="0"/>
    <n v="2.2724000000000002"/>
  </r>
  <r>
    <s v="Standard Class"/>
    <x v="0"/>
    <s v="United States"/>
    <s v="Long Beach"/>
    <x v="15"/>
    <n v="11561"/>
    <x v="3"/>
    <x v="1"/>
    <x v="10"/>
    <n v="44.75"/>
    <n v="5"/>
    <n v="0"/>
    <n v="20.585000000000001"/>
  </r>
  <r>
    <s v="First Class"/>
    <x v="2"/>
    <s v="United States"/>
    <s v="Hialeah"/>
    <x v="2"/>
    <n v="33012"/>
    <x v="0"/>
    <x v="1"/>
    <x v="4"/>
    <n v="61.68"/>
    <n v="5"/>
    <n v="0.2"/>
    <n v="5.3970000000000002"/>
  </r>
  <r>
    <s v="First Class"/>
    <x v="2"/>
    <s v="United States"/>
    <s v="Hialeah"/>
    <x v="2"/>
    <n v="33012"/>
    <x v="0"/>
    <x v="2"/>
    <x v="7"/>
    <n v="158.376"/>
    <n v="3"/>
    <n v="0.2"/>
    <n v="13.857900000000001"/>
  </r>
  <r>
    <s v="Second Class"/>
    <x v="1"/>
    <s v="United States"/>
    <s v="Aurora"/>
    <x v="10"/>
    <n v="60505"/>
    <x v="2"/>
    <x v="1"/>
    <x v="8"/>
    <n v="2.8639999999999999"/>
    <n v="4"/>
    <n v="0.8"/>
    <n v="-4.5823999999999998"/>
  </r>
  <r>
    <s v="Second Class"/>
    <x v="1"/>
    <s v="United States"/>
    <s v="Aurora"/>
    <x v="10"/>
    <n v="60505"/>
    <x v="2"/>
    <x v="1"/>
    <x v="8"/>
    <n v="94.191999999999993"/>
    <n v="7"/>
    <n v="0.8"/>
    <n v="-164.83600000000001"/>
  </r>
  <r>
    <s v="Standard Class"/>
    <x v="0"/>
    <s v="United States"/>
    <s v="Belleville"/>
    <x v="30"/>
    <n v="7109"/>
    <x v="3"/>
    <x v="1"/>
    <x v="10"/>
    <n v="143.69999999999999"/>
    <n v="3"/>
    <n v="0"/>
    <n v="68.975999999999999"/>
  </r>
  <r>
    <s v="Standard Class"/>
    <x v="0"/>
    <s v="United States"/>
    <s v="Belleville"/>
    <x v="30"/>
    <n v="7109"/>
    <x v="3"/>
    <x v="1"/>
    <x v="10"/>
    <n v="6.48"/>
    <n v="1"/>
    <n v="0"/>
    <n v="3.1103999999999998"/>
  </r>
  <r>
    <s v="Standard Class"/>
    <x v="0"/>
    <s v="United States"/>
    <s v="New York City"/>
    <x v="15"/>
    <n v="10024"/>
    <x v="3"/>
    <x v="2"/>
    <x v="11"/>
    <n v="7.88"/>
    <n v="4"/>
    <n v="0"/>
    <n v="2.5215999999999998"/>
  </r>
  <r>
    <s v="First Class"/>
    <x v="0"/>
    <s v="United States"/>
    <s v="Andover"/>
    <x v="31"/>
    <n v="1810"/>
    <x v="3"/>
    <x v="1"/>
    <x v="4"/>
    <n v="11.21"/>
    <n v="1"/>
    <n v="0"/>
    <n v="3.363"/>
  </r>
  <r>
    <s v="First Class"/>
    <x v="0"/>
    <s v="United States"/>
    <s v="Andover"/>
    <x v="31"/>
    <n v="1810"/>
    <x v="3"/>
    <x v="0"/>
    <x v="1"/>
    <n v="354.9"/>
    <n v="5"/>
    <n v="0"/>
    <n v="88.724999999999994"/>
  </r>
  <r>
    <s v="First Class"/>
    <x v="0"/>
    <s v="United States"/>
    <s v="Andover"/>
    <x v="31"/>
    <n v="1810"/>
    <x v="3"/>
    <x v="1"/>
    <x v="10"/>
    <n v="17.940000000000001"/>
    <n v="3"/>
    <n v="0"/>
    <n v="8.7905999999999995"/>
  </r>
  <r>
    <s v="First Class"/>
    <x v="0"/>
    <s v="United States"/>
    <s v="Andover"/>
    <x v="31"/>
    <n v="1810"/>
    <x v="3"/>
    <x v="1"/>
    <x v="8"/>
    <n v="51.8"/>
    <n v="4"/>
    <n v="0"/>
    <n v="23.31"/>
  </r>
  <r>
    <s v="Second Class"/>
    <x v="2"/>
    <s v="United States"/>
    <s v="Newark"/>
    <x v="13"/>
    <n v="19711"/>
    <x v="3"/>
    <x v="1"/>
    <x v="8"/>
    <n v="299.52"/>
    <n v="9"/>
    <n v="0"/>
    <n v="149.76"/>
  </r>
  <r>
    <s v="Standard Class"/>
    <x v="0"/>
    <s v="United States"/>
    <s v="Arlington"/>
    <x v="17"/>
    <n v="22204"/>
    <x v="0"/>
    <x v="1"/>
    <x v="6"/>
    <n v="7.7"/>
    <n v="2"/>
    <n v="0"/>
    <n v="3.157"/>
  </r>
  <r>
    <s v="Standard Class"/>
    <x v="1"/>
    <s v="United States"/>
    <s v="Decatur"/>
    <x v="19"/>
    <n v="35601"/>
    <x v="0"/>
    <x v="1"/>
    <x v="10"/>
    <n v="23.92"/>
    <n v="4"/>
    <n v="0"/>
    <n v="11.720800000000001"/>
  </r>
  <r>
    <s v="Standard Class"/>
    <x v="1"/>
    <s v="United States"/>
    <s v="Decatur"/>
    <x v="19"/>
    <n v="35601"/>
    <x v="0"/>
    <x v="2"/>
    <x v="11"/>
    <n v="498"/>
    <n v="5"/>
    <n v="0"/>
    <n v="184.26"/>
  </r>
  <r>
    <s v="Standard Class"/>
    <x v="1"/>
    <s v="United States"/>
    <s v="Hesperia"/>
    <x v="1"/>
    <n v="92345"/>
    <x v="1"/>
    <x v="0"/>
    <x v="1"/>
    <n v="436.70400000000001"/>
    <n v="6"/>
    <n v="0.2"/>
    <n v="-38.211599999999997"/>
  </r>
  <r>
    <s v="Standard Class"/>
    <x v="0"/>
    <s v="United States"/>
    <s v="Chesapeake"/>
    <x v="17"/>
    <n v="23320"/>
    <x v="0"/>
    <x v="1"/>
    <x v="10"/>
    <n v="32.4"/>
    <n v="5"/>
    <n v="0"/>
    <n v="15.552"/>
  </r>
  <r>
    <s v="First Class"/>
    <x v="0"/>
    <s v="United States"/>
    <s v="Los Angeles"/>
    <x v="1"/>
    <n v="90036"/>
    <x v="1"/>
    <x v="1"/>
    <x v="9"/>
    <n v="61.44"/>
    <n v="3"/>
    <n v="0"/>
    <n v="16.588799999999999"/>
  </r>
  <r>
    <s v="Standard Class"/>
    <x v="0"/>
    <s v="United States"/>
    <s v="Huntsville"/>
    <x v="19"/>
    <n v="35810"/>
    <x v="0"/>
    <x v="1"/>
    <x v="4"/>
    <n v="73.36"/>
    <n v="7"/>
    <n v="0"/>
    <n v="19.807200000000002"/>
  </r>
  <r>
    <s v="Standard Class"/>
    <x v="0"/>
    <s v="United States"/>
    <s v="Knoxville"/>
    <x v="18"/>
    <n v="37918"/>
    <x v="0"/>
    <x v="1"/>
    <x v="2"/>
    <n v="59.2"/>
    <n v="5"/>
    <n v="0.2"/>
    <n v="22.2"/>
  </r>
  <r>
    <s v="Standard Class"/>
    <x v="0"/>
    <s v="United States"/>
    <s v="Knoxville"/>
    <x v="18"/>
    <n v="37918"/>
    <x v="0"/>
    <x v="0"/>
    <x v="5"/>
    <n v="32.951999999999998"/>
    <n v="3"/>
    <n v="0.2"/>
    <n v="6.5903999999999998"/>
  </r>
  <r>
    <s v="Standard Class"/>
    <x v="0"/>
    <s v="United States"/>
    <s v="Knoxville"/>
    <x v="18"/>
    <n v="37918"/>
    <x v="0"/>
    <x v="0"/>
    <x v="1"/>
    <n v="218.376"/>
    <n v="3"/>
    <n v="0.2"/>
    <n v="-10.918799999999999"/>
  </r>
  <r>
    <s v="Standard Class"/>
    <x v="1"/>
    <s v="United States"/>
    <s v="Lawrence"/>
    <x v="31"/>
    <n v="1841"/>
    <x v="3"/>
    <x v="0"/>
    <x v="5"/>
    <n v="31.4"/>
    <n v="5"/>
    <n v="0"/>
    <n v="13.188000000000001"/>
  </r>
  <r>
    <s v="Standard Class"/>
    <x v="1"/>
    <s v="United States"/>
    <s v="Lawrence"/>
    <x v="31"/>
    <n v="1841"/>
    <x v="3"/>
    <x v="0"/>
    <x v="5"/>
    <n v="9.48"/>
    <n v="1"/>
    <n v="0"/>
    <n v="3.7919999999999998"/>
  </r>
  <r>
    <s v="Standard Class"/>
    <x v="1"/>
    <s v="United States"/>
    <s v="Lawrence"/>
    <x v="31"/>
    <n v="1841"/>
    <x v="3"/>
    <x v="2"/>
    <x v="7"/>
    <n v="209.5"/>
    <n v="10"/>
    <n v="0"/>
    <n v="58.66"/>
  </r>
  <r>
    <s v="Standard Class"/>
    <x v="1"/>
    <s v="United States"/>
    <s v="Lawrence"/>
    <x v="31"/>
    <n v="1841"/>
    <x v="3"/>
    <x v="0"/>
    <x v="5"/>
    <n v="24.3"/>
    <n v="5"/>
    <n v="0"/>
    <n v="10.449"/>
  </r>
  <r>
    <s v="Standard Class"/>
    <x v="1"/>
    <s v="United States"/>
    <s v="Lawrence"/>
    <x v="31"/>
    <n v="1841"/>
    <x v="3"/>
    <x v="1"/>
    <x v="10"/>
    <n v="6.48"/>
    <n v="1"/>
    <n v="0"/>
    <n v="3.1103999999999998"/>
  </r>
  <r>
    <s v="Standard Class"/>
    <x v="1"/>
    <s v="United States"/>
    <s v="Philadelphia"/>
    <x v="9"/>
    <n v="19134"/>
    <x v="3"/>
    <x v="0"/>
    <x v="5"/>
    <n v="32.448"/>
    <n v="2"/>
    <n v="0.2"/>
    <n v="7.3007999999999997"/>
  </r>
  <r>
    <s v="Standard Class"/>
    <x v="1"/>
    <s v="United States"/>
    <s v="Philadelphia"/>
    <x v="9"/>
    <n v="19134"/>
    <x v="3"/>
    <x v="1"/>
    <x v="8"/>
    <n v="26.388000000000002"/>
    <n v="4"/>
    <n v="0.7"/>
    <n v="-17.591999999999999"/>
  </r>
  <r>
    <s v="Standard Class"/>
    <x v="1"/>
    <s v="United States"/>
    <s v="Philadelphia"/>
    <x v="9"/>
    <n v="19134"/>
    <x v="3"/>
    <x v="0"/>
    <x v="3"/>
    <n v="373.47"/>
    <n v="5"/>
    <n v="0.4"/>
    <n v="-112.041"/>
  </r>
  <r>
    <s v="Standard Class"/>
    <x v="1"/>
    <s v="United States"/>
    <s v="Philadelphia"/>
    <x v="9"/>
    <n v="19134"/>
    <x v="3"/>
    <x v="1"/>
    <x v="8"/>
    <n v="64.2"/>
    <n v="5"/>
    <n v="0.7"/>
    <n v="-44.94"/>
  </r>
  <r>
    <s v="Standard Class"/>
    <x v="1"/>
    <s v="United States"/>
    <s v="Philadelphia"/>
    <x v="9"/>
    <n v="19134"/>
    <x v="3"/>
    <x v="1"/>
    <x v="13"/>
    <n v="8"/>
    <n v="2"/>
    <n v="0.2"/>
    <n v="2.8"/>
  </r>
  <r>
    <s v="Standard Class"/>
    <x v="0"/>
    <s v="United States"/>
    <s v="Athens"/>
    <x v="32"/>
    <n v="30605"/>
    <x v="0"/>
    <x v="0"/>
    <x v="5"/>
    <n v="186.54"/>
    <n v="3"/>
    <n v="0"/>
    <n v="41.038800000000002"/>
  </r>
  <r>
    <s v="Standard Class"/>
    <x v="0"/>
    <s v="United States"/>
    <s v="Great Falls"/>
    <x v="37"/>
    <n v="59405"/>
    <x v="1"/>
    <x v="1"/>
    <x v="4"/>
    <n v="87.08"/>
    <n v="7"/>
    <n v="0"/>
    <n v="24.382400000000001"/>
  </r>
  <r>
    <s v="Standard Class"/>
    <x v="0"/>
    <s v="United States"/>
    <s v="Great Falls"/>
    <x v="37"/>
    <n v="59405"/>
    <x v="1"/>
    <x v="2"/>
    <x v="7"/>
    <n v="105.584"/>
    <n v="2"/>
    <n v="0.2"/>
    <n v="9.2385999999999999"/>
  </r>
  <r>
    <s v="Standard Class"/>
    <x v="0"/>
    <s v="United States"/>
    <s v="Great Falls"/>
    <x v="37"/>
    <n v="59405"/>
    <x v="1"/>
    <x v="2"/>
    <x v="11"/>
    <n v="217.44"/>
    <n v="6"/>
    <n v="0"/>
    <n v="91.324799999999996"/>
  </r>
  <r>
    <s v="Second Class"/>
    <x v="0"/>
    <s v="United States"/>
    <s v="El Paso"/>
    <x v="5"/>
    <n v="79907"/>
    <x v="2"/>
    <x v="1"/>
    <x v="6"/>
    <n v="31.744"/>
    <n v="2"/>
    <n v="0.2"/>
    <n v="3.968"/>
  </r>
  <r>
    <s v="Second Class"/>
    <x v="0"/>
    <s v="United States"/>
    <s v="El Paso"/>
    <x v="5"/>
    <n v="79907"/>
    <x v="2"/>
    <x v="1"/>
    <x v="9"/>
    <n v="5.4320000000000004"/>
    <n v="2"/>
    <n v="0.8"/>
    <n v="-13.58"/>
  </r>
  <r>
    <s v="Second Class"/>
    <x v="0"/>
    <s v="United States"/>
    <s v="El Paso"/>
    <x v="5"/>
    <n v="79907"/>
    <x v="2"/>
    <x v="0"/>
    <x v="3"/>
    <n v="913.43"/>
    <n v="5"/>
    <n v="0.3"/>
    <n v="-169.637"/>
  </r>
  <r>
    <s v="Second Class"/>
    <x v="0"/>
    <s v="United States"/>
    <s v="El Paso"/>
    <x v="5"/>
    <n v="79907"/>
    <x v="2"/>
    <x v="1"/>
    <x v="4"/>
    <n v="372.14400000000001"/>
    <n v="3"/>
    <n v="0.2"/>
    <n v="27.910799999999998"/>
  </r>
  <r>
    <s v="Standard Class"/>
    <x v="0"/>
    <s v="United States"/>
    <s v="Kissimmee"/>
    <x v="2"/>
    <n v="34741"/>
    <x v="0"/>
    <x v="2"/>
    <x v="7"/>
    <n v="751.98400000000004"/>
    <n v="2"/>
    <n v="0.2"/>
    <n v="84.598200000000006"/>
  </r>
  <r>
    <s v="First Class"/>
    <x v="2"/>
    <s v="United States"/>
    <s v="Seattle"/>
    <x v="4"/>
    <n v="98105"/>
    <x v="1"/>
    <x v="2"/>
    <x v="7"/>
    <n v="604.76800000000003"/>
    <n v="4"/>
    <n v="0.2"/>
    <n v="60.476799999999997"/>
  </r>
  <r>
    <s v="Second Class"/>
    <x v="1"/>
    <s v="United States"/>
    <s v="Santa Clara"/>
    <x v="1"/>
    <n v="95051"/>
    <x v="1"/>
    <x v="1"/>
    <x v="14"/>
    <n v="27.36"/>
    <n v="4"/>
    <n v="0"/>
    <n v="7.3872"/>
  </r>
  <r>
    <s v="Second Class"/>
    <x v="1"/>
    <s v="United States"/>
    <s v="Santa Clara"/>
    <x v="1"/>
    <n v="95051"/>
    <x v="1"/>
    <x v="1"/>
    <x v="10"/>
    <n v="20.56"/>
    <n v="2"/>
    <n v="0"/>
    <n v="9.6631999999999998"/>
  </r>
  <r>
    <s v="Second Class"/>
    <x v="1"/>
    <s v="United States"/>
    <s v="Santa Clara"/>
    <x v="1"/>
    <n v="95051"/>
    <x v="1"/>
    <x v="1"/>
    <x v="8"/>
    <n v="83.92"/>
    <n v="5"/>
    <n v="0.2"/>
    <n v="31.47"/>
  </r>
  <r>
    <s v="Standard Class"/>
    <x v="0"/>
    <s v="United States"/>
    <s v="Los Angeles"/>
    <x v="1"/>
    <n v="90049"/>
    <x v="1"/>
    <x v="0"/>
    <x v="3"/>
    <n v="902.71199999999999"/>
    <n v="3"/>
    <n v="0.2"/>
    <n v="33.851700000000001"/>
  </r>
  <r>
    <s v="Standard Class"/>
    <x v="2"/>
    <s v="United States"/>
    <s v="Fresno"/>
    <x v="1"/>
    <n v="93727"/>
    <x v="1"/>
    <x v="0"/>
    <x v="0"/>
    <n v="120.666"/>
    <n v="2"/>
    <n v="0.15"/>
    <n v="21.294"/>
  </r>
  <r>
    <s v="First Class"/>
    <x v="0"/>
    <s v="United States"/>
    <s v="Fort Worth"/>
    <x v="5"/>
    <n v="76106"/>
    <x v="2"/>
    <x v="1"/>
    <x v="8"/>
    <n v="4.984"/>
    <n v="1"/>
    <n v="0.8"/>
    <n v="-8.4727999999999994"/>
  </r>
  <r>
    <s v="Standard Class"/>
    <x v="2"/>
    <s v="United States"/>
    <s v="Seattle"/>
    <x v="4"/>
    <n v="98105"/>
    <x v="1"/>
    <x v="0"/>
    <x v="5"/>
    <n v="82.26"/>
    <n v="3"/>
    <n v="0"/>
    <n v="33.726599999999998"/>
  </r>
  <r>
    <s v="First Class"/>
    <x v="0"/>
    <s v="United States"/>
    <s v="San Francisco"/>
    <x v="1"/>
    <n v="94110"/>
    <x v="1"/>
    <x v="1"/>
    <x v="4"/>
    <n v="29.74"/>
    <n v="1"/>
    <n v="0"/>
    <n v="4.4610000000000003"/>
  </r>
  <r>
    <s v="Standard Class"/>
    <x v="2"/>
    <s v="United States"/>
    <s v="San Francisco"/>
    <x v="1"/>
    <n v="94110"/>
    <x v="1"/>
    <x v="1"/>
    <x v="9"/>
    <n v="87.36"/>
    <n v="6"/>
    <n v="0"/>
    <n v="23.587199999999999"/>
  </r>
  <r>
    <s v="Standard Class"/>
    <x v="2"/>
    <s v="United States"/>
    <s v="San Francisco"/>
    <x v="1"/>
    <n v="94110"/>
    <x v="1"/>
    <x v="1"/>
    <x v="8"/>
    <n v="56.16"/>
    <n v="6"/>
    <n v="0.2"/>
    <n v="17.55"/>
  </r>
  <r>
    <s v="Standard Class"/>
    <x v="1"/>
    <s v="United States"/>
    <s v="Pompano Beach"/>
    <x v="2"/>
    <n v="33068"/>
    <x v="0"/>
    <x v="1"/>
    <x v="9"/>
    <n v="64.384"/>
    <n v="1"/>
    <n v="0.2"/>
    <n v="8.048"/>
  </r>
  <r>
    <s v="Standard Class"/>
    <x v="1"/>
    <s v="United States"/>
    <s v="Houston"/>
    <x v="5"/>
    <n v="77095"/>
    <x v="2"/>
    <x v="1"/>
    <x v="4"/>
    <n v="64.784000000000006"/>
    <n v="1"/>
    <n v="0.2"/>
    <n v="-14.5764"/>
  </r>
  <r>
    <s v="Standard Class"/>
    <x v="1"/>
    <s v="United States"/>
    <s v="Houston"/>
    <x v="5"/>
    <n v="77095"/>
    <x v="2"/>
    <x v="1"/>
    <x v="10"/>
    <n v="15.552"/>
    <n v="3"/>
    <n v="0.2"/>
    <n v="5.6375999999999999"/>
  </r>
  <r>
    <s v="Standard Class"/>
    <x v="1"/>
    <s v="United States"/>
    <s v="Houston"/>
    <x v="5"/>
    <n v="77095"/>
    <x v="2"/>
    <x v="1"/>
    <x v="12"/>
    <n v="223.88800000000001"/>
    <n v="7"/>
    <n v="0.2"/>
    <n v="69.965000000000003"/>
  </r>
  <r>
    <s v="Second Class"/>
    <x v="0"/>
    <s v="United States"/>
    <s v="Chicago"/>
    <x v="10"/>
    <n v="60653"/>
    <x v="2"/>
    <x v="1"/>
    <x v="10"/>
    <n v="10.896000000000001"/>
    <n v="3"/>
    <n v="0.2"/>
    <n v="3.4049999999999998"/>
  </r>
  <r>
    <s v="Second Class"/>
    <x v="0"/>
    <s v="United States"/>
    <s v="San Francisco"/>
    <x v="1"/>
    <n v="94109"/>
    <x v="1"/>
    <x v="2"/>
    <x v="7"/>
    <n v="84.784000000000006"/>
    <n v="2"/>
    <n v="0.2"/>
    <n v="-20.136199999999999"/>
  </r>
  <r>
    <s v="Standard Class"/>
    <x v="1"/>
    <s v="United States"/>
    <s v="Houston"/>
    <x v="5"/>
    <n v="77036"/>
    <x v="2"/>
    <x v="0"/>
    <x v="1"/>
    <n v="241.5"/>
    <n v="4"/>
    <n v="0.3"/>
    <n v="0"/>
  </r>
  <r>
    <s v="First Class"/>
    <x v="2"/>
    <s v="United States"/>
    <s v="Shelton"/>
    <x v="29"/>
    <n v="6484"/>
    <x v="3"/>
    <x v="2"/>
    <x v="11"/>
    <n v="59.97"/>
    <n v="3"/>
    <n v="0"/>
    <n v="14.9925"/>
  </r>
  <r>
    <s v="First Class"/>
    <x v="2"/>
    <s v="United States"/>
    <s v="Shelton"/>
    <x v="29"/>
    <n v="6484"/>
    <x v="3"/>
    <x v="1"/>
    <x v="10"/>
    <n v="13.36"/>
    <n v="2"/>
    <n v="0"/>
    <n v="6.4127999999999998"/>
  </r>
  <r>
    <s v="Standard Class"/>
    <x v="1"/>
    <s v="United States"/>
    <s v="Oakland"/>
    <x v="1"/>
    <n v="94601"/>
    <x v="1"/>
    <x v="1"/>
    <x v="8"/>
    <n v="11.808"/>
    <n v="3"/>
    <n v="0.2"/>
    <n v="4.1327999999999996"/>
  </r>
  <r>
    <s v="Standard Class"/>
    <x v="0"/>
    <s v="United States"/>
    <s v="Manchester"/>
    <x v="29"/>
    <n v="6040"/>
    <x v="3"/>
    <x v="1"/>
    <x v="4"/>
    <n v="16.239999999999998"/>
    <n v="1"/>
    <n v="0"/>
    <n v="2.4359999999999999"/>
  </r>
  <r>
    <s v="Standard Class"/>
    <x v="0"/>
    <s v="United States"/>
    <s v="Manchester"/>
    <x v="29"/>
    <n v="6040"/>
    <x v="3"/>
    <x v="1"/>
    <x v="4"/>
    <n v="77.55"/>
    <n v="5"/>
    <n v="0"/>
    <n v="21.713999999999999"/>
  </r>
  <r>
    <s v="Standard Class"/>
    <x v="1"/>
    <s v="United States"/>
    <s v="Orange"/>
    <x v="30"/>
    <n v="7050"/>
    <x v="3"/>
    <x v="1"/>
    <x v="9"/>
    <n v="76.12"/>
    <n v="2"/>
    <n v="0"/>
    <n v="22.0748"/>
  </r>
  <r>
    <s v="First Class"/>
    <x v="2"/>
    <s v="United States"/>
    <s v="Akron"/>
    <x v="24"/>
    <n v="44312"/>
    <x v="3"/>
    <x v="1"/>
    <x v="13"/>
    <n v="17.184000000000001"/>
    <n v="6"/>
    <n v="0.2"/>
    <n v="6.2291999999999996"/>
  </r>
  <r>
    <s v="First Class"/>
    <x v="1"/>
    <s v="United States"/>
    <s v="Los Angeles"/>
    <x v="1"/>
    <n v="90032"/>
    <x v="1"/>
    <x v="1"/>
    <x v="10"/>
    <n v="11.76"/>
    <n v="2"/>
    <n v="0"/>
    <n v="5.7624000000000004"/>
  </r>
  <r>
    <s v="Standard Class"/>
    <x v="2"/>
    <s v="United States"/>
    <s v="Danbury"/>
    <x v="29"/>
    <n v="6810"/>
    <x v="3"/>
    <x v="0"/>
    <x v="5"/>
    <n v="27.46"/>
    <n v="2"/>
    <n v="0"/>
    <n v="9.8856000000000002"/>
  </r>
  <r>
    <s v="Second Class"/>
    <x v="0"/>
    <s v="United States"/>
    <s v="Franklin"/>
    <x v="31"/>
    <n v="2038"/>
    <x v="3"/>
    <x v="2"/>
    <x v="7"/>
    <n v="137.94"/>
    <n v="3"/>
    <n v="0"/>
    <n v="35.864400000000003"/>
  </r>
  <r>
    <s v="Second Class"/>
    <x v="0"/>
    <s v="United States"/>
    <s v="Franklin"/>
    <x v="31"/>
    <n v="2038"/>
    <x v="3"/>
    <x v="0"/>
    <x v="5"/>
    <n v="111.15"/>
    <n v="5"/>
    <n v="0"/>
    <n v="48.905999999999999"/>
  </r>
  <r>
    <s v="Second Class"/>
    <x v="0"/>
    <s v="United States"/>
    <s v="Franklin"/>
    <x v="31"/>
    <n v="2038"/>
    <x v="3"/>
    <x v="1"/>
    <x v="9"/>
    <n v="901.95"/>
    <n v="3"/>
    <n v="0"/>
    <n v="297.64350000000002"/>
  </r>
  <r>
    <s v="Second Class"/>
    <x v="0"/>
    <s v="United States"/>
    <s v="Franklin"/>
    <x v="31"/>
    <n v="2038"/>
    <x v="3"/>
    <x v="0"/>
    <x v="3"/>
    <n v="366.00900000000001"/>
    <n v="3"/>
    <n v="0.3"/>
    <n v="-47.058300000000003"/>
  </r>
  <r>
    <s v="Same Day"/>
    <x v="0"/>
    <s v="United States"/>
    <s v="Wilmington"/>
    <x v="3"/>
    <n v="28403"/>
    <x v="0"/>
    <x v="1"/>
    <x v="10"/>
    <n v="310.68799999999999"/>
    <n v="7"/>
    <n v="0.2"/>
    <n v="108.74079999999999"/>
  </r>
  <r>
    <s v="First Class"/>
    <x v="2"/>
    <s v="United States"/>
    <s v="Houston"/>
    <x v="5"/>
    <n v="77095"/>
    <x v="2"/>
    <x v="1"/>
    <x v="8"/>
    <n v="7.68"/>
    <n v="5"/>
    <n v="0.8"/>
    <n v="-11.52"/>
  </r>
  <r>
    <s v="Second Class"/>
    <x v="2"/>
    <s v="United States"/>
    <s v="Springfield"/>
    <x v="24"/>
    <n v="45503"/>
    <x v="3"/>
    <x v="0"/>
    <x v="1"/>
    <n v="155.37200000000001"/>
    <n v="2"/>
    <n v="0.3"/>
    <n v="-35.513599999999997"/>
  </r>
  <r>
    <s v="Standard Class"/>
    <x v="0"/>
    <s v="United States"/>
    <s v="Glendale"/>
    <x v="16"/>
    <n v="85301"/>
    <x v="1"/>
    <x v="1"/>
    <x v="4"/>
    <n v="10.744"/>
    <n v="1"/>
    <n v="0.2"/>
    <n v="0.80579999999999996"/>
  </r>
  <r>
    <s v="Second Class"/>
    <x v="0"/>
    <s v="United States"/>
    <s v="New York City"/>
    <x v="15"/>
    <n v="10009"/>
    <x v="3"/>
    <x v="1"/>
    <x v="8"/>
    <n v="232.4"/>
    <n v="5"/>
    <n v="0.2"/>
    <n v="78.435000000000002"/>
  </r>
  <r>
    <s v="Second Class"/>
    <x v="0"/>
    <s v="United States"/>
    <s v="New York City"/>
    <x v="15"/>
    <n v="10009"/>
    <x v="3"/>
    <x v="0"/>
    <x v="1"/>
    <n v="164.64599999999999"/>
    <n v="3"/>
    <n v="0.1"/>
    <n v="12.8058"/>
  </r>
  <r>
    <s v="Second Class"/>
    <x v="0"/>
    <s v="United States"/>
    <s v="New York City"/>
    <x v="15"/>
    <n v="10009"/>
    <x v="3"/>
    <x v="1"/>
    <x v="10"/>
    <n v="22.68"/>
    <n v="2"/>
    <n v="0"/>
    <n v="11.113200000000001"/>
  </r>
  <r>
    <s v="Standard Class"/>
    <x v="1"/>
    <s v="United States"/>
    <s v="Los Angeles"/>
    <x v="1"/>
    <n v="90036"/>
    <x v="1"/>
    <x v="1"/>
    <x v="10"/>
    <n v="105.52"/>
    <n v="4"/>
    <n v="0"/>
    <n v="48.539200000000001"/>
  </r>
  <r>
    <s v="Standard Class"/>
    <x v="1"/>
    <s v="United States"/>
    <s v="Newark"/>
    <x v="13"/>
    <n v="19711"/>
    <x v="3"/>
    <x v="0"/>
    <x v="5"/>
    <n v="83.92"/>
    <n v="4"/>
    <n v="0"/>
    <n v="5.8743999999999996"/>
  </r>
  <r>
    <s v="Standard Class"/>
    <x v="1"/>
    <s v="United States"/>
    <s v="Newark"/>
    <x v="13"/>
    <n v="19711"/>
    <x v="3"/>
    <x v="2"/>
    <x v="11"/>
    <n v="141.9"/>
    <n v="5"/>
    <n v="0"/>
    <n v="58.179000000000002"/>
  </r>
  <r>
    <s v="Standard Class"/>
    <x v="1"/>
    <s v="United States"/>
    <s v="Newark"/>
    <x v="13"/>
    <n v="19711"/>
    <x v="3"/>
    <x v="0"/>
    <x v="5"/>
    <n v="39.979999999999997"/>
    <n v="2"/>
    <n v="0"/>
    <n v="9.1953999999999994"/>
  </r>
  <r>
    <s v="Standard Class"/>
    <x v="1"/>
    <s v="United States"/>
    <s v="Newark"/>
    <x v="13"/>
    <n v="19711"/>
    <x v="3"/>
    <x v="1"/>
    <x v="6"/>
    <n v="28.91"/>
    <n v="7"/>
    <n v="0"/>
    <n v="8.673"/>
  </r>
  <r>
    <s v="Standard Class"/>
    <x v="1"/>
    <s v="United States"/>
    <s v="Newark"/>
    <x v="13"/>
    <n v="19711"/>
    <x v="3"/>
    <x v="1"/>
    <x v="6"/>
    <n v="174.95"/>
    <n v="5"/>
    <n v="0"/>
    <n v="45.487000000000002"/>
  </r>
  <r>
    <s v="Standard Class"/>
    <x v="2"/>
    <s v="United States"/>
    <s v="San Bernardino"/>
    <x v="1"/>
    <n v="92404"/>
    <x v="1"/>
    <x v="1"/>
    <x v="8"/>
    <n v="110.52800000000001"/>
    <n v="4"/>
    <n v="0.2"/>
    <n v="38.684800000000003"/>
  </r>
  <r>
    <s v="Same Day"/>
    <x v="1"/>
    <s v="United States"/>
    <s v="Burlington"/>
    <x v="3"/>
    <n v="27217"/>
    <x v="0"/>
    <x v="0"/>
    <x v="3"/>
    <n v="630.024"/>
    <n v="4"/>
    <n v="0.4"/>
    <n v="-199.5076"/>
  </r>
  <r>
    <s v="Second Class"/>
    <x v="0"/>
    <s v="United States"/>
    <s v="Salem"/>
    <x v="17"/>
    <n v="24153"/>
    <x v="0"/>
    <x v="1"/>
    <x v="6"/>
    <n v="27.86"/>
    <n v="7"/>
    <n v="0"/>
    <n v="9.1937999999999995"/>
  </r>
  <r>
    <s v="Standard Class"/>
    <x v="0"/>
    <s v="United States"/>
    <s v="Dallas"/>
    <x v="5"/>
    <n v="75217"/>
    <x v="2"/>
    <x v="0"/>
    <x v="3"/>
    <n v="933.40800000000002"/>
    <n v="4"/>
    <n v="0.3"/>
    <n v="-173.34719999999999"/>
  </r>
  <r>
    <s v="Standard Class"/>
    <x v="1"/>
    <s v="United States"/>
    <s v="Arlington"/>
    <x v="5"/>
    <n v="76017"/>
    <x v="2"/>
    <x v="1"/>
    <x v="10"/>
    <n v="51.84"/>
    <n v="10"/>
    <n v="0.2"/>
    <n v="18.143999999999998"/>
  </r>
  <r>
    <s v="Standard Class"/>
    <x v="1"/>
    <s v="United States"/>
    <s v="Arlington"/>
    <x v="5"/>
    <n v="76017"/>
    <x v="2"/>
    <x v="2"/>
    <x v="11"/>
    <n v="165.6"/>
    <n v="3"/>
    <n v="0.2"/>
    <n v="-6.21"/>
  </r>
  <r>
    <s v="Standard Class"/>
    <x v="2"/>
    <s v="United States"/>
    <s v="Marion"/>
    <x v="23"/>
    <n v="52302"/>
    <x v="2"/>
    <x v="1"/>
    <x v="10"/>
    <n v="106.32"/>
    <n v="3"/>
    <n v="0"/>
    <n v="49.970399999999998"/>
  </r>
  <r>
    <s v="First Class"/>
    <x v="2"/>
    <s v="United States"/>
    <s v="Seattle"/>
    <x v="4"/>
    <n v="98105"/>
    <x v="1"/>
    <x v="1"/>
    <x v="8"/>
    <n v="147.91999999999999"/>
    <n v="5"/>
    <n v="0.2"/>
    <n v="46.225000000000001"/>
  </r>
  <r>
    <s v="First Class"/>
    <x v="2"/>
    <s v="United States"/>
    <s v="Seattle"/>
    <x v="4"/>
    <n v="98105"/>
    <x v="1"/>
    <x v="1"/>
    <x v="4"/>
    <n v="104.28"/>
    <n v="3"/>
    <n v="0"/>
    <n v="26.07"/>
  </r>
  <r>
    <s v="First Class"/>
    <x v="2"/>
    <s v="United States"/>
    <s v="Seattle"/>
    <x v="4"/>
    <n v="98105"/>
    <x v="1"/>
    <x v="0"/>
    <x v="3"/>
    <n v="286.85000000000002"/>
    <n v="1"/>
    <n v="0"/>
    <n v="63.106999999999999"/>
  </r>
  <r>
    <s v="First Class"/>
    <x v="2"/>
    <s v="United States"/>
    <s v="Seattle"/>
    <x v="4"/>
    <n v="98105"/>
    <x v="1"/>
    <x v="1"/>
    <x v="4"/>
    <n v="66.959999999999994"/>
    <n v="4"/>
    <n v="0"/>
    <n v="2.6783999999999999"/>
  </r>
  <r>
    <s v="First Class"/>
    <x v="2"/>
    <s v="United States"/>
    <s v="Seattle"/>
    <x v="4"/>
    <n v="98105"/>
    <x v="1"/>
    <x v="2"/>
    <x v="11"/>
    <n v="199.98"/>
    <n v="2"/>
    <n v="0"/>
    <n v="87.991200000000006"/>
  </r>
  <r>
    <s v="Standard Class"/>
    <x v="0"/>
    <s v="United States"/>
    <s v="Lakewood"/>
    <x v="30"/>
    <n v="8701"/>
    <x v="3"/>
    <x v="2"/>
    <x v="11"/>
    <n v="45"/>
    <n v="3"/>
    <n v="0"/>
    <n v="4.95"/>
  </r>
  <r>
    <s v="Standard Class"/>
    <x v="0"/>
    <s v="United States"/>
    <s v="Lakewood"/>
    <x v="30"/>
    <n v="8701"/>
    <x v="3"/>
    <x v="1"/>
    <x v="13"/>
    <n v="17.899999999999999"/>
    <n v="5"/>
    <n v="0"/>
    <n v="8.7710000000000008"/>
  </r>
  <r>
    <s v="Standard Class"/>
    <x v="0"/>
    <s v="United States"/>
    <s v="Lakewood"/>
    <x v="30"/>
    <n v="8701"/>
    <x v="3"/>
    <x v="0"/>
    <x v="5"/>
    <n v="40.479999999999997"/>
    <n v="2"/>
    <n v="0"/>
    <n v="17.406400000000001"/>
  </r>
  <r>
    <s v="Standard Class"/>
    <x v="0"/>
    <s v="United States"/>
    <s v="Lakewood"/>
    <x v="30"/>
    <n v="8701"/>
    <x v="3"/>
    <x v="0"/>
    <x v="0"/>
    <n v="2154.9"/>
    <n v="5"/>
    <n v="0"/>
    <n v="129.29400000000001"/>
  </r>
  <r>
    <s v="First Class"/>
    <x v="1"/>
    <s v="United States"/>
    <s v="Cincinnati"/>
    <x v="24"/>
    <n v="45231"/>
    <x v="3"/>
    <x v="1"/>
    <x v="8"/>
    <n v="18.431999999999999"/>
    <n v="8"/>
    <n v="0.7"/>
    <n v="-12.288"/>
  </r>
  <r>
    <s v="Standard Class"/>
    <x v="0"/>
    <s v="United States"/>
    <s v="Thornton"/>
    <x v="22"/>
    <n v="80229"/>
    <x v="1"/>
    <x v="1"/>
    <x v="14"/>
    <n v="10.944000000000001"/>
    <n v="2"/>
    <n v="0.2"/>
    <n v="0.95760000000000001"/>
  </r>
  <r>
    <s v="First Class"/>
    <x v="0"/>
    <s v="United States"/>
    <s v="Roseville"/>
    <x v="12"/>
    <n v="48066"/>
    <x v="2"/>
    <x v="1"/>
    <x v="14"/>
    <n v="4.3600000000000003"/>
    <n v="2"/>
    <n v="0"/>
    <n v="0.1744"/>
  </r>
  <r>
    <s v="Standard Class"/>
    <x v="1"/>
    <s v="United States"/>
    <s v="Tempe"/>
    <x v="16"/>
    <n v="85281"/>
    <x v="1"/>
    <x v="2"/>
    <x v="11"/>
    <n v="62.351999999999997"/>
    <n v="6"/>
    <n v="0.2"/>
    <n v="-10.9116"/>
  </r>
  <r>
    <s v="Second Class"/>
    <x v="0"/>
    <s v="United States"/>
    <s v="Reading"/>
    <x v="9"/>
    <n v="19601"/>
    <x v="3"/>
    <x v="0"/>
    <x v="5"/>
    <n v="303.92"/>
    <n v="5"/>
    <n v="0.2"/>
    <n v="-30.391999999999999"/>
  </r>
  <r>
    <s v="Standard Class"/>
    <x v="0"/>
    <s v="United States"/>
    <s v="Apple Valley"/>
    <x v="11"/>
    <n v="55124"/>
    <x v="2"/>
    <x v="1"/>
    <x v="4"/>
    <n v="129.30000000000001"/>
    <n v="2"/>
    <n v="0"/>
    <n v="6.4649999999999999"/>
  </r>
  <r>
    <s v="Standard Class"/>
    <x v="1"/>
    <s v="United States"/>
    <s v="Baltimore"/>
    <x v="39"/>
    <n v="21215"/>
    <x v="3"/>
    <x v="0"/>
    <x v="5"/>
    <n v="274.2"/>
    <n v="10"/>
    <n v="0"/>
    <n v="112.422"/>
  </r>
  <r>
    <s v="Second Class"/>
    <x v="1"/>
    <s v="United States"/>
    <s v="Corpus Christi"/>
    <x v="5"/>
    <n v="78415"/>
    <x v="2"/>
    <x v="1"/>
    <x v="13"/>
    <n v="6.048"/>
    <n v="4"/>
    <n v="0.2"/>
    <n v="-1.3608"/>
  </r>
  <r>
    <s v="Second Class"/>
    <x v="1"/>
    <s v="United States"/>
    <s v="Corpus Christi"/>
    <x v="5"/>
    <n v="78415"/>
    <x v="2"/>
    <x v="1"/>
    <x v="10"/>
    <n v="6.8479999999999999"/>
    <n v="2"/>
    <n v="0.2"/>
    <n v="2.14"/>
  </r>
  <r>
    <s v="Second Class"/>
    <x v="1"/>
    <s v="United States"/>
    <s v="Corpus Christi"/>
    <x v="5"/>
    <n v="78415"/>
    <x v="2"/>
    <x v="0"/>
    <x v="5"/>
    <n v="9.9600000000000009"/>
    <n v="5"/>
    <n v="0.6"/>
    <n v="-6.7229999999999999"/>
  </r>
  <r>
    <s v="Second Class"/>
    <x v="1"/>
    <s v="United States"/>
    <s v="Corpus Christi"/>
    <x v="5"/>
    <n v="78415"/>
    <x v="2"/>
    <x v="1"/>
    <x v="8"/>
    <n v="8.5519999999999996"/>
    <n v="2"/>
    <n v="0.8"/>
    <n v="-13.683199999999999"/>
  </r>
  <r>
    <s v="Standard Class"/>
    <x v="0"/>
    <s v="United States"/>
    <s v="Las Vegas"/>
    <x v="33"/>
    <n v="89115"/>
    <x v="1"/>
    <x v="1"/>
    <x v="8"/>
    <n v="45.584000000000003"/>
    <n v="11"/>
    <n v="0.2"/>
    <n v="16.5242"/>
  </r>
  <r>
    <s v="Standard Class"/>
    <x v="0"/>
    <s v="United States"/>
    <s v="Cleveland"/>
    <x v="24"/>
    <n v="44105"/>
    <x v="3"/>
    <x v="2"/>
    <x v="11"/>
    <n v="25.488"/>
    <n v="2"/>
    <n v="0.2"/>
    <n v="4.4603999999999999"/>
  </r>
  <r>
    <s v="Standard Class"/>
    <x v="0"/>
    <s v="United States"/>
    <s v="Seattle"/>
    <x v="4"/>
    <n v="98105"/>
    <x v="1"/>
    <x v="1"/>
    <x v="8"/>
    <n v="136.96"/>
    <n v="4"/>
    <n v="0.2"/>
    <n v="51.36"/>
  </r>
  <r>
    <s v="Second Class"/>
    <x v="1"/>
    <s v="United States"/>
    <s v="Chicago"/>
    <x v="10"/>
    <n v="60623"/>
    <x v="2"/>
    <x v="2"/>
    <x v="7"/>
    <n v="49.616"/>
    <n v="2"/>
    <n v="0.2"/>
    <n v="4.9615999999999998"/>
  </r>
  <r>
    <s v="Second Class"/>
    <x v="2"/>
    <s v="United States"/>
    <s v="Columbus"/>
    <x v="24"/>
    <n v="43229"/>
    <x v="3"/>
    <x v="1"/>
    <x v="10"/>
    <n v="10.584"/>
    <n v="3"/>
    <n v="0.2"/>
    <n v="3.4398"/>
  </r>
  <r>
    <s v="Standard Class"/>
    <x v="0"/>
    <s v="United States"/>
    <s v="Tucson"/>
    <x v="16"/>
    <n v="85705"/>
    <x v="1"/>
    <x v="1"/>
    <x v="10"/>
    <n v="84.415999999999997"/>
    <n v="4"/>
    <n v="0.2"/>
    <n v="27.435199999999998"/>
  </r>
  <r>
    <s v="Standard Class"/>
    <x v="2"/>
    <s v="United States"/>
    <s v="Philadelphia"/>
    <x v="9"/>
    <n v="19120"/>
    <x v="3"/>
    <x v="2"/>
    <x v="7"/>
    <n v="431.94"/>
    <n v="2"/>
    <n v="0.4"/>
    <n v="-71.989999999999995"/>
  </r>
  <r>
    <s v="Standard Class"/>
    <x v="2"/>
    <s v="United States"/>
    <s v="Philadelphia"/>
    <x v="9"/>
    <n v="19120"/>
    <x v="3"/>
    <x v="1"/>
    <x v="8"/>
    <n v="2.0430000000000001"/>
    <n v="1"/>
    <n v="0.7"/>
    <n v="-1.4982"/>
  </r>
  <r>
    <s v="Standard Class"/>
    <x v="2"/>
    <s v="United States"/>
    <s v="Philadelphia"/>
    <x v="9"/>
    <n v="19120"/>
    <x v="3"/>
    <x v="2"/>
    <x v="7"/>
    <n v="68.238"/>
    <n v="3"/>
    <n v="0.4"/>
    <n v="-12.510300000000001"/>
  </r>
  <r>
    <s v="First Class"/>
    <x v="1"/>
    <s v="United States"/>
    <s v="Cranston"/>
    <x v="34"/>
    <n v="2920"/>
    <x v="3"/>
    <x v="0"/>
    <x v="3"/>
    <n v="240.744"/>
    <n v="4"/>
    <n v="0.3"/>
    <n v="-13.7568"/>
  </r>
  <r>
    <s v="First Class"/>
    <x v="1"/>
    <s v="United States"/>
    <s v="Cranston"/>
    <x v="34"/>
    <n v="2920"/>
    <x v="3"/>
    <x v="0"/>
    <x v="5"/>
    <n v="35"/>
    <n v="4"/>
    <n v="0"/>
    <n v="14.7"/>
  </r>
  <r>
    <s v="First Class"/>
    <x v="1"/>
    <s v="United States"/>
    <s v="Cranston"/>
    <x v="34"/>
    <n v="2920"/>
    <x v="3"/>
    <x v="0"/>
    <x v="5"/>
    <n v="210.68"/>
    <n v="2"/>
    <n v="0"/>
    <n v="50.563200000000002"/>
  </r>
  <r>
    <s v="First Class"/>
    <x v="1"/>
    <s v="United States"/>
    <s v="Cranston"/>
    <x v="34"/>
    <n v="2920"/>
    <x v="3"/>
    <x v="0"/>
    <x v="3"/>
    <n v="637.89599999999996"/>
    <n v="3"/>
    <n v="0.3"/>
    <n v="-127.5792"/>
  </r>
  <r>
    <s v="First Class"/>
    <x v="1"/>
    <s v="United States"/>
    <s v="Cranston"/>
    <x v="34"/>
    <n v="2920"/>
    <x v="3"/>
    <x v="1"/>
    <x v="10"/>
    <n v="43.44"/>
    <n v="8"/>
    <n v="0"/>
    <n v="21.285599999999999"/>
  </r>
  <r>
    <s v="First Class"/>
    <x v="1"/>
    <s v="United States"/>
    <s v="Cranston"/>
    <x v="34"/>
    <n v="2920"/>
    <x v="3"/>
    <x v="1"/>
    <x v="9"/>
    <n v="2.2200000000000002"/>
    <n v="1"/>
    <n v="0"/>
    <n v="0.66600000000000004"/>
  </r>
  <r>
    <s v="First Class"/>
    <x v="0"/>
    <s v="United States"/>
    <s v="San Francisco"/>
    <x v="1"/>
    <n v="94122"/>
    <x v="1"/>
    <x v="2"/>
    <x v="7"/>
    <n v="1679.96"/>
    <n v="5"/>
    <n v="0.2"/>
    <n v="125.997"/>
  </r>
  <r>
    <s v="Standard Class"/>
    <x v="1"/>
    <s v="United States"/>
    <s v="Houston"/>
    <x v="5"/>
    <n v="77070"/>
    <x v="2"/>
    <x v="0"/>
    <x v="1"/>
    <n v="344.37200000000001"/>
    <n v="4"/>
    <n v="0.3"/>
    <n v="-93.472399999999993"/>
  </r>
  <r>
    <s v="Standard Class"/>
    <x v="1"/>
    <s v="United States"/>
    <s v="Houston"/>
    <x v="5"/>
    <n v="77070"/>
    <x v="2"/>
    <x v="1"/>
    <x v="4"/>
    <n v="1554.9359999999999"/>
    <n v="3"/>
    <n v="0.2"/>
    <n v="77.746799999999993"/>
  </r>
  <r>
    <s v="Standard Class"/>
    <x v="1"/>
    <s v="United States"/>
    <s v="Houston"/>
    <x v="5"/>
    <n v="77070"/>
    <x v="2"/>
    <x v="0"/>
    <x v="5"/>
    <n v="127.88"/>
    <n v="5"/>
    <n v="0.6"/>
    <n v="-67.137"/>
  </r>
  <r>
    <s v="Standard Class"/>
    <x v="1"/>
    <s v="United States"/>
    <s v="Los Angeles"/>
    <x v="1"/>
    <n v="90049"/>
    <x v="1"/>
    <x v="2"/>
    <x v="7"/>
    <n v="222.38399999999999"/>
    <n v="2"/>
    <n v="0.2"/>
    <n v="22.238399999999999"/>
  </r>
  <r>
    <s v="Second Class"/>
    <x v="1"/>
    <s v="United States"/>
    <s v="Chicago"/>
    <x v="10"/>
    <n v="60653"/>
    <x v="2"/>
    <x v="0"/>
    <x v="1"/>
    <n v="106.869"/>
    <n v="3"/>
    <n v="0.3"/>
    <n v="-29.007300000000001"/>
  </r>
  <r>
    <s v="Second Class"/>
    <x v="1"/>
    <s v="United States"/>
    <s v="Chicago"/>
    <x v="10"/>
    <n v="60653"/>
    <x v="2"/>
    <x v="1"/>
    <x v="8"/>
    <n v="3.5640000000000001"/>
    <n v="3"/>
    <n v="0.8"/>
    <n v="-6.2370000000000001"/>
  </r>
  <r>
    <s v="Standard Class"/>
    <x v="0"/>
    <s v="United States"/>
    <s v="Houston"/>
    <x v="5"/>
    <n v="77070"/>
    <x v="2"/>
    <x v="1"/>
    <x v="8"/>
    <n v="25.68"/>
    <n v="3"/>
    <n v="0.8"/>
    <n v="-39.804000000000002"/>
  </r>
  <r>
    <s v="Standard Class"/>
    <x v="0"/>
    <s v="United States"/>
    <s v="Houston"/>
    <x v="5"/>
    <n v="77070"/>
    <x v="2"/>
    <x v="1"/>
    <x v="8"/>
    <n v="12.384"/>
    <n v="3"/>
    <n v="0.8"/>
    <n v="-19.814399999999999"/>
  </r>
  <r>
    <s v="Standard Class"/>
    <x v="0"/>
    <s v="United States"/>
    <s v="Bristol"/>
    <x v="29"/>
    <n v="6010"/>
    <x v="3"/>
    <x v="1"/>
    <x v="8"/>
    <n v="25.3"/>
    <n v="5"/>
    <n v="0"/>
    <n v="11.891"/>
  </r>
  <r>
    <s v="Standard Class"/>
    <x v="0"/>
    <s v="United States"/>
    <s v="Bristol"/>
    <x v="29"/>
    <n v="6010"/>
    <x v="3"/>
    <x v="1"/>
    <x v="4"/>
    <n v="95.94"/>
    <n v="3"/>
    <n v="0"/>
    <n v="9.5939999999999994"/>
  </r>
  <r>
    <s v="Second Class"/>
    <x v="0"/>
    <s v="United States"/>
    <s v="Holland"/>
    <x v="12"/>
    <n v="49423"/>
    <x v="2"/>
    <x v="1"/>
    <x v="2"/>
    <n v="7.5"/>
    <n v="2"/>
    <n v="0"/>
    <n v="3.6"/>
  </r>
  <r>
    <s v="Standard Class"/>
    <x v="2"/>
    <s v="United States"/>
    <s v="Albuquerque"/>
    <x v="27"/>
    <n v="87105"/>
    <x v="1"/>
    <x v="2"/>
    <x v="7"/>
    <n v="302.37599999999998"/>
    <n v="3"/>
    <n v="0.2"/>
    <n v="22.6782"/>
  </r>
  <r>
    <s v="Standard Class"/>
    <x v="0"/>
    <s v="United States"/>
    <s v="Louisville"/>
    <x v="22"/>
    <n v="80027"/>
    <x v="1"/>
    <x v="2"/>
    <x v="11"/>
    <n v="46.688000000000002"/>
    <n v="4"/>
    <n v="0.2"/>
    <n v="-2.9180000000000001"/>
  </r>
  <r>
    <s v="Standard Class"/>
    <x v="0"/>
    <s v="United States"/>
    <s v="New York City"/>
    <x v="15"/>
    <n v="10024"/>
    <x v="3"/>
    <x v="1"/>
    <x v="4"/>
    <n v="17.940000000000001"/>
    <n v="3"/>
    <n v="0"/>
    <n v="3.0497999999999998"/>
  </r>
  <r>
    <s v="Standard Class"/>
    <x v="0"/>
    <s v="United States"/>
    <s v="Norwich"/>
    <x v="29"/>
    <n v="6360"/>
    <x v="3"/>
    <x v="1"/>
    <x v="9"/>
    <n v="370.14"/>
    <n v="3"/>
    <n v="0"/>
    <n v="144.3546"/>
  </r>
  <r>
    <s v="Standard Class"/>
    <x v="1"/>
    <s v="United States"/>
    <s v="San Francisco"/>
    <x v="1"/>
    <n v="94122"/>
    <x v="1"/>
    <x v="1"/>
    <x v="8"/>
    <n v="8.9280000000000008"/>
    <n v="2"/>
    <n v="0.2"/>
    <n v="3.1248"/>
  </r>
  <r>
    <s v="Standard Class"/>
    <x v="1"/>
    <s v="United States"/>
    <s v="Noblesville"/>
    <x v="14"/>
    <n v="46060"/>
    <x v="2"/>
    <x v="0"/>
    <x v="3"/>
    <n v="2678.94"/>
    <n v="6"/>
    <n v="0"/>
    <n v="241.1046"/>
  </r>
  <r>
    <s v="Standard Class"/>
    <x v="2"/>
    <s v="United States"/>
    <s v="Clarksville"/>
    <x v="18"/>
    <n v="37042"/>
    <x v="0"/>
    <x v="0"/>
    <x v="0"/>
    <n v="387.13600000000002"/>
    <n v="4"/>
    <n v="0.2"/>
    <n v="-14.5176"/>
  </r>
  <r>
    <s v="Standard Class"/>
    <x v="2"/>
    <s v="United States"/>
    <s v="Clarksville"/>
    <x v="18"/>
    <n v="37042"/>
    <x v="0"/>
    <x v="2"/>
    <x v="11"/>
    <n v="45.408000000000001"/>
    <n v="2"/>
    <n v="0.2"/>
    <n v="11.919600000000001"/>
  </r>
  <r>
    <s v="Standard Class"/>
    <x v="2"/>
    <s v="United States"/>
    <s v="Clarksville"/>
    <x v="18"/>
    <n v="37042"/>
    <x v="0"/>
    <x v="0"/>
    <x v="5"/>
    <n v="77.951999999999998"/>
    <n v="3"/>
    <n v="0.2"/>
    <n v="-11.6928"/>
  </r>
  <r>
    <s v="Standard Class"/>
    <x v="2"/>
    <s v="United States"/>
    <s v="Clarksville"/>
    <x v="18"/>
    <n v="37042"/>
    <x v="0"/>
    <x v="1"/>
    <x v="2"/>
    <n v="3"/>
    <n v="1"/>
    <n v="0.2"/>
    <n v="1.05"/>
  </r>
  <r>
    <s v="Second Class"/>
    <x v="0"/>
    <s v="United States"/>
    <s v="Hollywood"/>
    <x v="2"/>
    <n v="33021"/>
    <x v="0"/>
    <x v="1"/>
    <x v="4"/>
    <n v="9.952"/>
    <n v="1"/>
    <n v="0.2"/>
    <n v="0.99519999999999997"/>
  </r>
  <r>
    <s v="Standard Class"/>
    <x v="1"/>
    <s v="United States"/>
    <s v="York"/>
    <x v="9"/>
    <n v="17403"/>
    <x v="3"/>
    <x v="1"/>
    <x v="8"/>
    <n v="37.896000000000001"/>
    <n v="4"/>
    <n v="0.7"/>
    <n v="-29.053599999999999"/>
  </r>
  <r>
    <s v="Standard Class"/>
    <x v="1"/>
    <s v="United States"/>
    <s v="York"/>
    <x v="9"/>
    <n v="17403"/>
    <x v="3"/>
    <x v="1"/>
    <x v="10"/>
    <n v="65.584000000000003"/>
    <n v="2"/>
    <n v="0.2"/>
    <n v="23.7742"/>
  </r>
  <r>
    <s v="Standard Class"/>
    <x v="2"/>
    <s v="United States"/>
    <s v="Mesa"/>
    <x v="16"/>
    <n v="85204"/>
    <x v="1"/>
    <x v="1"/>
    <x v="10"/>
    <n v="44.783999999999999"/>
    <n v="1"/>
    <n v="0.2"/>
    <n v="16.234200000000001"/>
  </r>
  <r>
    <s v="Same Day"/>
    <x v="1"/>
    <s v="United States"/>
    <s v="New York City"/>
    <x v="15"/>
    <n v="10024"/>
    <x v="3"/>
    <x v="2"/>
    <x v="15"/>
    <n v="1035.8"/>
    <n v="4"/>
    <n v="0"/>
    <n v="269.30799999999999"/>
  </r>
  <r>
    <s v="Standard Class"/>
    <x v="2"/>
    <s v="United States"/>
    <s v="San Francisco"/>
    <x v="1"/>
    <n v="94110"/>
    <x v="1"/>
    <x v="1"/>
    <x v="6"/>
    <n v="5.76"/>
    <n v="2"/>
    <n v="0"/>
    <n v="1.6704000000000001"/>
  </r>
  <r>
    <s v="Standard Class"/>
    <x v="0"/>
    <s v="United States"/>
    <s v="Los Angeles"/>
    <x v="1"/>
    <n v="90036"/>
    <x v="1"/>
    <x v="1"/>
    <x v="10"/>
    <n v="19.98"/>
    <n v="2"/>
    <n v="0"/>
    <n v="8.9909999999999997"/>
  </r>
  <r>
    <s v="Standard Class"/>
    <x v="0"/>
    <s v="United States"/>
    <s v="Omaha"/>
    <x v="8"/>
    <n v="68104"/>
    <x v="2"/>
    <x v="2"/>
    <x v="7"/>
    <n v="35.979999999999997"/>
    <n v="2"/>
    <n v="0"/>
    <n v="10.074400000000001"/>
  </r>
  <r>
    <s v="Standard Class"/>
    <x v="2"/>
    <s v="United States"/>
    <s v="Philadelphia"/>
    <x v="9"/>
    <n v="19120"/>
    <x v="3"/>
    <x v="1"/>
    <x v="6"/>
    <n v="16.655999999999999"/>
    <n v="3"/>
    <n v="0.2"/>
    <n v="3.3311999999999999"/>
  </r>
  <r>
    <s v="Standard Class"/>
    <x v="1"/>
    <s v="United States"/>
    <s v="New York City"/>
    <x v="15"/>
    <n v="10024"/>
    <x v="3"/>
    <x v="1"/>
    <x v="2"/>
    <n v="20.7"/>
    <n v="2"/>
    <n v="0"/>
    <n v="9.9359999999999999"/>
  </r>
  <r>
    <s v="Standard Class"/>
    <x v="0"/>
    <s v="United States"/>
    <s v="Grand Rapids"/>
    <x v="12"/>
    <n v="49505"/>
    <x v="2"/>
    <x v="1"/>
    <x v="8"/>
    <n v="83.7"/>
    <n v="5"/>
    <n v="0"/>
    <n v="41.012999999999998"/>
  </r>
  <r>
    <s v="Same Day"/>
    <x v="0"/>
    <s v="United States"/>
    <s v="Seattle"/>
    <x v="4"/>
    <n v="98115"/>
    <x v="1"/>
    <x v="0"/>
    <x v="5"/>
    <n v="199.8"/>
    <n v="10"/>
    <n v="0"/>
    <n v="71.927999999999997"/>
  </r>
  <r>
    <s v="Standard Class"/>
    <x v="2"/>
    <s v="United States"/>
    <s v="Fresno"/>
    <x v="1"/>
    <n v="93727"/>
    <x v="1"/>
    <x v="1"/>
    <x v="10"/>
    <n v="45.68"/>
    <n v="2"/>
    <n v="0"/>
    <n v="21.012799999999999"/>
  </r>
  <r>
    <s v="Standard Class"/>
    <x v="2"/>
    <s v="United States"/>
    <s v="Fresno"/>
    <x v="1"/>
    <n v="93727"/>
    <x v="1"/>
    <x v="1"/>
    <x v="10"/>
    <n v="110.96"/>
    <n v="2"/>
    <n v="0"/>
    <n v="53.260800000000003"/>
  </r>
  <r>
    <s v="Standard Class"/>
    <x v="2"/>
    <s v="United States"/>
    <s v="Fresno"/>
    <x v="1"/>
    <n v="93727"/>
    <x v="1"/>
    <x v="1"/>
    <x v="10"/>
    <n v="11.94"/>
    <n v="3"/>
    <n v="0"/>
    <n v="5.97"/>
  </r>
  <r>
    <s v="Second Class"/>
    <x v="0"/>
    <s v="United States"/>
    <s v="Arlington"/>
    <x v="17"/>
    <n v="22204"/>
    <x v="0"/>
    <x v="2"/>
    <x v="15"/>
    <n v="8749.9500000000007"/>
    <n v="5"/>
    <n v="0"/>
    <n v="2799.9839999999999"/>
  </r>
  <r>
    <s v="Second Class"/>
    <x v="0"/>
    <s v="United States"/>
    <s v="Arlington"/>
    <x v="17"/>
    <n v="22204"/>
    <x v="0"/>
    <x v="1"/>
    <x v="8"/>
    <n v="36.4"/>
    <n v="8"/>
    <n v="0"/>
    <n v="18.2"/>
  </r>
  <r>
    <s v="Second Class"/>
    <x v="0"/>
    <s v="United States"/>
    <s v="Arlington"/>
    <x v="17"/>
    <n v="22204"/>
    <x v="0"/>
    <x v="0"/>
    <x v="5"/>
    <n v="18.690000000000001"/>
    <n v="7"/>
    <n v="0"/>
    <n v="7.1021999999999998"/>
  </r>
  <r>
    <s v="Standard Class"/>
    <x v="0"/>
    <s v="United States"/>
    <s v="Los Angeles"/>
    <x v="1"/>
    <n v="90049"/>
    <x v="1"/>
    <x v="1"/>
    <x v="13"/>
    <n v="5.94"/>
    <n v="3"/>
    <n v="0"/>
    <n v="0.1188"/>
  </r>
  <r>
    <s v="Standard Class"/>
    <x v="0"/>
    <s v="United States"/>
    <s v="Lubbock"/>
    <x v="5"/>
    <n v="79424"/>
    <x v="2"/>
    <x v="1"/>
    <x v="10"/>
    <n v="60.735999999999997"/>
    <n v="8"/>
    <n v="0.2"/>
    <n v="20.4984"/>
  </r>
  <r>
    <s v="Standard Class"/>
    <x v="0"/>
    <s v="United States"/>
    <s v="Lubbock"/>
    <x v="5"/>
    <n v="79424"/>
    <x v="2"/>
    <x v="2"/>
    <x v="16"/>
    <n v="479.976"/>
    <n v="3"/>
    <n v="0.2"/>
    <n v="161.99189999999999"/>
  </r>
  <r>
    <s v="Standard Class"/>
    <x v="0"/>
    <s v="United States"/>
    <s v="Lubbock"/>
    <x v="5"/>
    <n v="79424"/>
    <x v="2"/>
    <x v="1"/>
    <x v="8"/>
    <n v="6.08"/>
    <n v="1"/>
    <n v="0.8"/>
    <n v="-10.336"/>
  </r>
  <r>
    <s v="Standard Class"/>
    <x v="1"/>
    <s v="United States"/>
    <s v="Longmont"/>
    <x v="22"/>
    <n v="80501"/>
    <x v="1"/>
    <x v="2"/>
    <x v="11"/>
    <n v="165.6"/>
    <n v="3"/>
    <n v="0.2"/>
    <n v="-6.21"/>
  </r>
  <r>
    <s v="Second Class"/>
    <x v="0"/>
    <s v="United States"/>
    <s v="Yonkers"/>
    <x v="15"/>
    <n v="10701"/>
    <x v="3"/>
    <x v="1"/>
    <x v="6"/>
    <n v="59.52"/>
    <n v="3"/>
    <n v="0"/>
    <n v="15.475199999999999"/>
  </r>
  <r>
    <s v="Second Class"/>
    <x v="0"/>
    <s v="United States"/>
    <s v="Yonkers"/>
    <x v="15"/>
    <n v="10701"/>
    <x v="3"/>
    <x v="2"/>
    <x v="11"/>
    <n v="479.97"/>
    <n v="3"/>
    <n v="0"/>
    <n v="177.5889"/>
  </r>
  <r>
    <s v="Second Class"/>
    <x v="0"/>
    <s v="United States"/>
    <s v="Yonkers"/>
    <x v="15"/>
    <n v="10701"/>
    <x v="3"/>
    <x v="1"/>
    <x v="14"/>
    <n v="18.62"/>
    <n v="2"/>
    <n v="0"/>
    <n v="5.3997999999999999"/>
  </r>
  <r>
    <s v="Second Class"/>
    <x v="0"/>
    <s v="United States"/>
    <s v="Yonkers"/>
    <x v="15"/>
    <n v="10701"/>
    <x v="3"/>
    <x v="1"/>
    <x v="8"/>
    <n v="49.631999999999998"/>
    <n v="6"/>
    <n v="0.2"/>
    <n v="16.750800000000002"/>
  </r>
  <r>
    <s v="Second Class"/>
    <x v="0"/>
    <s v="United States"/>
    <s v="Yonkers"/>
    <x v="15"/>
    <n v="10701"/>
    <x v="3"/>
    <x v="1"/>
    <x v="10"/>
    <n v="97.82"/>
    <n v="2"/>
    <n v="0"/>
    <n v="45.9754"/>
  </r>
  <r>
    <s v="Second Class"/>
    <x v="1"/>
    <s v="United States"/>
    <s v="Los Angeles"/>
    <x v="1"/>
    <n v="90045"/>
    <x v="1"/>
    <x v="2"/>
    <x v="7"/>
    <n v="15.984"/>
    <n v="2"/>
    <n v="0.2"/>
    <n v="1.1988000000000001"/>
  </r>
  <r>
    <s v="Second Class"/>
    <x v="1"/>
    <s v="United States"/>
    <s v="Los Angeles"/>
    <x v="1"/>
    <n v="90045"/>
    <x v="1"/>
    <x v="0"/>
    <x v="1"/>
    <n v="184.75200000000001"/>
    <n v="3"/>
    <n v="0.2"/>
    <n v="-20.784600000000001"/>
  </r>
  <r>
    <s v="Standard Class"/>
    <x v="2"/>
    <s v="United States"/>
    <s v="Los Angeles"/>
    <x v="1"/>
    <n v="90049"/>
    <x v="1"/>
    <x v="1"/>
    <x v="10"/>
    <n v="12.96"/>
    <n v="2"/>
    <n v="0"/>
    <n v="6.2207999999999997"/>
  </r>
  <r>
    <s v="Standard Class"/>
    <x v="0"/>
    <s v="United States"/>
    <s v="Amarillo"/>
    <x v="5"/>
    <n v="79109"/>
    <x v="2"/>
    <x v="0"/>
    <x v="1"/>
    <n v="366.74400000000003"/>
    <n v="4"/>
    <n v="0.3"/>
    <n v="-110.0232"/>
  </r>
  <r>
    <s v="Standard Class"/>
    <x v="2"/>
    <s v="United States"/>
    <s v="Dallas"/>
    <x v="5"/>
    <n v="75217"/>
    <x v="2"/>
    <x v="1"/>
    <x v="8"/>
    <n v="8.8559999999999999"/>
    <n v="9"/>
    <n v="0.8"/>
    <n v="-14.169600000000001"/>
  </r>
  <r>
    <s v="Standard Class"/>
    <x v="2"/>
    <s v="United States"/>
    <s v="Dallas"/>
    <x v="5"/>
    <n v="75217"/>
    <x v="2"/>
    <x v="2"/>
    <x v="11"/>
    <n v="27.96"/>
    <n v="5"/>
    <n v="0.2"/>
    <n v="8.3879999999999999"/>
  </r>
  <r>
    <s v="Standard Class"/>
    <x v="2"/>
    <s v="United States"/>
    <s v="Dallas"/>
    <x v="5"/>
    <n v="75217"/>
    <x v="2"/>
    <x v="1"/>
    <x v="12"/>
    <n v="146.352"/>
    <n v="3"/>
    <n v="0.2"/>
    <n v="49.393799999999999"/>
  </r>
  <r>
    <s v="First Class"/>
    <x v="0"/>
    <s v="United States"/>
    <s v="Detroit"/>
    <x v="12"/>
    <n v="48205"/>
    <x v="2"/>
    <x v="2"/>
    <x v="11"/>
    <n v="175.23"/>
    <n v="11"/>
    <n v="0"/>
    <n v="61.330500000000001"/>
  </r>
  <r>
    <s v="First Class"/>
    <x v="0"/>
    <s v="United States"/>
    <s v="Detroit"/>
    <x v="12"/>
    <n v="48205"/>
    <x v="2"/>
    <x v="2"/>
    <x v="7"/>
    <n v="125.99"/>
    <n v="1"/>
    <n v="0"/>
    <n v="31.497499999999999"/>
  </r>
  <r>
    <s v="First Class"/>
    <x v="0"/>
    <s v="United States"/>
    <s v="Detroit"/>
    <x v="12"/>
    <n v="48205"/>
    <x v="2"/>
    <x v="1"/>
    <x v="8"/>
    <n v="23"/>
    <n v="2"/>
    <n v="0"/>
    <n v="10.35"/>
  </r>
  <r>
    <s v="Standard Class"/>
    <x v="0"/>
    <s v="United States"/>
    <s v="New York City"/>
    <x v="15"/>
    <n v="10035"/>
    <x v="3"/>
    <x v="1"/>
    <x v="8"/>
    <n v="25.584"/>
    <n v="2"/>
    <n v="0.2"/>
    <n v="8.9543999999999997"/>
  </r>
  <r>
    <s v="Standard Class"/>
    <x v="1"/>
    <s v="United States"/>
    <s v="Houston"/>
    <x v="5"/>
    <n v="77041"/>
    <x v="2"/>
    <x v="0"/>
    <x v="5"/>
    <n v="73.784000000000006"/>
    <n v="2"/>
    <n v="0.6"/>
    <n v="-77.473200000000006"/>
  </r>
  <r>
    <s v="Standard Class"/>
    <x v="1"/>
    <s v="United States"/>
    <s v="Orlando"/>
    <x v="2"/>
    <n v="32839"/>
    <x v="0"/>
    <x v="1"/>
    <x v="10"/>
    <n v="20.736000000000001"/>
    <n v="4"/>
    <n v="0.2"/>
    <n v="7.2576000000000001"/>
  </r>
  <r>
    <s v="Standard Class"/>
    <x v="1"/>
    <s v="United States"/>
    <s v="Florence"/>
    <x v="0"/>
    <n v="41042"/>
    <x v="0"/>
    <x v="1"/>
    <x v="6"/>
    <n v="17.52"/>
    <n v="3"/>
    <n v="0"/>
    <n v="8.2344000000000008"/>
  </r>
  <r>
    <s v="Standard Class"/>
    <x v="1"/>
    <s v="United States"/>
    <s v="Florence"/>
    <x v="0"/>
    <n v="41042"/>
    <x v="0"/>
    <x v="1"/>
    <x v="6"/>
    <n v="35.76"/>
    <n v="12"/>
    <n v="0"/>
    <n v="10.0128"/>
  </r>
  <r>
    <s v="Standard Class"/>
    <x v="0"/>
    <s v="United States"/>
    <s v="New York City"/>
    <x v="15"/>
    <n v="10009"/>
    <x v="3"/>
    <x v="1"/>
    <x v="6"/>
    <n v="3.64"/>
    <n v="2"/>
    <n v="0"/>
    <n v="0.98280000000000001"/>
  </r>
  <r>
    <s v="Second Class"/>
    <x v="0"/>
    <s v="United States"/>
    <s v="Frisco"/>
    <x v="5"/>
    <n v="75034"/>
    <x v="2"/>
    <x v="0"/>
    <x v="5"/>
    <n v="30.335999999999999"/>
    <n v="6"/>
    <n v="0.6"/>
    <n v="-17.443200000000001"/>
  </r>
  <r>
    <s v="Standard Class"/>
    <x v="0"/>
    <s v="United States"/>
    <s v="Paterson"/>
    <x v="30"/>
    <n v="7501"/>
    <x v="3"/>
    <x v="0"/>
    <x v="5"/>
    <n v="12.99"/>
    <n v="1"/>
    <n v="0"/>
    <n v="1.5588"/>
  </r>
  <r>
    <s v="Standard Class"/>
    <x v="0"/>
    <s v="United States"/>
    <s v="Paterson"/>
    <x v="30"/>
    <n v="7501"/>
    <x v="3"/>
    <x v="0"/>
    <x v="1"/>
    <n v="182.22"/>
    <n v="3"/>
    <n v="0"/>
    <n v="45.555"/>
  </r>
  <r>
    <s v="Standard Class"/>
    <x v="0"/>
    <s v="United States"/>
    <s v="Paterson"/>
    <x v="30"/>
    <n v="7501"/>
    <x v="3"/>
    <x v="0"/>
    <x v="1"/>
    <n v="302.94"/>
    <n v="3"/>
    <n v="0"/>
    <n v="18.176400000000001"/>
  </r>
  <r>
    <s v="Standard Class"/>
    <x v="2"/>
    <s v="United States"/>
    <s v="Columbus"/>
    <x v="24"/>
    <n v="43229"/>
    <x v="3"/>
    <x v="0"/>
    <x v="5"/>
    <n v="54.991999999999997"/>
    <n v="14"/>
    <n v="0.2"/>
    <n v="8.9361999999999995"/>
  </r>
  <r>
    <s v="Standard Class"/>
    <x v="1"/>
    <s v="United States"/>
    <s v="Milwaukee"/>
    <x v="6"/>
    <n v="53209"/>
    <x v="2"/>
    <x v="2"/>
    <x v="7"/>
    <n v="12.99"/>
    <n v="1"/>
    <n v="0"/>
    <n v="0.25979999999999998"/>
  </r>
  <r>
    <s v="Standard Class"/>
    <x v="0"/>
    <s v="United States"/>
    <s v="San Francisco"/>
    <x v="1"/>
    <n v="94109"/>
    <x v="1"/>
    <x v="1"/>
    <x v="10"/>
    <n v="55.86"/>
    <n v="7"/>
    <n v="0"/>
    <n v="27.93"/>
  </r>
  <r>
    <s v="Same Day"/>
    <x v="0"/>
    <s v="United States"/>
    <s v="Columbus"/>
    <x v="24"/>
    <n v="43229"/>
    <x v="3"/>
    <x v="2"/>
    <x v="7"/>
    <n v="44.375999999999998"/>
    <n v="2"/>
    <n v="0.4"/>
    <n v="-7.3959999999999999"/>
  </r>
  <r>
    <s v="Same Day"/>
    <x v="0"/>
    <s v="United States"/>
    <s v="Columbus"/>
    <x v="24"/>
    <n v="43229"/>
    <x v="3"/>
    <x v="0"/>
    <x v="5"/>
    <n v="51.264000000000003"/>
    <n v="6"/>
    <n v="0.2"/>
    <n v="7.6896000000000004"/>
  </r>
  <r>
    <s v="Same Day"/>
    <x v="0"/>
    <s v="United States"/>
    <s v="Columbus"/>
    <x v="24"/>
    <n v="43229"/>
    <x v="3"/>
    <x v="1"/>
    <x v="8"/>
    <n v="5.1929999999999996"/>
    <n v="3"/>
    <n v="0.7"/>
    <n v="-3.4620000000000002"/>
  </r>
  <r>
    <s v="Same Day"/>
    <x v="0"/>
    <s v="United States"/>
    <s v="Columbus"/>
    <x v="24"/>
    <n v="43229"/>
    <x v="3"/>
    <x v="2"/>
    <x v="11"/>
    <n v="159.98400000000001"/>
    <n v="2"/>
    <n v="0.2"/>
    <n v="43.995600000000003"/>
  </r>
  <r>
    <s v="Same Day"/>
    <x v="0"/>
    <s v="United States"/>
    <s v="Columbus"/>
    <x v="24"/>
    <n v="43229"/>
    <x v="3"/>
    <x v="1"/>
    <x v="4"/>
    <n v="54.223999999999997"/>
    <n v="2"/>
    <n v="0.2"/>
    <n v="3.3889999999999998"/>
  </r>
  <r>
    <s v="Standard Class"/>
    <x v="2"/>
    <s v="United States"/>
    <s v="Los Angeles"/>
    <x v="1"/>
    <n v="90008"/>
    <x v="1"/>
    <x v="0"/>
    <x v="1"/>
    <n v="241.42400000000001"/>
    <n v="2"/>
    <n v="0.2"/>
    <n v="-36.2136"/>
  </r>
  <r>
    <s v="Standard Class"/>
    <x v="0"/>
    <s v="United States"/>
    <s v="Detroit"/>
    <x v="12"/>
    <n v="48227"/>
    <x v="2"/>
    <x v="1"/>
    <x v="10"/>
    <n v="33.36"/>
    <n v="4"/>
    <n v="0"/>
    <n v="16.68"/>
  </r>
  <r>
    <s v="Standard Class"/>
    <x v="0"/>
    <s v="United States"/>
    <s v="Detroit"/>
    <x v="12"/>
    <n v="48227"/>
    <x v="2"/>
    <x v="1"/>
    <x v="10"/>
    <n v="13.76"/>
    <n v="2"/>
    <n v="0"/>
    <n v="6.3296000000000001"/>
  </r>
  <r>
    <s v="Standard Class"/>
    <x v="0"/>
    <s v="United States"/>
    <s v="Detroit"/>
    <x v="12"/>
    <n v="48227"/>
    <x v="2"/>
    <x v="1"/>
    <x v="4"/>
    <n v="496.86"/>
    <n v="7"/>
    <n v="0"/>
    <n v="24.843"/>
  </r>
  <r>
    <s v="Standard Class"/>
    <x v="0"/>
    <s v="United States"/>
    <s v="Detroit"/>
    <x v="12"/>
    <n v="48227"/>
    <x v="2"/>
    <x v="0"/>
    <x v="1"/>
    <n v="389.97"/>
    <n v="3"/>
    <n v="0"/>
    <n v="35.097299999999997"/>
  </r>
  <r>
    <s v="Second Class"/>
    <x v="1"/>
    <s v="United States"/>
    <s v="Columbus"/>
    <x v="32"/>
    <n v="31907"/>
    <x v="0"/>
    <x v="1"/>
    <x v="2"/>
    <n v="9.82"/>
    <n v="2"/>
    <n v="0"/>
    <n v="4.8117999999999999"/>
  </r>
  <r>
    <s v="Standard Class"/>
    <x v="0"/>
    <s v="United States"/>
    <s v="San Francisco"/>
    <x v="1"/>
    <n v="94122"/>
    <x v="1"/>
    <x v="2"/>
    <x v="11"/>
    <n v="56.4"/>
    <n v="3"/>
    <n v="0"/>
    <n v="3.3839999999999999"/>
  </r>
  <r>
    <s v="Standard Class"/>
    <x v="2"/>
    <s v="United States"/>
    <s v="Philadelphia"/>
    <x v="9"/>
    <n v="19143"/>
    <x v="3"/>
    <x v="1"/>
    <x v="8"/>
    <n v="18.312000000000001"/>
    <n v="4"/>
    <n v="0.7"/>
    <n v="-12.208"/>
  </r>
  <r>
    <s v="Standard Class"/>
    <x v="2"/>
    <s v="United States"/>
    <s v="Philadelphia"/>
    <x v="9"/>
    <n v="19143"/>
    <x v="3"/>
    <x v="1"/>
    <x v="10"/>
    <n v="25.92"/>
    <n v="5"/>
    <n v="0.2"/>
    <n v="9.0719999999999992"/>
  </r>
  <r>
    <s v="Standard Class"/>
    <x v="2"/>
    <s v="United States"/>
    <s v="Philadelphia"/>
    <x v="9"/>
    <n v="19143"/>
    <x v="3"/>
    <x v="1"/>
    <x v="6"/>
    <n v="8.016"/>
    <n v="3"/>
    <n v="0.2"/>
    <n v="1.002"/>
  </r>
  <r>
    <s v="Standard Class"/>
    <x v="0"/>
    <s v="United States"/>
    <s v="Los Angeles"/>
    <x v="1"/>
    <n v="90008"/>
    <x v="1"/>
    <x v="2"/>
    <x v="16"/>
    <n v="479.98399999999998"/>
    <n v="2"/>
    <n v="0.2"/>
    <n v="59.997999999999998"/>
  </r>
  <r>
    <s v="Standard Class"/>
    <x v="0"/>
    <s v="United States"/>
    <s v="Los Angeles"/>
    <x v="1"/>
    <n v="90008"/>
    <x v="1"/>
    <x v="1"/>
    <x v="8"/>
    <n v="30.84"/>
    <n v="5"/>
    <n v="0.2"/>
    <n v="9.6374999999999993"/>
  </r>
  <r>
    <s v="First Class"/>
    <x v="1"/>
    <s v="United States"/>
    <s v="Philadelphia"/>
    <x v="9"/>
    <n v="19140"/>
    <x v="3"/>
    <x v="1"/>
    <x v="4"/>
    <n v="33.567999999999998"/>
    <n v="2"/>
    <n v="0.2"/>
    <n v="1.6783999999999999"/>
  </r>
  <r>
    <s v="First Class"/>
    <x v="1"/>
    <s v="United States"/>
    <s v="Philadelphia"/>
    <x v="9"/>
    <n v="19140"/>
    <x v="3"/>
    <x v="0"/>
    <x v="1"/>
    <n v="422.625"/>
    <n v="7"/>
    <n v="0.3"/>
    <n v="0"/>
  </r>
  <r>
    <s v="Standard Class"/>
    <x v="0"/>
    <s v="United States"/>
    <s v="New York City"/>
    <x v="15"/>
    <n v="10035"/>
    <x v="3"/>
    <x v="2"/>
    <x v="11"/>
    <n v="199.98"/>
    <n v="2"/>
    <n v="0"/>
    <n v="83.991600000000005"/>
  </r>
  <r>
    <s v="Standard Class"/>
    <x v="1"/>
    <s v="United States"/>
    <s v="Columbus"/>
    <x v="32"/>
    <n v="31907"/>
    <x v="0"/>
    <x v="0"/>
    <x v="5"/>
    <n v="20.239999999999998"/>
    <n v="1"/>
    <n v="0"/>
    <n v="8.7032000000000007"/>
  </r>
  <r>
    <s v="Standard Class"/>
    <x v="1"/>
    <s v="United States"/>
    <s v="Columbus"/>
    <x v="32"/>
    <n v="31907"/>
    <x v="0"/>
    <x v="0"/>
    <x v="5"/>
    <n v="39.92"/>
    <n v="4"/>
    <n v="0"/>
    <n v="11.1776"/>
  </r>
  <r>
    <s v="Standard Class"/>
    <x v="1"/>
    <s v="United States"/>
    <s v="Columbus"/>
    <x v="32"/>
    <n v="31907"/>
    <x v="0"/>
    <x v="1"/>
    <x v="8"/>
    <n v="32.54"/>
    <n v="2"/>
    <n v="0"/>
    <n v="15.944599999999999"/>
  </r>
  <r>
    <s v="Standard Class"/>
    <x v="1"/>
    <s v="United States"/>
    <s v="Los Angeles"/>
    <x v="1"/>
    <n v="90049"/>
    <x v="1"/>
    <x v="2"/>
    <x v="11"/>
    <n v="39"/>
    <n v="3"/>
    <n v="0"/>
    <n v="17.55"/>
  </r>
  <r>
    <s v="Standard Class"/>
    <x v="1"/>
    <s v="United States"/>
    <s v="Los Angeles"/>
    <x v="1"/>
    <n v="90049"/>
    <x v="1"/>
    <x v="1"/>
    <x v="2"/>
    <n v="12.6"/>
    <n v="4"/>
    <n v="0"/>
    <n v="6.048"/>
  </r>
  <r>
    <s v="First Class"/>
    <x v="1"/>
    <s v="United States"/>
    <s v="Aurora"/>
    <x v="22"/>
    <n v="80013"/>
    <x v="1"/>
    <x v="0"/>
    <x v="5"/>
    <n v="24.64"/>
    <n v="4"/>
    <n v="0.2"/>
    <n v="4.0039999999999996"/>
  </r>
  <r>
    <s v="Standard Class"/>
    <x v="1"/>
    <s v="United States"/>
    <s v="Houston"/>
    <x v="5"/>
    <n v="77041"/>
    <x v="2"/>
    <x v="1"/>
    <x v="2"/>
    <n v="6.2640000000000002"/>
    <n v="3"/>
    <n v="0.2"/>
    <n v="2.0358000000000001"/>
  </r>
  <r>
    <s v="Standard Class"/>
    <x v="1"/>
    <s v="United States"/>
    <s v="Houston"/>
    <x v="5"/>
    <n v="77041"/>
    <x v="2"/>
    <x v="1"/>
    <x v="13"/>
    <n v="14.432"/>
    <n v="4"/>
    <n v="0.2"/>
    <n v="3.4276"/>
  </r>
  <r>
    <s v="Standard Class"/>
    <x v="1"/>
    <s v="United States"/>
    <s v="Chicago"/>
    <x v="10"/>
    <n v="60623"/>
    <x v="2"/>
    <x v="2"/>
    <x v="16"/>
    <n v="719.976"/>
    <n v="3"/>
    <n v="0.2"/>
    <n v="134.99549999999999"/>
  </r>
  <r>
    <s v="Standard Class"/>
    <x v="0"/>
    <s v="United States"/>
    <s v="Decatur"/>
    <x v="19"/>
    <n v="35601"/>
    <x v="0"/>
    <x v="2"/>
    <x v="11"/>
    <n v="239.92"/>
    <n v="8"/>
    <n v="0"/>
    <n v="23.992000000000001"/>
  </r>
  <r>
    <s v="First Class"/>
    <x v="0"/>
    <s v="United States"/>
    <s v="Springfield"/>
    <x v="17"/>
    <n v="22153"/>
    <x v="0"/>
    <x v="0"/>
    <x v="3"/>
    <n v="1056.8599999999999"/>
    <n v="7"/>
    <n v="0"/>
    <n v="158.529"/>
  </r>
  <r>
    <s v="Same Day"/>
    <x v="0"/>
    <s v="United States"/>
    <s v="Plantation"/>
    <x v="2"/>
    <n v="33317"/>
    <x v="0"/>
    <x v="2"/>
    <x v="11"/>
    <n v="447.94400000000002"/>
    <n v="7"/>
    <n v="0.2"/>
    <n v="89.588800000000006"/>
  </r>
  <r>
    <s v="Same Day"/>
    <x v="0"/>
    <s v="United States"/>
    <s v="Plantation"/>
    <x v="2"/>
    <n v="33317"/>
    <x v="0"/>
    <x v="1"/>
    <x v="4"/>
    <n v="150.40799999999999"/>
    <n v="9"/>
    <n v="0.2"/>
    <n v="-33.841799999999999"/>
  </r>
  <r>
    <s v="Second Class"/>
    <x v="1"/>
    <s v="United States"/>
    <s v="Houston"/>
    <x v="5"/>
    <n v="77041"/>
    <x v="2"/>
    <x v="2"/>
    <x v="7"/>
    <n v="453.57600000000002"/>
    <n v="3"/>
    <n v="0.2"/>
    <n v="39.687899999999999"/>
  </r>
  <r>
    <s v="Second Class"/>
    <x v="1"/>
    <s v="United States"/>
    <s v="Houston"/>
    <x v="5"/>
    <n v="77041"/>
    <x v="2"/>
    <x v="1"/>
    <x v="2"/>
    <n v="45.36"/>
    <n v="9"/>
    <n v="0.2"/>
    <n v="14.742000000000001"/>
  </r>
  <r>
    <s v="Second Class"/>
    <x v="1"/>
    <s v="United States"/>
    <s v="Houston"/>
    <x v="5"/>
    <n v="77041"/>
    <x v="2"/>
    <x v="2"/>
    <x v="7"/>
    <n v="287.88"/>
    <n v="3"/>
    <n v="0.2"/>
    <n v="35.984999999999999"/>
  </r>
  <r>
    <s v="Second Class"/>
    <x v="1"/>
    <s v="United States"/>
    <s v="Houston"/>
    <x v="5"/>
    <n v="77041"/>
    <x v="2"/>
    <x v="2"/>
    <x v="7"/>
    <n v="131.88"/>
    <n v="3"/>
    <n v="0.2"/>
    <n v="14.836499999999999"/>
  </r>
  <r>
    <s v="Second Class"/>
    <x v="1"/>
    <s v="United States"/>
    <s v="Houston"/>
    <x v="5"/>
    <n v="77041"/>
    <x v="2"/>
    <x v="0"/>
    <x v="5"/>
    <n v="2.3279999999999998"/>
    <n v="2"/>
    <n v="0.6"/>
    <n v="-0.75660000000000005"/>
  </r>
  <r>
    <s v="Second Class"/>
    <x v="1"/>
    <s v="United States"/>
    <s v="Milwaukee"/>
    <x v="6"/>
    <n v="53209"/>
    <x v="2"/>
    <x v="0"/>
    <x v="1"/>
    <n v="1454.9"/>
    <n v="5"/>
    <n v="0"/>
    <n v="378.274"/>
  </r>
  <r>
    <s v="Standard Class"/>
    <x v="2"/>
    <s v="United States"/>
    <s v="Sanford"/>
    <x v="2"/>
    <n v="32771"/>
    <x v="0"/>
    <x v="1"/>
    <x v="8"/>
    <n v="4.8419999999999996"/>
    <n v="3"/>
    <n v="0.7"/>
    <n v="-3.5508000000000002"/>
  </r>
  <r>
    <s v="Standard Class"/>
    <x v="2"/>
    <s v="United States"/>
    <s v="Sanford"/>
    <x v="2"/>
    <n v="32771"/>
    <x v="0"/>
    <x v="0"/>
    <x v="5"/>
    <n v="220.70400000000001"/>
    <n v="6"/>
    <n v="0.2"/>
    <n v="-8.2764000000000006"/>
  </r>
  <r>
    <s v="First Class"/>
    <x v="0"/>
    <s v="United States"/>
    <s v="The Colony"/>
    <x v="5"/>
    <n v="75056"/>
    <x v="2"/>
    <x v="2"/>
    <x v="7"/>
    <n v="67.176000000000002"/>
    <n v="3"/>
    <n v="0.2"/>
    <n v="6.7176"/>
  </r>
  <r>
    <s v="First Class"/>
    <x v="0"/>
    <s v="United States"/>
    <s v="The Colony"/>
    <x v="5"/>
    <n v="75056"/>
    <x v="2"/>
    <x v="1"/>
    <x v="10"/>
    <n v="15.231999999999999"/>
    <n v="4"/>
    <n v="0.2"/>
    <n v="5.5216000000000003"/>
  </r>
  <r>
    <s v="First Class"/>
    <x v="0"/>
    <s v="United States"/>
    <s v="Troy"/>
    <x v="24"/>
    <n v="45373"/>
    <x v="3"/>
    <x v="1"/>
    <x v="10"/>
    <n v="31.103999999999999"/>
    <n v="6"/>
    <n v="0.2"/>
    <n v="10.8864"/>
  </r>
  <r>
    <s v="Standard Class"/>
    <x v="1"/>
    <s v="United States"/>
    <s v="Hempstead"/>
    <x v="15"/>
    <n v="11550"/>
    <x v="3"/>
    <x v="1"/>
    <x v="8"/>
    <n v="968.74400000000003"/>
    <n v="7"/>
    <n v="0.2"/>
    <n v="314.84179999999998"/>
  </r>
  <r>
    <s v="Standard Class"/>
    <x v="1"/>
    <s v="United States"/>
    <s v="Hempstead"/>
    <x v="15"/>
    <n v="11550"/>
    <x v="3"/>
    <x v="1"/>
    <x v="8"/>
    <n v="222.352"/>
    <n v="13"/>
    <n v="0.2"/>
    <n v="77.8232"/>
  </r>
  <r>
    <s v="Standard Class"/>
    <x v="1"/>
    <s v="United States"/>
    <s v="Hempstead"/>
    <x v="15"/>
    <n v="11550"/>
    <x v="3"/>
    <x v="2"/>
    <x v="16"/>
    <n v="479.98399999999998"/>
    <n v="2"/>
    <n v="0.2"/>
    <n v="89.997"/>
  </r>
  <r>
    <s v="Same Day"/>
    <x v="2"/>
    <s v="United States"/>
    <s v="Dallas"/>
    <x v="5"/>
    <n v="75081"/>
    <x v="2"/>
    <x v="1"/>
    <x v="10"/>
    <n v="10.272"/>
    <n v="3"/>
    <n v="0.2"/>
    <n v="3.21"/>
  </r>
  <r>
    <s v="Standard Class"/>
    <x v="0"/>
    <s v="United States"/>
    <s v="Houston"/>
    <x v="5"/>
    <n v="77041"/>
    <x v="2"/>
    <x v="2"/>
    <x v="15"/>
    <n v="998.85"/>
    <n v="5"/>
    <n v="0.4"/>
    <n v="-199.77"/>
  </r>
  <r>
    <s v="First Class"/>
    <x v="0"/>
    <s v="United States"/>
    <s v="New York City"/>
    <x v="15"/>
    <n v="10035"/>
    <x v="3"/>
    <x v="1"/>
    <x v="10"/>
    <n v="24.56"/>
    <n v="2"/>
    <n v="0"/>
    <n v="11.543200000000001"/>
  </r>
  <r>
    <s v="Same Day"/>
    <x v="2"/>
    <s v="United States"/>
    <s v="San Francisco"/>
    <x v="1"/>
    <n v="94110"/>
    <x v="1"/>
    <x v="1"/>
    <x v="13"/>
    <n v="5.67"/>
    <n v="3"/>
    <n v="0"/>
    <n v="0.1134"/>
  </r>
  <r>
    <s v="Second Class"/>
    <x v="0"/>
    <s v="United States"/>
    <s v="Port Saint Lucie"/>
    <x v="2"/>
    <n v="34952"/>
    <x v="0"/>
    <x v="1"/>
    <x v="9"/>
    <n v="14.336"/>
    <n v="4"/>
    <n v="0.2"/>
    <n v="0.89600000000000002"/>
  </r>
  <r>
    <s v="First Class"/>
    <x v="0"/>
    <s v="United States"/>
    <s v="Concord"/>
    <x v="38"/>
    <n v="3301"/>
    <x v="3"/>
    <x v="0"/>
    <x v="5"/>
    <n v="102.3"/>
    <n v="1"/>
    <n v="0"/>
    <n v="26.597999999999999"/>
  </r>
  <r>
    <s v="Standard Class"/>
    <x v="0"/>
    <s v="United States"/>
    <s v="Rochester"/>
    <x v="11"/>
    <n v="55901"/>
    <x v="2"/>
    <x v="0"/>
    <x v="3"/>
    <n v="607.52"/>
    <n v="2"/>
    <n v="0"/>
    <n v="97.203199999999995"/>
  </r>
  <r>
    <s v="Standard Class"/>
    <x v="0"/>
    <s v="United States"/>
    <s v="Rochester"/>
    <x v="11"/>
    <n v="55901"/>
    <x v="2"/>
    <x v="1"/>
    <x v="4"/>
    <n v="31.16"/>
    <n v="2"/>
    <n v="0"/>
    <n v="7.79"/>
  </r>
  <r>
    <s v="Standard Class"/>
    <x v="0"/>
    <s v="United States"/>
    <s v="Louisville"/>
    <x v="0"/>
    <n v="40214"/>
    <x v="0"/>
    <x v="1"/>
    <x v="2"/>
    <n v="2.61"/>
    <n v="1"/>
    <n v="0"/>
    <n v="1.2005999999999999"/>
  </r>
  <r>
    <s v="Second Class"/>
    <x v="1"/>
    <s v="United States"/>
    <s v="San Marcos"/>
    <x v="5"/>
    <n v="78666"/>
    <x v="2"/>
    <x v="0"/>
    <x v="5"/>
    <n v="10.332000000000001"/>
    <n v="3"/>
    <n v="0.6"/>
    <n v="-5.9409000000000001"/>
  </r>
  <r>
    <s v="Second Class"/>
    <x v="1"/>
    <s v="United States"/>
    <s v="San Marcos"/>
    <x v="5"/>
    <n v="78666"/>
    <x v="2"/>
    <x v="1"/>
    <x v="10"/>
    <n v="10.368"/>
    <n v="2"/>
    <n v="0.2"/>
    <n v="3.6288"/>
  </r>
  <r>
    <s v="Second Class"/>
    <x v="1"/>
    <s v="United States"/>
    <s v="San Marcos"/>
    <x v="5"/>
    <n v="78666"/>
    <x v="2"/>
    <x v="2"/>
    <x v="11"/>
    <n v="20.783999999999999"/>
    <n v="2"/>
    <n v="0.2"/>
    <n v="-3.6372"/>
  </r>
  <r>
    <s v="Second Class"/>
    <x v="1"/>
    <s v="United States"/>
    <s v="San Marcos"/>
    <x v="5"/>
    <n v="78666"/>
    <x v="2"/>
    <x v="1"/>
    <x v="4"/>
    <n v="66.959999999999994"/>
    <n v="5"/>
    <n v="0.2"/>
    <n v="-13.391999999999999"/>
  </r>
  <r>
    <s v="Second Class"/>
    <x v="1"/>
    <s v="United States"/>
    <s v="Escondido"/>
    <x v="1"/>
    <n v="92025"/>
    <x v="1"/>
    <x v="1"/>
    <x v="8"/>
    <n v="17.248000000000001"/>
    <n v="2"/>
    <n v="0.2"/>
    <n v="6.0368000000000004"/>
  </r>
  <r>
    <s v="Standard Class"/>
    <x v="0"/>
    <s v="United States"/>
    <s v="Philadelphia"/>
    <x v="9"/>
    <n v="19134"/>
    <x v="3"/>
    <x v="1"/>
    <x v="8"/>
    <n v="11.087999999999999"/>
    <n v="7"/>
    <n v="0.7"/>
    <n v="-8.1311999999999998"/>
  </r>
  <r>
    <s v="Standard Class"/>
    <x v="1"/>
    <s v="United States"/>
    <s v="Los Angeles"/>
    <x v="1"/>
    <n v="90049"/>
    <x v="1"/>
    <x v="2"/>
    <x v="11"/>
    <n v="1287.45"/>
    <n v="5"/>
    <n v="0"/>
    <n v="244.6155"/>
  </r>
  <r>
    <s v="Standard Class"/>
    <x v="1"/>
    <s v="United States"/>
    <s v="Los Angeles"/>
    <x v="1"/>
    <n v="90049"/>
    <x v="1"/>
    <x v="1"/>
    <x v="9"/>
    <n v="168.1"/>
    <n v="5"/>
    <n v="0"/>
    <n v="43.706000000000003"/>
  </r>
  <r>
    <s v="Standard Class"/>
    <x v="1"/>
    <s v="United States"/>
    <s v="Philadelphia"/>
    <x v="9"/>
    <n v="19140"/>
    <x v="3"/>
    <x v="1"/>
    <x v="4"/>
    <n v="51.968000000000004"/>
    <n v="2"/>
    <n v="0.2"/>
    <n v="-10.393599999999999"/>
  </r>
  <r>
    <s v="First Class"/>
    <x v="0"/>
    <s v="United States"/>
    <s v="Philadelphia"/>
    <x v="9"/>
    <n v="19120"/>
    <x v="3"/>
    <x v="1"/>
    <x v="6"/>
    <n v="4.7679999999999998"/>
    <n v="2"/>
    <n v="0.2"/>
    <n v="0.4768"/>
  </r>
  <r>
    <s v="First Class"/>
    <x v="1"/>
    <s v="United States"/>
    <s v="Hempstead"/>
    <x v="15"/>
    <n v="11550"/>
    <x v="3"/>
    <x v="1"/>
    <x v="12"/>
    <n v="7.98"/>
    <n v="3"/>
    <n v="0"/>
    <n v="3.9102000000000001"/>
  </r>
  <r>
    <s v="First Class"/>
    <x v="0"/>
    <s v="United States"/>
    <s v="Greeley"/>
    <x v="22"/>
    <n v="80634"/>
    <x v="1"/>
    <x v="1"/>
    <x v="12"/>
    <n v="18.687999999999999"/>
    <n v="2"/>
    <n v="0.2"/>
    <n v="7.008"/>
  </r>
  <r>
    <s v="First Class"/>
    <x v="0"/>
    <s v="United States"/>
    <s v="Greeley"/>
    <x v="22"/>
    <n v="80634"/>
    <x v="1"/>
    <x v="0"/>
    <x v="5"/>
    <n v="11.664"/>
    <n v="3"/>
    <n v="0.2"/>
    <n v="3.3534000000000002"/>
  </r>
  <r>
    <s v="Standard Class"/>
    <x v="2"/>
    <s v="United States"/>
    <s v="Jacksonville"/>
    <x v="2"/>
    <n v="32216"/>
    <x v="0"/>
    <x v="2"/>
    <x v="11"/>
    <n v="191.976"/>
    <n v="3"/>
    <n v="0.2"/>
    <n v="38.395200000000003"/>
  </r>
  <r>
    <s v="Standard Class"/>
    <x v="2"/>
    <s v="United States"/>
    <s v="Jacksonville"/>
    <x v="2"/>
    <n v="32216"/>
    <x v="0"/>
    <x v="2"/>
    <x v="7"/>
    <n v="499.16800000000001"/>
    <n v="4"/>
    <n v="0.2"/>
    <n v="31.198"/>
  </r>
  <r>
    <s v="First Class"/>
    <x v="1"/>
    <s v="United States"/>
    <s v="Arlington"/>
    <x v="17"/>
    <n v="22204"/>
    <x v="0"/>
    <x v="1"/>
    <x v="8"/>
    <n v="11.88"/>
    <n v="2"/>
    <n v="0"/>
    <n v="5.3460000000000001"/>
  </r>
  <r>
    <s v="First Class"/>
    <x v="1"/>
    <s v="United States"/>
    <s v="Arlington"/>
    <x v="17"/>
    <n v="22204"/>
    <x v="0"/>
    <x v="1"/>
    <x v="10"/>
    <n v="35.44"/>
    <n v="1"/>
    <n v="0"/>
    <n v="16.6568"/>
  </r>
  <r>
    <s v="Standard Class"/>
    <x v="2"/>
    <s v="United States"/>
    <s v="San Francisco"/>
    <x v="1"/>
    <n v="94122"/>
    <x v="1"/>
    <x v="1"/>
    <x v="8"/>
    <n v="67.135999999999996"/>
    <n v="4"/>
    <n v="0.2"/>
    <n v="25.175999999999998"/>
  </r>
  <r>
    <s v="Standard Class"/>
    <x v="1"/>
    <s v="United States"/>
    <s v="Fresno"/>
    <x v="1"/>
    <n v="93727"/>
    <x v="1"/>
    <x v="1"/>
    <x v="8"/>
    <n v="4.32"/>
    <n v="3"/>
    <n v="0.2"/>
    <n v="1.512"/>
  </r>
  <r>
    <s v="Standard Class"/>
    <x v="1"/>
    <s v="United States"/>
    <s v="Fresno"/>
    <x v="1"/>
    <n v="93727"/>
    <x v="1"/>
    <x v="1"/>
    <x v="10"/>
    <n v="14.94"/>
    <n v="3"/>
    <n v="0"/>
    <n v="7.0217999999999998"/>
  </r>
  <r>
    <s v="Standard Class"/>
    <x v="1"/>
    <s v="United States"/>
    <s v="Fresno"/>
    <x v="1"/>
    <n v="93727"/>
    <x v="1"/>
    <x v="1"/>
    <x v="9"/>
    <n v="40.54"/>
    <n v="2"/>
    <n v="0"/>
    <n v="11.3512"/>
  </r>
  <r>
    <s v="Standard Class"/>
    <x v="1"/>
    <s v="United States"/>
    <s v="Fresno"/>
    <x v="1"/>
    <n v="93727"/>
    <x v="1"/>
    <x v="1"/>
    <x v="8"/>
    <n v="7.3120000000000003"/>
    <n v="1"/>
    <n v="0.2"/>
    <n v="2.5592000000000001"/>
  </r>
  <r>
    <s v="Same Day"/>
    <x v="2"/>
    <s v="United States"/>
    <s v="Reno"/>
    <x v="33"/>
    <n v="89502"/>
    <x v="1"/>
    <x v="2"/>
    <x v="7"/>
    <n v="475.94400000000002"/>
    <n v="7"/>
    <n v="0.2"/>
    <n v="59.493000000000002"/>
  </r>
  <r>
    <s v="Standard Class"/>
    <x v="1"/>
    <s v="United States"/>
    <s v="San Antonio"/>
    <x v="5"/>
    <n v="78207"/>
    <x v="2"/>
    <x v="2"/>
    <x v="11"/>
    <n v="30.08"/>
    <n v="2"/>
    <n v="0.2"/>
    <n v="-5.2640000000000002"/>
  </r>
  <r>
    <s v="Standard Class"/>
    <x v="1"/>
    <s v="United States"/>
    <s v="San Antonio"/>
    <x v="5"/>
    <n v="78207"/>
    <x v="2"/>
    <x v="2"/>
    <x v="11"/>
    <n v="165.6"/>
    <n v="3"/>
    <n v="0.2"/>
    <n v="-6.21"/>
  </r>
  <r>
    <s v="Standard Class"/>
    <x v="1"/>
    <s v="United States"/>
    <s v="San Antonio"/>
    <x v="5"/>
    <n v="78207"/>
    <x v="2"/>
    <x v="2"/>
    <x v="7"/>
    <n v="180.96"/>
    <n v="5"/>
    <n v="0.2"/>
    <n v="13.571999999999999"/>
  </r>
  <r>
    <s v="Standard Class"/>
    <x v="0"/>
    <s v="United States"/>
    <s v="New Bedford"/>
    <x v="31"/>
    <n v="2740"/>
    <x v="3"/>
    <x v="2"/>
    <x v="11"/>
    <n v="23.18"/>
    <n v="2"/>
    <n v="0"/>
    <n v="7.6494"/>
  </r>
  <r>
    <s v="Standard Class"/>
    <x v="0"/>
    <s v="United States"/>
    <s v="New York City"/>
    <x v="15"/>
    <n v="10035"/>
    <x v="3"/>
    <x v="0"/>
    <x v="5"/>
    <n v="56.96"/>
    <n v="2"/>
    <n v="0"/>
    <n v="21.075199999999999"/>
  </r>
  <r>
    <s v="Standard Class"/>
    <x v="0"/>
    <s v="United States"/>
    <s v="New York City"/>
    <x v="15"/>
    <n v="10035"/>
    <x v="3"/>
    <x v="1"/>
    <x v="9"/>
    <n v="15.56"/>
    <n v="4"/>
    <n v="0"/>
    <n v="4.0456000000000003"/>
  </r>
  <r>
    <s v="Standard Class"/>
    <x v="0"/>
    <s v="United States"/>
    <s v="New York City"/>
    <x v="15"/>
    <n v="10035"/>
    <x v="3"/>
    <x v="0"/>
    <x v="0"/>
    <n v="353.56799999999998"/>
    <n v="2"/>
    <n v="0.2"/>
    <n v="-44.195999999999998"/>
  </r>
  <r>
    <s v="Standard Class"/>
    <x v="0"/>
    <s v="United States"/>
    <s v="New York City"/>
    <x v="15"/>
    <n v="10035"/>
    <x v="3"/>
    <x v="0"/>
    <x v="5"/>
    <n v="13.96"/>
    <n v="2"/>
    <n v="0"/>
    <n v="6.7008000000000001"/>
  </r>
  <r>
    <s v="Second Class"/>
    <x v="0"/>
    <s v="United States"/>
    <s v="Oxnard"/>
    <x v="1"/>
    <n v="93030"/>
    <x v="1"/>
    <x v="2"/>
    <x v="11"/>
    <n v="82.95"/>
    <n v="5"/>
    <n v="0"/>
    <n v="29.032499999999999"/>
  </r>
  <r>
    <s v="Second Class"/>
    <x v="1"/>
    <s v="United States"/>
    <s v="Los Angeles"/>
    <x v="1"/>
    <n v="90036"/>
    <x v="1"/>
    <x v="1"/>
    <x v="6"/>
    <n v="39.68"/>
    <n v="2"/>
    <n v="0"/>
    <n v="10.316800000000001"/>
  </r>
  <r>
    <s v="Standard Class"/>
    <x v="0"/>
    <s v="United States"/>
    <s v="Oakland"/>
    <x v="1"/>
    <n v="94601"/>
    <x v="1"/>
    <x v="2"/>
    <x v="11"/>
    <n v="479.97"/>
    <n v="3"/>
    <n v="0"/>
    <n v="177.5889"/>
  </r>
  <r>
    <s v="Standard Class"/>
    <x v="0"/>
    <s v="United States"/>
    <s v="Edmonds"/>
    <x v="4"/>
    <n v="98026"/>
    <x v="1"/>
    <x v="1"/>
    <x v="2"/>
    <n v="7.38"/>
    <n v="2"/>
    <n v="0"/>
    <n v="3.4685999999999999"/>
  </r>
  <r>
    <s v="Standard Class"/>
    <x v="0"/>
    <s v="United States"/>
    <s v="Edmonds"/>
    <x v="4"/>
    <n v="98026"/>
    <x v="1"/>
    <x v="1"/>
    <x v="8"/>
    <n v="14.256"/>
    <n v="3"/>
    <n v="0.2"/>
    <n v="4.4550000000000001"/>
  </r>
  <r>
    <s v="Standard Class"/>
    <x v="0"/>
    <s v="United States"/>
    <s v="Edmonds"/>
    <x v="4"/>
    <n v="98026"/>
    <x v="1"/>
    <x v="1"/>
    <x v="10"/>
    <n v="81.98"/>
    <n v="2"/>
    <n v="0"/>
    <n v="40.170200000000001"/>
  </r>
  <r>
    <s v="Standard Class"/>
    <x v="0"/>
    <s v="United States"/>
    <s v="Edmonds"/>
    <x v="4"/>
    <n v="98026"/>
    <x v="1"/>
    <x v="1"/>
    <x v="8"/>
    <n v="39.624000000000002"/>
    <n v="3"/>
    <n v="0.2"/>
    <n v="13.868399999999999"/>
  </r>
  <r>
    <s v="Standard Class"/>
    <x v="1"/>
    <s v="United States"/>
    <s v="Los Angeles"/>
    <x v="1"/>
    <n v="90004"/>
    <x v="1"/>
    <x v="0"/>
    <x v="3"/>
    <n v="399.67200000000003"/>
    <n v="7"/>
    <n v="0.2"/>
    <n v="-14.9877"/>
  </r>
  <r>
    <s v="Second Class"/>
    <x v="1"/>
    <s v="United States"/>
    <s v="New York City"/>
    <x v="15"/>
    <n v="10024"/>
    <x v="3"/>
    <x v="1"/>
    <x v="4"/>
    <n v="65.12"/>
    <n v="4"/>
    <n v="0"/>
    <n v="16.9312"/>
  </r>
  <r>
    <s v="Second Class"/>
    <x v="0"/>
    <s v="United States"/>
    <s v="Dallas"/>
    <x v="5"/>
    <n v="75217"/>
    <x v="2"/>
    <x v="0"/>
    <x v="5"/>
    <n v="30.56"/>
    <n v="5"/>
    <n v="0.6"/>
    <n v="-19.864000000000001"/>
  </r>
  <r>
    <s v="Standard Class"/>
    <x v="1"/>
    <s v="United States"/>
    <s v="Franklin"/>
    <x v="18"/>
    <n v="37064"/>
    <x v="0"/>
    <x v="1"/>
    <x v="9"/>
    <n v="20.768000000000001"/>
    <n v="2"/>
    <n v="0.2"/>
    <n v="2.3363999999999998"/>
  </r>
  <r>
    <s v="Standard Class"/>
    <x v="0"/>
    <s v="United States"/>
    <s v="Phoenix"/>
    <x v="16"/>
    <n v="85023"/>
    <x v="1"/>
    <x v="1"/>
    <x v="4"/>
    <n v="39.808"/>
    <n v="4"/>
    <n v="0.2"/>
    <n v="3.9807999999999999"/>
  </r>
  <r>
    <s v="Standard Class"/>
    <x v="0"/>
    <s v="United States"/>
    <s v="Miami"/>
    <x v="2"/>
    <n v="33178"/>
    <x v="0"/>
    <x v="1"/>
    <x v="8"/>
    <n v="121.104"/>
    <n v="6"/>
    <n v="0.7"/>
    <n v="-100.92"/>
  </r>
  <r>
    <s v="Standard Class"/>
    <x v="0"/>
    <s v="United States"/>
    <s v="Miami"/>
    <x v="2"/>
    <n v="33178"/>
    <x v="0"/>
    <x v="2"/>
    <x v="11"/>
    <n v="111.96"/>
    <n v="5"/>
    <n v="0.2"/>
    <n v="-1.3995"/>
  </r>
  <r>
    <s v="Standard Class"/>
    <x v="1"/>
    <s v="United States"/>
    <s v="Colorado Springs"/>
    <x v="22"/>
    <n v="80906"/>
    <x v="1"/>
    <x v="1"/>
    <x v="10"/>
    <n v="15.696"/>
    <n v="3"/>
    <n v="0.2"/>
    <n v="5.1012000000000004"/>
  </r>
  <r>
    <s v="Standard Class"/>
    <x v="1"/>
    <s v="United States"/>
    <s v="New York City"/>
    <x v="15"/>
    <n v="10011"/>
    <x v="3"/>
    <x v="1"/>
    <x v="4"/>
    <n v="70.260000000000005"/>
    <n v="3"/>
    <n v="0"/>
    <n v="18.970199999999998"/>
  </r>
  <r>
    <s v="Standard Class"/>
    <x v="1"/>
    <s v="United States"/>
    <s v="New York City"/>
    <x v="15"/>
    <n v="10011"/>
    <x v="3"/>
    <x v="2"/>
    <x v="11"/>
    <n v="90"/>
    <n v="5"/>
    <n v="0"/>
    <n v="16.2"/>
  </r>
  <r>
    <s v="Standard Class"/>
    <x v="1"/>
    <s v="United States"/>
    <s v="New York City"/>
    <x v="15"/>
    <n v="10011"/>
    <x v="3"/>
    <x v="1"/>
    <x v="8"/>
    <n v="6.0960000000000001"/>
    <n v="2"/>
    <n v="0.2"/>
    <n v="2.0573999999999999"/>
  </r>
  <r>
    <s v="Standard Class"/>
    <x v="1"/>
    <s v="United States"/>
    <s v="New York City"/>
    <x v="15"/>
    <n v="10011"/>
    <x v="3"/>
    <x v="0"/>
    <x v="3"/>
    <n v="481.17599999999999"/>
    <n v="2"/>
    <n v="0.4"/>
    <n v="-120.294"/>
  </r>
  <r>
    <s v="Standard Class"/>
    <x v="1"/>
    <s v="United States"/>
    <s v="New York City"/>
    <x v="15"/>
    <n v="10011"/>
    <x v="3"/>
    <x v="1"/>
    <x v="13"/>
    <n v="7.24"/>
    <n v="4"/>
    <n v="0"/>
    <n v="2.3892000000000002"/>
  </r>
  <r>
    <s v="First Class"/>
    <x v="0"/>
    <s v="United States"/>
    <s v="Bethlehem"/>
    <x v="9"/>
    <n v="18018"/>
    <x v="3"/>
    <x v="0"/>
    <x v="0"/>
    <n v="177.45"/>
    <n v="5"/>
    <n v="0.5"/>
    <n v="-78.078000000000003"/>
  </r>
  <r>
    <s v="First Class"/>
    <x v="0"/>
    <s v="United States"/>
    <s v="Bethlehem"/>
    <x v="9"/>
    <n v="18018"/>
    <x v="3"/>
    <x v="1"/>
    <x v="8"/>
    <n v="1369.7639999999999"/>
    <n v="6"/>
    <n v="0.7"/>
    <n v="-913.17600000000004"/>
  </r>
  <r>
    <s v="First Class"/>
    <x v="0"/>
    <s v="United States"/>
    <s v="Bethlehem"/>
    <x v="9"/>
    <n v="18018"/>
    <x v="3"/>
    <x v="1"/>
    <x v="9"/>
    <n v="9.48"/>
    <n v="3"/>
    <n v="0.2"/>
    <n v="0.71099999999999997"/>
  </r>
  <r>
    <s v="Standard Class"/>
    <x v="0"/>
    <s v="United States"/>
    <s v="Philadelphia"/>
    <x v="9"/>
    <n v="19140"/>
    <x v="3"/>
    <x v="0"/>
    <x v="0"/>
    <n v="130.97999999999999"/>
    <n v="2"/>
    <n v="0.5"/>
    <n v="-89.066400000000002"/>
  </r>
  <r>
    <s v="First Class"/>
    <x v="0"/>
    <s v="United States"/>
    <s v="Louisville"/>
    <x v="0"/>
    <n v="40214"/>
    <x v="0"/>
    <x v="1"/>
    <x v="6"/>
    <n v="174.95"/>
    <n v="5"/>
    <n v="0"/>
    <n v="45.487000000000002"/>
  </r>
  <r>
    <s v="First Class"/>
    <x v="0"/>
    <s v="United States"/>
    <s v="Louisville"/>
    <x v="0"/>
    <n v="40214"/>
    <x v="0"/>
    <x v="1"/>
    <x v="4"/>
    <n v="826"/>
    <n v="5"/>
    <n v="0"/>
    <n v="214.76"/>
  </r>
  <r>
    <s v="Standard Class"/>
    <x v="0"/>
    <s v="United States"/>
    <s v="Seattle"/>
    <x v="4"/>
    <n v="98105"/>
    <x v="1"/>
    <x v="0"/>
    <x v="5"/>
    <n v="139.58000000000001"/>
    <n v="7"/>
    <n v="0"/>
    <n v="39.0824"/>
  </r>
  <r>
    <s v="First Class"/>
    <x v="2"/>
    <s v="United States"/>
    <s v="Kenosha"/>
    <x v="6"/>
    <n v="53142"/>
    <x v="2"/>
    <x v="2"/>
    <x v="11"/>
    <n v="399.95"/>
    <n v="5"/>
    <n v="0"/>
    <n v="143.982"/>
  </r>
  <r>
    <s v="Second Class"/>
    <x v="1"/>
    <s v="United States"/>
    <s v="Henderson"/>
    <x v="0"/>
    <n v="42420"/>
    <x v="0"/>
    <x v="1"/>
    <x v="8"/>
    <n v="12.39"/>
    <n v="3"/>
    <n v="0"/>
    <n v="5.8232999999999997"/>
  </r>
  <r>
    <s v="Standard Class"/>
    <x v="1"/>
    <s v="United States"/>
    <s v="Dallas"/>
    <x v="5"/>
    <n v="75217"/>
    <x v="2"/>
    <x v="1"/>
    <x v="8"/>
    <n v="760.98"/>
    <n v="5"/>
    <n v="0.8"/>
    <n v="-1141.47"/>
  </r>
  <r>
    <s v="Same Day"/>
    <x v="0"/>
    <s v="United States"/>
    <s v="Peoria"/>
    <x v="16"/>
    <n v="85345"/>
    <x v="1"/>
    <x v="1"/>
    <x v="8"/>
    <n v="67.86"/>
    <n v="6"/>
    <n v="0.7"/>
    <n v="-45.24"/>
  </r>
  <r>
    <s v="Standard Class"/>
    <x v="1"/>
    <s v="United States"/>
    <s v="Jacksonville"/>
    <x v="3"/>
    <n v="28540"/>
    <x v="0"/>
    <x v="1"/>
    <x v="13"/>
    <n v="31.504000000000001"/>
    <n v="11"/>
    <n v="0.2"/>
    <n v="11.814"/>
  </r>
  <r>
    <s v="Standard Class"/>
    <x v="1"/>
    <s v="United States"/>
    <s v="Jacksonville"/>
    <x v="3"/>
    <n v="28540"/>
    <x v="0"/>
    <x v="1"/>
    <x v="2"/>
    <n v="5.04"/>
    <n v="1"/>
    <n v="0.2"/>
    <n v="1.6379999999999999"/>
  </r>
  <r>
    <s v="Standard Class"/>
    <x v="1"/>
    <s v="United States"/>
    <s v="Jacksonville"/>
    <x v="3"/>
    <n v="28540"/>
    <x v="0"/>
    <x v="1"/>
    <x v="8"/>
    <n v="39.878999999999998"/>
    <n v="7"/>
    <n v="0.7"/>
    <n v="-29.244599999999998"/>
  </r>
  <r>
    <s v="Standard Class"/>
    <x v="1"/>
    <s v="United States"/>
    <s v="Jacksonville"/>
    <x v="3"/>
    <n v="28540"/>
    <x v="0"/>
    <x v="0"/>
    <x v="5"/>
    <n v="4.7119999999999997"/>
    <n v="1"/>
    <n v="0.2"/>
    <n v="1.4136"/>
  </r>
  <r>
    <s v="Standard Class"/>
    <x v="0"/>
    <s v="United States"/>
    <s v="Los Angeles"/>
    <x v="1"/>
    <n v="90032"/>
    <x v="1"/>
    <x v="0"/>
    <x v="1"/>
    <n v="194.352"/>
    <n v="3"/>
    <n v="0.2"/>
    <n v="19.435199999999998"/>
  </r>
  <r>
    <s v="First Class"/>
    <x v="1"/>
    <s v="United States"/>
    <s v="Nashville"/>
    <x v="18"/>
    <n v="37211"/>
    <x v="0"/>
    <x v="0"/>
    <x v="1"/>
    <n v="97.424000000000007"/>
    <n v="2"/>
    <n v="0.2"/>
    <n v="10.9602"/>
  </r>
  <r>
    <s v="Standard Class"/>
    <x v="0"/>
    <s v="United States"/>
    <s v="Charlotte"/>
    <x v="3"/>
    <n v="28205"/>
    <x v="0"/>
    <x v="1"/>
    <x v="4"/>
    <n v="704.76"/>
    <n v="5"/>
    <n v="0.2"/>
    <n v="26.4285"/>
  </r>
  <r>
    <s v="Standard Class"/>
    <x v="0"/>
    <s v="United States"/>
    <s v="Charlotte"/>
    <x v="3"/>
    <n v="28205"/>
    <x v="0"/>
    <x v="1"/>
    <x v="8"/>
    <n v="27.396000000000001"/>
    <n v="3"/>
    <n v="0.7"/>
    <n v="-20.090399999999999"/>
  </r>
  <r>
    <s v="Same Day"/>
    <x v="0"/>
    <s v="United States"/>
    <s v="Seattle"/>
    <x v="4"/>
    <n v="98103"/>
    <x v="1"/>
    <x v="1"/>
    <x v="13"/>
    <n v="5.7"/>
    <n v="5"/>
    <n v="0"/>
    <n v="2.6789999999999998"/>
  </r>
  <r>
    <s v="Same Day"/>
    <x v="0"/>
    <s v="United States"/>
    <s v="Seattle"/>
    <x v="4"/>
    <n v="98103"/>
    <x v="1"/>
    <x v="0"/>
    <x v="5"/>
    <n v="14.19"/>
    <n v="3"/>
    <n v="0"/>
    <n v="5.5340999999999996"/>
  </r>
  <r>
    <s v="Same Day"/>
    <x v="0"/>
    <s v="United States"/>
    <s v="Seattle"/>
    <x v="4"/>
    <n v="98103"/>
    <x v="1"/>
    <x v="1"/>
    <x v="14"/>
    <n v="7.3"/>
    <n v="2"/>
    <n v="0"/>
    <n v="2.19"/>
  </r>
  <r>
    <s v="Same Day"/>
    <x v="0"/>
    <s v="United States"/>
    <s v="Seattle"/>
    <x v="4"/>
    <n v="98103"/>
    <x v="1"/>
    <x v="2"/>
    <x v="11"/>
    <n v="199.98"/>
    <n v="2"/>
    <n v="0"/>
    <n v="75.992400000000004"/>
  </r>
  <r>
    <s v="Same Day"/>
    <x v="0"/>
    <s v="United States"/>
    <s v="Seattle"/>
    <x v="4"/>
    <n v="98103"/>
    <x v="1"/>
    <x v="2"/>
    <x v="11"/>
    <n v="144.96"/>
    <n v="4"/>
    <n v="0"/>
    <n v="60.883200000000002"/>
  </r>
  <r>
    <s v="Same Day"/>
    <x v="0"/>
    <s v="United States"/>
    <s v="Seattle"/>
    <x v="4"/>
    <n v="98103"/>
    <x v="1"/>
    <x v="2"/>
    <x v="11"/>
    <n v="118"/>
    <n v="2"/>
    <n v="0"/>
    <n v="20.059999999999999"/>
  </r>
  <r>
    <s v="Same Day"/>
    <x v="0"/>
    <s v="United States"/>
    <s v="Seattle"/>
    <x v="4"/>
    <n v="98103"/>
    <x v="1"/>
    <x v="1"/>
    <x v="10"/>
    <n v="48.94"/>
    <n v="1"/>
    <n v="0"/>
    <n v="24.47"/>
  </r>
  <r>
    <s v="Same Day"/>
    <x v="0"/>
    <s v="United States"/>
    <s v="Seattle"/>
    <x v="4"/>
    <n v="98103"/>
    <x v="1"/>
    <x v="1"/>
    <x v="9"/>
    <n v="22.66"/>
    <n v="2"/>
    <n v="0"/>
    <n v="9.7438000000000002"/>
  </r>
  <r>
    <s v="Standard Class"/>
    <x v="1"/>
    <s v="United States"/>
    <s v="Chicago"/>
    <x v="10"/>
    <n v="60623"/>
    <x v="2"/>
    <x v="1"/>
    <x v="8"/>
    <n v="0.83599999999999997"/>
    <n v="1"/>
    <n v="0.8"/>
    <n v="-1.3375999999999999"/>
  </r>
  <r>
    <s v="Standard Class"/>
    <x v="1"/>
    <s v="United States"/>
    <s v="Cincinnati"/>
    <x v="24"/>
    <n v="45231"/>
    <x v="3"/>
    <x v="1"/>
    <x v="10"/>
    <n v="30.96"/>
    <n v="6"/>
    <n v="0.2"/>
    <n v="11.223000000000001"/>
  </r>
  <r>
    <s v="Standard Class"/>
    <x v="0"/>
    <s v="United States"/>
    <s v="Fort Lauderdale"/>
    <x v="2"/>
    <n v="33311"/>
    <x v="0"/>
    <x v="0"/>
    <x v="0"/>
    <n v="723.92"/>
    <n v="5"/>
    <n v="0.2"/>
    <n v="-81.441000000000003"/>
  </r>
  <r>
    <s v="Standard Class"/>
    <x v="0"/>
    <s v="United States"/>
    <s v="Houston"/>
    <x v="5"/>
    <n v="77041"/>
    <x v="2"/>
    <x v="0"/>
    <x v="5"/>
    <n v="21.968"/>
    <n v="4"/>
    <n v="0.6"/>
    <n v="-15.9268"/>
  </r>
  <r>
    <s v="Standard Class"/>
    <x v="0"/>
    <s v="United States"/>
    <s v="Houston"/>
    <x v="5"/>
    <n v="77041"/>
    <x v="2"/>
    <x v="2"/>
    <x v="7"/>
    <n v="619.15200000000004"/>
    <n v="6"/>
    <n v="0.2"/>
    <n v="69.654600000000002"/>
  </r>
  <r>
    <s v="Standard Class"/>
    <x v="0"/>
    <s v="United States"/>
    <s v="Houston"/>
    <x v="5"/>
    <n v="77041"/>
    <x v="2"/>
    <x v="1"/>
    <x v="10"/>
    <n v="127.904"/>
    <n v="7"/>
    <n v="0.2"/>
    <n v="41.568800000000003"/>
  </r>
  <r>
    <s v="Second Class"/>
    <x v="0"/>
    <s v="United States"/>
    <s v="Lakewood"/>
    <x v="1"/>
    <n v="90712"/>
    <x v="1"/>
    <x v="0"/>
    <x v="5"/>
    <n v="94.2"/>
    <n v="5"/>
    <n v="0"/>
    <n v="39.564"/>
  </r>
  <r>
    <s v="First Class"/>
    <x v="2"/>
    <s v="United States"/>
    <s v="San Francisco"/>
    <x v="1"/>
    <n v="94122"/>
    <x v="1"/>
    <x v="1"/>
    <x v="14"/>
    <n v="49.5"/>
    <n v="5"/>
    <n v="0"/>
    <n v="13.365"/>
  </r>
  <r>
    <s v="First Class"/>
    <x v="1"/>
    <s v="United States"/>
    <s v="Philadelphia"/>
    <x v="9"/>
    <n v="19140"/>
    <x v="3"/>
    <x v="1"/>
    <x v="6"/>
    <n v="16.52"/>
    <n v="5"/>
    <n v="0.2"/>
    <n v="1.6519999999999999"/>
  </r>
  <r>
    <s v="Second Class"/>
    <x v="2"/>
    <s v="United States"/>
    <s v="Seattle"/>
    <x v="4"/>
    <n v="98115"/>
    <x v="1"/>
    <x v="1"/>
    <x v="8"/>
    <n v="55.36"/>
    <n v="4"/>
    <n v="0.2"/>
    <n v="19.376000000000001"/>
  </r>
  <r>
    <s v="Second Class"/>
    <x v="2"/>
    <s v="United States"/>
    <s v="Seattle"/>
    <x v="4"/>
    <n v="98115"/>
    <x v="1"/>
    <x v="2"/>
    <x v="15"/>
    <n v="11.56"/>
    <n v="1"/>
    <n v="0.2"/>
    <n v="3.7570000000000001"/>
  </r>
  <r>
    <s v="Second Class"/>
    <x v="0"/>
    <s v="United States"/>
    <s v="Los Angeles"/>
    <x v="1"/>
    <n v="90036"/>
    <x v="1"/>
    <x v="1"/>
    <x v="10"/>
    <n v="17.12"/>
    <n v="4"/>
    <n v="0"/>
    <n v="7.7039999999999997"/>
  </r>
  <r>
    <s v="Second Class"/>
    <x v="0"/>
    <s v="United States"/>
    <s v="Cleveland"/>
    <x v="24"/>
    <n v="44105"/>
    <x v="3"/>
    <x v="0"/>
    <x v="5"/>
    <n v="182.352"/>
    <n v="3"/>
    <n v="0.2"/>
    <n v="-18.235199999999999"/>
  </r>
  <r>
    <s v="Second Class"/>
    <x v="0"/>
    <s v="United States"/>
    <s v="Cleveland"/>
    <x v="24"/>
    <n v="44105"/>
    <x v="3"/>
    <x v="1"/>
    <x v="4"/>
    <n v="118.16"/>
    <n v="2"/>
    <n v="0.2"/>
    <n v="-25.109000000000002"/>
  </r>
  <r>
    <s v="Standard Class"/>
    <x v="0"/>
    <s v="United States"/>
    <s v="Decatur"/>
    <x v="10"/>
    <n v="62521"/>
    <x v="2"/>
    <x v="1"/>
    <x v="13"/>
    <n v="18.367999999999999"/>
    <n v="2"/>
    <n v="0.2"/>
    <n v="6.1992000000000003"/>
  </r>
  <r>
    <s v="Standard Class"/>
    <x v="0"/>
    <s v="United States"/>
    <s v="Decatur"/>
    <x v="10"/>
    <n v="62521"/>
    <x v="2"/>
    <x v="0"/>
    <x v="1"/>
    <n v="600.55799999999999"/>
    <n v="3"/>
    <n v="0.3"/>
    <n v="-8.5793999999999997"/>
  </r>
  <r>
    <s v="Standard Class"/>
    <x v="0"/>
    <s v="United States"/>
    <s v="Decatur"/>
    <x v="10"/>
    <n v="62521"/>
    <x v="2"/>
    <x v="1"/>
    <x v="4"/>
    <n v="50.351999999999997"/>
    <n v="3"/>
    <n v="0.2"/>
    <n v="-8.1821999999999999"/>
  </r>
  <r>
    <s v="Standard Class"/>
    <x v="0"/>
    <s v="United States"/>
    <s v="Decatur"/>
    <x v="10"/>
    <n v="62521"/>
    <x v="2"/>
    <x v="1"/>
    <x v="6"/>
    <n v="28.032"/>
    <n v="6"/>
    <n v="0.2"/>
    <n v="3.504"/>
  </r>
  <r>
    <s v="Standard Class"/>
    <x v="0"/>
    <s v="United States"/>
    <s v="Decatur"/>
    <x v="10"/>
    <n v="62521"/>
    <x v="2"/>
    <x v="0"/>
    <x v="5"/>
    <n v="7.6920000000000002"/>
    <n v="1"/>
    <n v="0.6"/>
    <n v="-3.6537000000000002"/>
  </r>
  <r>
    <s v="First Class"/>
    <x v="0"/>
    <s v="United States"/>
    <s v="Mansfield"/>
    <x v="5"/>
    <n v="76063"/>
    <x v="2"/>
    <x v="0"/>
    <x v="3"/>
    <n v="517.40499999999997"/>
    <n v="5"/>
    <n v="0.3"/>
    <n v="-81.3065"/>
  </r>
  <r>
    <s v="Second Class"/>
    <x v="2"/>
    <s v="United States"/>
    <s v="Houston"/>
    <x v="5"/>
    <n v="77070"/>
    <x v="2"/>
    <x v="1"/>
    <x v="8"/>
    <n v="8.6080000000000005"/>
    <n v="8"/>
    <n v="0.8"/>
    <n v="-13.3424"/>
  </r>
  <r>
    <s v="Second Class"/>
    <x v="2"/>
    <s v="United States"/>
    <s v="Houston"/>
    <x v="5"/>
    <n v="77070"/>
    <x v="2"/>
    <x v="2"/>
    <x v="11"/>
    <n v="159.56"/>
    <n v="5"/>
    <n v="0.2"/>
    <n v="33.906500000000001"/>
  </r>
  <r>
    <s v="Second Class"/>
    <x v="1"/>
    <s v="United States"/>
    <s v="Richmond"/>
    <x v="17"/>
    <n v="23223"/>
    <x v="0"/>
    <x v="1"/>
    <x v="9"/>
    <n v="2104.5500000000002"/>
    <n v="7"/>
    <n v="0"/>
    <n v="694.50149999999996"/>
  </r>
  <r>
    <s v="Second Class"/>
    <x v="1"/>
    <s v="United States"/>
    <s v="Richmond"/>
    <x v="17"/>
    <n v="23223"/>
    <x v="0"/>
    <x v="1"/>
    <x v="14"/>
    <n v="40.700000000000003"/>
    <n v="5"/>
    <n v="0"/>
    <n v="11.803000000000001"/>
  </r>
  <r>
    <s v="Standard Class"/>
    <x v="2"/>
    <s v="United States"/>
    <s v="Arlington"/>
    <x v="17"/>
    <n v="22204"/>
    <x v="0"/>
    <x v="2"/>
    <x v="11"/>
    <n v="47.79"/>
    <n v="3"/>
    <n v="0"/>
    <n v="16.2486"/>
  </r>
  <r>
    <s v="Standard Class"/>
    <x v="0"/>
    <s v="United States"/>
    <s v="San Francisco"/>
    <x v="1"/>
    <n v="94122"/>
    <x v="1"/>
    <x v="1"/>
    <x v="6"/>
    <n v="5.16"/>
    <n v="2"/>
    <n v="0"/>
    <n v="1.3415999999999999"/>
  </r>
  <r>
    <s v="Standard Class"/>
    <x v="2"/>
    <s v="United States"/>
    <s v="San Diego"/>
    <x v="1"/>
    <n v="92024"/>
    <x v="1"/>
    <x v="2"/>
    <x v="11"/>
    <n v="21.21"/>
    <n v="7"/>
    <n v="0"/>
    <n v="4.4541000000000004"/>
  </r>
  <r>
    <s v="Second Class"/>
    <x v="1"/>
    <s v="United States"/>
    <s v="Watertown"/>
    <x v="15"/>
    <n v="13601"/>
    <x v="3"/>
    <x v="1"/>
    <x v="4"/>
    <n v="96.36"/>
    <n v="6"/>
    <n v="0"/>
    <n v="25.053599999999999"/>
  </r>
  <r>
    <s v="Same Day"/>
    <x v="1"/>
    <s v="United States"/>
    <s v="Los Angeles"/>
    <x v="1"/>
    <n v="90036"/>
    <x v="1"/>
    <x v="1"/>
    <x v="14"/>
    <n v="231.72"/>
    <n v="2"/>
    <n v="0"/>
    <n v="11.586"/>
  </r>
  <r>
    <s v="Same Day"/>
    <x v="1"/>
    <s v="United States"/>
    <s v="Los Angeles"/>
    <x v="1"/>
    <n v="90036"/>
    <x v="1"/>
    <x v="1"/>
    <x v="13"/>
    <n v="17.899999999999999"/>
    <n v="5"/>
    <n v="0"/>
    <n v="8.9499999999999993"/>
  </r>
  <r>
    <s v="Same Day"/>
    <x v="1"/>
    <s v="United States"/>
    <s v="Los Angeles"/>
    <x v="1"/>
    <n v="90036"/>
    <x v="1"/>
    <x v="1"/>
    <x v="10"/>
    <n v="12.48"/>
    <n v="2"/>
    <n v="0"/>
    <n v="5.6159999999999997"/>
  </r>
  <r>
    <s v="Standard Class"/>
    <x v="1"/>
    <s v="United States"/>
    <s v="Philadelphia"/>
    <x v="9"/>
    <n v="19140"/>
    <x v="3"/>
    <x v="1"/>
    <x v="6"/>
    <n v="8.016"/>
    <n v="3"/>
    <n v="0.2"/>
    <n v="1.1022000000000001"/>
  </r>
  <r>
    <s v="Standard Class"/>
    <x v="1"/>
    <s v="United States"/>
    <s v="Akron"/>
    <x v="24"/>
    <n v="44312"/>
    <x v="3"/>
    <x v="2"/>
    <x v="7"/>
    <n v="259.89600000000002"/>
    <n v="2"/>
    <n v="0.4"/>
    <n v="-56.3108"/>
  </r>
  <r>
    <s v="Standard Class"/>
    <x v="1"/>
    <s v="United States"/>
    <s v="Akron"/>
    <x v="24"/>
    <n v="44312"/>
    <x v="3"/>
    <x v="2"/>
    <x v="7"/>
    <n v="247.18799999999999"/>
    <n v="2"/>
    <n v="0.4"/>
    <n v="-49.437600000000003"/>
  </r>
  <r>
    <s v="Standard Class"/>
    <x v="1"/>
    <s v="United States"/>
    <s v="Akron"/>
    <x v="24"/>
    <n v="44312"/>
    <x v="3"/>
    <x v="2"/>
    <x v="11"/>
    <n v="279.95999999999998"/>
    <n v="5"/>
    <n v="0.2"/>
    <n v="48.993000000000002"/>
  </r>
  <r>
    <s v="Standard Class"/>
    <x v="2"/>
    <s v="United States"/>
    <s v="San Francisco"/>
    <x v="1"/>
    <n v="94110"/>
    <x v="1"/>
    <x v="2"/>
    <x v="11"/>
    <n v="450"/>
    <n v="5"/>
    <n v="0"/>
    <n v="162"/>
  </r>
  <r>
    <s v="Second Class"/>
    <x v="2"/>
    <s v="United States"/>
    <s v="Grand Rapids"/>
    <x v="12"/>
    <n v="49505"/>
    <x v="2"/>
    <x v="1"/>
    <x v="10"/>
    <n v="19.440000000000001"/>
    <n v="3"/>
    <n v="0"/>
    <n v="9.5256000000000007"/>
  </r>
  <r>
    <s v="Second Class"/>
    <x v="2"/>
    <s v="United States"/>
    <s v="San Francisco"/>
    <x v="1"/>
    <n v="94109"/>
    <x v="1"/>
    <x v="0"/>
    <x v="3"/>
    <n v="300.904"/>
    <n v="1"/>
    <n v="0.2"/>
    <n v="11.283899999999999"/>
  </r>
  <r>
    <s v="Standard Class"/>
    <x v="1"/>
    <s v="United States"/>
    <s v="Nashville"/>
    <x v="18"/>
    <n v="37211"/>
    <x v="0"/>
    <x v="2"/>
    <x v="7"/>
    <n v="239.976"/>
    <n v="3"/>
    <n v="0.2"/>
    <n v="26.997299999999999"/>
  </r>
  <r>
    <s v="Standard Class"/>
    <x v="1"/>
    <s v="United States"/>
    <s v="Nashville"/>
    <x v="18"/>
    <n v="37211"/>
    <x v="0"/>
    <x v="0"/>
    <x v="5"/>
    <n v="31.167999999999999"/>
    <n v="4"/>
    <n v="0.2"/>
    <n v="9.3504000000000005"/>
  </r>
  <r>
    <s v="Standard Class"/>
    <x v="1"/>
    <s v="United States"/>
    <s v="Nashville"/>
    <x v="18"/>
    <n v="37211"/>
    <x v="0"/>
    <x v="0"/>
    <x v="3"/>
    <n v="120.96"/>
    <n v="2"/>
    <n v="0.4"/>
    <n v="-28.224"/>
  </r>
  <r>
    <s v="Standard Class"/>
    <x v="1"/>
    <s v="United States"/>
    <s v="Nashville"/>
    <x v="18"/>
    <n v="37211"/>
    <x v="0"/>
    <x v="2"/>
    <x v="7"/>
    <n v="2239.9360000000001"/>
    <n v="8"/>
    <n v="0.2"/>
    <n v="223.99359999999999"/>
  </r>
  <r>
    <s v="Standard Class"/>
    <x v="1"/>
    <s v="United States"/>
    <s v="Nashville"/>
    <x v="18"/>
    <n v="37211"/>
    <x v="0"/>
    <x v="1"/>
    <x v="9"/>
    <n v="76.608000000000004"/>
    <n v="8"/>
    <n v="0.2"/>
    <n v="6.7031999999999998"/>
  </r>
  <r>
    <s v="Standard Class"/>
    <x v="1"/>
    <s v="United States"/>
    <s v="Nashville"/>
    <x v="18"/>
    <n v="37211"/>
    <x v="0"/>
    <x v="1"/>
    <x v="4"/>
    <n v="142.77600000000001"/>
    <n v="1"/>
    <n v="0.2"/>
    <n v="17.847000000000001"/>
  </r>
  <r>
    <s v="Standard Class"/>
    <x v="1"/>
    <s v="United States"/>
    <s v="Nashville"/>
    <x v="18"/>
    <n v="37211"/>
    <x v="0"/>
    <x v="1"/>
    <x v="10"/>
    <n v="91.36"/>
    <n v="5"/>
    <n v="0.2"/>
    <n v="29.692"/>
  </r>
  <r>
    <s v="Standard Class"/>
    <x v="0"/>
    <s v="United States"/>
    <s v="Philadelphia"/>
    <x v="9"/>
    <n v="19120"/>
    <x v="3"/>
    <x v="1"/>
    <x v="9"/>
    <n v="3.552"/>
    <n v="2"/>
    <n v="0.2"/>
    <n v="0.44400000000000001"/>
  </r>
  <r>
    <s v="First Class"/>
    <x v="0"/>
    <s v="United States"/>
    <s v="Houston"/>
    <x v="5"/>
    <n v="77041"/>
    <x v="2"/>
    <x v="2"/>
    <x v="7"/>
    <n v="115.136"/>
    <n v="8"/>
    <n v="0.2"/>
    <n v="11.5136"/>
  </r>
  <r>
    <s v="Standard Class"/>
    <x v="2"/>
    <s v="United States"/>
    <s v="Reno"/>
    <x v="33"/>
    <n v="89502"/>
    <x v="1"/>
    <x v="1"/>
    <x v="13"/>
    <n v="4.71"/>
    <n v="1"/>
    <n v="0"/>
    <n v="0"/>
  </r>
  <r>
    <s v="Standard Class"/>
    <x v="2"/>
    <s v="United States"/>
    <s v="New York City"/>
    <x v="15"/>
    <n v="10009"/>
    <x v="3"/>
    <x v="0"/>
    <x v="1"/>
    <n v="172.76400000000001"/>
    <n v="2"/>
    <n v="0.1"/>
    <n v="13.437200000000001"/>
  </r>
  <r>
    <s v="Standard Class"/>
    <x v="2"/>
    <s v="United States"/>
    <s v="New York City"/>
    <x v="15"/>
    <n v="10009"/>
    <x v="3"/>
    <x v="1"/>
    <x v="6"/>
    <n v="3.52"/>
    <n v="2"/>
    <n v="0"/>
    <n v="1.6896"/>
  </r>
  <r>
    <s v="First Class"/>
    <x v="1"/>
    <s v="United States"/>
    <s v="Los Angeles"/>
    <x v="1"/>
    <n v="90008"/>
    <x v="1"/>
    <x v="2"/>
    <x v="7"/>
    <n v="79.968000000000004"/>
    <n v="4"/>
    <n v="0.2"/>
    <n v="-17.992799999999999"/>
  </r>
  <r>
    <s v="First Class"/>
    <x v="1"/>
    <s v="United States"/>
    <s v="Los Angeles"/>
    <x v="1"/>
    <n v="90008"/>
    <x v="1"/>
    <x v="0"/>
    <x v="0"/>
    <n v="305.97449999999998"/>
    <n v="3"/>
    <n v="0.15"/>
    <n v="25.197900000000001"/>
  </r>
  <r>
    <s v="First Class"/>
    <x v="1"/>
    <s v="United States"/>
    <s v="Los Angeles"/>
    <x v="1"/>
    <n v="90008"/>
    <x v="1"/>
    <x v="1"/>
    <x v="4"/>
    <n v="344.91"/>
    <n v="3"/>
    <n v="0"/>
    <n v="10.347300000000001"/>
  </r>
  <r>
    <s v="Standard Class"/>
    <x v="0"/>
    <s v="United States"/>
    <s v="San Diego"/>
    <x v="1"/>
    <n v="92037"/>
    <x v="1"/>
    <x v="0"/>
    <x v="3"/>
    <n v="626.35199999999998"/>
    <n v="3"/>
    <n v="0.2"/>
    <n v="-23.488199999999999"/>
  </r>
  <r>
    <s v="Standard Class"/>
    <x v="0"/>
    <s v="United States"/>
    <s v="San Francisco"/>
    <x v="1"/>
    <n v="94110"/>
    <x v="1"/>
    <x v="0"/>
    <x v="0"/>
    <n v="359.49900000000002"/>
    <n v="3"/>
    <n v="0.15"/>
    <n v="-29.605799999999999"/>
  </r>
  <r>
    <s v="Standard Class"/>
    <x v="1"/>
    <s v="United States"/>
    <s v="San Diego"/>
    <x v="1"/>
    <n v="92105"/>
    <x v="1"/>
    <x v="2"/>
    <x v="7"/>
    <n v="71.951999999999998"/>
    <n v="6"/>
    <n v="0.2"/>
    <n v="5.3963999999999999"/>
  </r>
  <r>
    <s v="Standard Class"/>
    <x v="1"/>
    <s v="United States"/>
    <s v="San Diego"/>
    <x v="1"/>
    <n v="92105"/>
    <x v="1"/>
    <x v="1"/>
    <x v="8"/>
    <n v="29.8"/>
    <n v="5"/>
    <n v="0.2"/>
    <n v="9.3125"/>
  </r>
  <r>
    <s v="Second Class"/>
    <x v="1"/>
    <s v="United States"/>
    <s v="Elyria"/>
    <x v="24"/>
    <n v="44035"/>
    <x v="3"/>
    <x v="1"/>
    <x v="8"/>
    <n v="1.8240000000000001"/>
    <n v="1"/>
    <n v="0.7"/>
    <n v="-1.3984000000000001"/>
  </r>
  <r>
    <s v="Second Class"/>
    <x v="2"/>
    <s v="United States"/>
    <s v="Houston"/>
    <x v="5"/>
    <n v="77070"/>
    <x v="2"/>
    <x v="1"/>
    <x v="9"/>
    <n v="64.384"/>
    <n v="4"/>
    <n v="0.8"/>
    <n v="-160.96"/>
  </r>
  <r>
    <s v="Second Class"/>
    <x v="2"/>
    <s v="United States"/>
    <s v="Houston"/>
    <x v="5"/>
    <n v="77070"/>
    <x v="2"/>
    <x v="0"/>
    <x v="5"/>
    <n v="6.984"/>
    <n v="2"/>
    <n v="0.6"/>
    <n v="-4.5396000000000001"/>
  </r>
  <r>
    <s v="Second Class"/>
    <x v="2"/>
    <s v="United States"/>
    <s v="Houston"/>
    <x v="5"/>
    <n v="77070"/>
    <x v="2"/>
    <x v="1"/>
    <x v="6"/>
    <n v="11.263999999999999"/>
    <n v="8"/>
    <n v="0.2"/>
    <n v="3.9424000000000001"/>
  </r>
  <r>
    <s v="Second Class"/>
    <x v="2"/>
    <s v="United States"/>
    <s v="Houston"/>
    <x v="5"/>
    <n v="77070"/>
    <x v="2"/>
    <x v="1"/>
    <x v="10"/>
    <n v="15.552"/>
    <n v="3"/>
    <n v="0.2"/>
    <n v="5.6375999999999999"/>
  </r>
  <r>
    <s v="Second Class"/>
    <x v="2"/>
    <s v="United States"/>
    <s v="Houston"/>
    <x v="5"/>
    <n v="77070"/>
    <x v="2"/>
    <x v="0"/>
    <x v="1"/>
    <n v="379.37200000000001"/>
    <n v="2"/>
    <n v="0.3"/>
    <n v="-119.2312"/>
  </r>
  <r>
    <s v="Second Class"/>
    <x v="2"/>
    <s v="United States"/>
    <s v="Houston"/>
    <x v="5"/>
    <n v="77070"/>
    <x v="2"/>
    <x v="1"/>
    <x v="4"/>
    <n v="67.536000000000001"/>
    <n v="9"/>
    <n v="0.2"/>
    <n v="6.7535999999999996"/>
  </r>
  <r>
    <s v="Second Class"/>
    <x v="2"/>
    <s v="United States"/>
    <s v="Houston"/>
    <x v="5"/>
    <n v="77070"/>
    <x v="2"/>
    <x v="1"/>
    <x v="8"/>
    <n v="1.524"/>
    <n v="2"/>
    <n v="0.8"/>
    <n v="-2.6669999999999998"/>
  </r>
  <r>
    <s v="Second Class"/>
    <x v="2"/>
    <s v="United States"/>
    <s v="Miami"/>
    <x v="2"/>
    <n v="33178"/>
    <x v="0"/>
    <x v="1"/>
    <x v="10"/>
    <n v="37.408000000000001"/>
    <n v="7"/>
    <n v="0.2"/>
    <n v="13.0928"/>
  </r>
  <r>
    <s v="Second Class"/>
    <x v="2"/>
    <s v="United States"/>
    <s v="Miami"/>
    <x v="2"/>
    <n v="33178"/>
    <x v="0"/>
    <x v="1"/>
    <x v="10"/>
    <n v="25.344000000000001"/>
    <n v="6"/>
    <n v="0.2"/>
    <n v="8.8704000000000001"/>
  </r>
  <r>
    <s v="Standard Class"/>
    <x v="0"/>
    <s v="United States"/>
    <s v="Seattle"/>
    <x v="4"/>
    <n v="98115"/>
    <x v="1"/>
    <x v="1"/>
    <x v="6"/>
    <n v="46.2"/>
    <n v="4"/>
    <n v="0"/>
    <n v="21.251999999999999"/>
  </r>
  <r>
    <s v="Standard Class"/>
    <x v="1"/>
    <s v="United States"/>
    <s v="Murfreesboro"/>
    <x v="18"/>
    <n v="37130"/>
    <x v="0"/>
    <x v="2"/>
    <x v="11"/>
    <n v="4.7279999999999998"/>
    <n v="3"/>
    <n v="0.2"/>
    <n v="0.70920000000000005"/>
  </r>
  <r>
    <s v="Standard Class"/>
    <x v="1"/>
    <s v="United States"/>
    <s v="Murfreesboro"/>
    <x v="18"/>
    <n v="37130"/>
    <x v="0"/>
    <x v="0"/>
    <x v="5"/>
    <n v="53.351999999999997"/>
    <n v="3"/>
    <n v="0.2"/>
    <n v="16.005600000000001"/>
  </r>
  <r>
    <s v="Standard Class"/>
    <x v="1"/>
    <s v="United States"/>
    <s v="Murfreesboro"/>
    <x v="18"/>
    <n v="37130"/>
    <x v="0"/>
    <x v="0"/>
    <x v="0"/>
    <n v="131.10400000000001"/>
    <n v="2"/>
    <n v="0.2"/>
    <n v="8.1940000000000008"/>
  </r>
  <r>
    <s v="Standard Class"/>
    <x v="1"/>
    <s v="United States"/>
    <s v="Murfreesboro"/>
    <x v="18"/>
    <n v="37130"/>
    <x v="0"/>
    <x v="1"/>
    <x v="4"/>
    <n v="22.512"/>
    <n v="3"/>
    <n v="0.2"/>
    <n v="2.2511999999999999"/>
  </r>
  <r>
    <s v="Standard Class"/>
    <x v="1"/>
    <s v="United States"/>
    <s v="Murfreesboro"/>
    <x v="18"/>
    <n v="37130"/>
    <x v="0"/>
    <x v="2"/>
    <x v="11"/>
    <n v="72.744"/>
    <n v="7"/>
    <n v="0.2"/>
    <n v="-12.7302"/>
  </r>
  <r>
    <s v="Standard Class"/>
    <x v="1"/>
    <s v="United States"/>
    <s v="Saint Louis"/>
    <x v="25"/>
    <n v="63116"/>
    <x v="2"/>
    <x v="1"/>
    <x v="14"/>
    <n v="52.59"/>
    <n v="3"/>
    <n v="0"/>
    <n v="15.776999999999999"/>
  </r>
  <r>
    <s v="Second Class"/>
    <x v="1"/>
    <s v="United States"/>
    <s v="Seattle"/>
    <x v="4"/>
    <n v="98105"/>
    <x v="1"/>
    <x v="1"/>
    <x v="10"/>
    <n v="19.440000000000001"/>
    <n v="3"/>
    <n v="0"/>
    <n v="9.3312000000000008"/>
  </r>
  <r>
    <s v="Second Class"/>
    <x v="1"/>
    <s v="United States"/>
    <s v="Seattle"/>
    <x v="4"/>
    <n v="98105"/>
    <x v="1"/>
    <x v="0"/>
    <x v="5"/>
    <n v="126.3"/>
    <n v="3"/>
    <n v="0"/>
    <n v="40.415999999999997"/>
  </r>
  <r>
    <s v="Second Class"/>
    <x v="1"/>
    <s v="United States"/>
    <s v="Seattle"/>
    <x v="4"/>
    <n v="98105"/>
    <x v="1"/>
    <x v="2"/>
    <x v="11"/>
    <n v="1287.45"/>
    <n v="5"/>
    <n v="0"/>
    <n v="244.6155"/>
  </r>
  <r>
    <s v="Second Class"/>
    <x v="1"/>
    <s v="United States"/>
    <s v="New York City"/>
    <x v="15"/>
    <n v="10024"/>
    <x v="3"/>
    <x v="1"/>
    <x v="4"/>
    <n v="64.959999999999994"/>
    <n v="4"/>
    <n v="0"/>
    <n v="9.7439999999999998"/>
  </r>
  <r>
    <s v="Standard Class"/>
    <x v="1"/>
    <s v="United States"/>
    <s v="Woodbury"/>
    <x v="11"/>
    <n v="55125"/>
    <x v="2"/>
    <x v="1"/>
    <x v="4"/>
    <n v="535.41"/>
    <n v="3"/>
    <n v="0"/>
    <n v="160.62299999999999"/>
  </r>
  <r>
    <s v="Standard Class"/>
    <x v="1"/>
    <s v="United States"/>
    <s v="Chattanooga"/>
    <x v="18"/>
    <n v="37421"/>
    <x v="0"/>
    <x v="1"/>
    <x v="8"/>
    <n v="8.1"/>
    <n v="5"/>
    <n v="0.7"/>
    <n v="-5.94"/>
  </r>
  <r>
    <s v="First Class"/>
    <x v="0"/>
    <s v="United States"/>
    <s v="Philadelphia"/>
    <x v="9"/>
    <n v="19140"/>
    <x v="3"/>
    <x v="1"/>
    <x v="6"/>
    <n v="13.247999999999999"/>
    <n v="4"/>
    <n v="0.2"/>
    <n v="3.6432000000000002"/>
  </r>
  <r>
    <s v="First Class"/>
    <x v="0"/>
    <s v="United States"/>
    <s v="Philadelphia"/>
    <x v="9"/>
    <n v="19140"/>
    <x v="3"/>
    <x v="2"/>
    <x v="7"/>
    <n v="83.988"/>
    <n v="2"/>
    <n v="0.4"/>
    <n v="-20.997"/>
  </r>
  <r>
    <s v="First Class"/>
    <x v="0"/>
    <s v="United States"/>
    <s v="Lafayette"/>
    <x v="28"/>
    <n v="70506"/>
    <x v="0"/>
    <x v="1"/>
    <x v="6"/>
    <n v="73.2"/>
    <n v="5"/>
    <n v="0"/>
    <n v="21.228000000000002"/>
  </r>
  <r>
    <s v="Same Day"/>
    <x v="2"/>
    <s v="United States"/>
    <s v="Lawrence"/>
    <x v="14"/>
    <n v="46226"/>
    <x v="2"/>
    <x v="1"/>
    <x v="8"/>
    <n v="10.74"/>
    <n v="3"/>
    <n v="0"/>
    <n v="5.1551999999999998"/>
  </r>
  <r>
    <s v="First Class"/>
    <x v="0"/>
    <s v="United States"/>
    <s v="Hillsboro"/>
    <x v="21"/>
    <n v="97123"/>
    <x v="1"/>
    <x v="0"/>
    <x v="5"/>
    <n v="11.032"/>
    <n v="1"/>
    <n v="0.2"/>
    <n v="3.0337999999999998"/>
  </r>
  <r>
    <s v="First Class"/>
    <x v="0"/>
    <s v="United States"/>
    <s v="Hillsboro"/>
    <x v="21"/>
    <n v="97123"/>
    <x v="1"/>
    <x v="2"/>
    <x v="11"/>
    <n v="53.04"/>
    <n v="3"/>
    <n v="0.2"/>
    <n v="-4.641"/>
  </r>
  <r>
    <s v="Second Class"/>
    <x v="2"/>
    <s v="United States"/>
    <s v="Cambridge"/>
    <x v="31"/>
    <n v="2138"/>
    <x v="3"/>
    <x v="1"/>
    <x v="6"/>
    <n v="17.12"/>
    <n v="4"/>
    <n v="0"/>
    <n v="4.9648000000000003"/>
  </r>
  <r>
    <s v="Second Class"/>
    <x v="2"/>
    <s v="United States"/>
    <s v="Cambridge"/>
    <x v="31"/>
    <n v="2138"/>
    <x v="3"/>
    <x v="1"/>
    <x v="10"/>
    <n v="59.94"/>
    <n v="3"/>
    <n v="0"/>
    <n v="28.171800000000001"/>
  </r>
  <r>
    <s v="Standard Class"/>
    <x v="1"/>
    <s v="United States"/>
    <s v="San Diego"/>
    <x v="1"/>
    <n v="92105"/>
    <x v="1"/>
    <x v="0"/>
    <x v="5"/>
    <n v="210.58"/>
    <n v="2"/>
    <n v="0"/>
    <n v="12.6348"/>
  </r>
  <r>
    <s v="Standard Class"/>
    <x v="1"/>
    <s v="United States"/>
    <s v="San Diego"/>
    <x v="1"/>
    <n v="92105"/>
    <x v="1"/>
    <x v="1"/>
    <x v="8"/>
    <n v="30.96"/>
    <n v="2"/>
    <n v="0.2"/>
    <n v="10.061999999999999"/>
  </r>
  <r>
    <s v="Standard Class"/>
    <x v="1"/>
    <s v="United States"/>
    <s v="San Diego"/>
    <x v="1"/>
    <n v="92105"/>
    <x v="1"/>
    <x v="2"/>
    <x v="15"/>
    <n v="239.98400000000001"/>
    <n v="2"/>
    <n v="0.2"/>
    <n v="38.997399999999999"/>
  </r>
  <r>
    <s v="First Class"/>
    <x v="0"/>
    <s v="United States"/>
    <s v="New York City"/>
    <x v="15"/>
    <n v="10009"/>
    <x v="3"/>
    <x v="1"/>
    <x v="8"/>
    <n v="3050.3760000000002"/>
    <n v="3"/>
    <n v="0.2"/>
    <n v="1143.8910000000001"/>
  </r>
  <r>
    <s v="First Class"/>
    <x v="0"/>
    <s v="United States"/>
    <s v="New York City"/>
    <x v="15"/>
    <n v="10009"/>
    <x v="3"/>
    <x v="2"/>
    <x v="7"/>
    <n v="133.97999999999999"/>
    <n v="2"/>
    <n v="0"/>
    <n v="33.494999999999997"/>
  </r>
  <r>
    <s v="Standard Class"/>
    <x v="2"/>
    <s v="United States"/>
    <s v="Tallahassee"/>
    <x v="2"/>
    <n v="32303"/>
    <x v="0"/>
    <x v="1"/>
    <x v="10"/>
    <n v="93.248000000000005"/>
    <n v="4"/>
    <n v="0.2"/>
    <n v="31.4712"/>
  </r>
  <r>
    <s v="Standard Class"/>
    <x v="2"/>
    <s v="United States"/>
    <s v="Tallahassee"/>
    <x v="2"/>
    <n v="32303"/>
    <x v="0"/>
    <x v="2"/>
    <x v="7"/>
    <n v="177.48"/>
    <n v="3"/>
    <n v="0.2"/>
    <n v="19.9665"/>
  </r>
  <r>
    <s v="First Class"/>
    <x v="0"/>
    <s v="United States"/>
    <s v="Toledo"/>
    <x v="24"/>
    <n v="43615"/>
    <x v="3"/>
    <x v="1"/>
    <x v="2"/>
    <n v="17.712"/>
    <n v="6"/>
    <n v="0.2"/>
    <n v="5.9778000000000002"/>
  </r>
  <r>
    <s v="First Class"/>
    <x v="0"/>
    <s v="United States"/>
    <s v="Toledo"/>
    <x v="24"/>
    <n v="43615"/>
    <x v="3"/>
    <x v="1"/>
    <x v="8"/>
    <n v="4.8600000000000003"/>
    <n v="3"/>
    <n v="0.7"/>
    <n v="-3.5640000000000001"/>
  </r>
  <r>
    <s v="First Class"/>
    <x v="0"/>
    <s v="United States"/>
    <s v="Toledo"/>
    <x v="24"/>
    <n v="43615"/>
    <x v="3"/>
    <x v="1"/>
    <x v="8"/>
    <n v="6.258"/>
    <n v="2"/>
    <n v="0.7"/>
    <n v="-5.2149999999999999"/>
  </r>
  <r>
    <s v="Standard Class"/>
    <x v="1"/>
    <s v="United States"/>
    <s v="Columbia"/>
    <x v="39"/>
    <n v="21044"/>
    <x v="3"/>
    <x v="1"/>
    <x v="9"/>
    <n v="37.68"/>
    <n v="2"/>
    <n v="0"/>
    <n v="10.5504"/>
  </r>
  <r>
    <s v="Standard Class"/>
    <x v="1"/>
    <s v="United States"/>
    <s v="Columbia"/>
    <x v="39"/>
    <n v="21044"/>
    <x v="3"/>
    <x v="1"/>
    <x v="10"/>
    <n v="51.84"/>
    <n v="8"/>
    <n v="0"/>
    <n v="24.883199999999999"/>
  </r>
  <r>
    <s v="Standard Class"/>
    <x v="1"/>
    <s v="United States"/>
    <s v="Columbia"/>
    <x v="39"/>
    <n v="21044"/>
    <x v="3"/>
    <x v="0"/>
    <x v="5"/>
    <n v="27.42"/>
    <n v="3"/>
    <n v="0"/>
    <n v="9.3228000000000009"/>
  </r>
  <r>
    <s v="Standard Class"/>
    <x v="1"/>
    <s v="United States"/>
    <s v="Columbia"/>
    <x v="39"/>
    <n v="21044"/>
    <x v="3"/>
    <x v="1"/>
    <x v="8"/>
    <n v="5.4"/>
    <n v="3"/>
    <n v="0"/>
    <n v="2.5920000000000001"/>
  </r>
  <r>
    <s v="Standard Class"/>
    <x v="2"/>
    <s v="United States"/>
    <s v="Atlanta"/>
    <x v="32"/>
    <n v="30318"/>
    <x v="0"/>
    <x v="1"/>
    <x v="8"/>
    <n v="1270.99"/>
    <n v="1"/>
    <n v="0"/>
    <n v="635.495"/>
  </r>
  <r>
    <s v="Standard Class"/>
    <x v="2"/>
    <s v="United States"/>
    <s v="Atlanta"/>
    <x v="32"/>
    <n v="30318"/>
    <x v="0"/>
    <x v="1"/>
    <x v="12"/>
    <n v="125.36"/>
    <n v="8"/>
    <n v="0"/>
    <n v="58.919199999999996"/>
  </r>
  <r>
    <s v="Standard Class"/>
    <x v="0"/>
    <s v="United States"/>
    <s v="Sacramento"/>
    <x v="1"/>
    <n v="95823"/>
    <x v="1"/>
    <x v="1"/>
    <x v="4"/>
    <n v="14.03"/>
    <n v="1"/>
    <n v="0"/>
    <n v="4.0686999999999998"/>
  </r>
  <r>
    <s v="Standard Class"/>
    <x v="0"/>
    <s v="United States"/>
    <s v="Sacramento"/>
    <x v="1"/>
    <n v="95823"/>
    <x v="1"/>
    <x v="1"/>
    <x v="14"/>
    <n v="27.96"/>
    <n v="2"/>
    <n v="0"/>
    <n v="7.2695999999999996"/>
  </r>
  <r>
    <s v="Standard Class"/>
    <x v="1"/>
    <s v="United States"/>
    <s v="Fort Worth"/>
    <x v="5"/>
    <n v="76106"/>
    <x v="2"/>
    <x v="1"/>
    <x v="6"/>
    <n v="5.3440000000000003"/>
    <n v="2"/>
    <n v="0.2"/>
    <n v="0.73480000000000001"/>
  </r>
  <r>
    <s v="Standard Class"/>
    <x v="1"/>
    <s v="United States"/>
    <s v="Fort Worth"/>
    <x v="5"/>
    <n v="76106"/>
    <x v="2"/>
    <x v="1"/>
    <x v="8"/>
    <n v="1.696"/>
    <n v="2"/>
    <n v="0.8"/>
    <n v="-2.544"/>
  </r>
  <r>
    <s v="Standard Class"/>
    <x v="1"/>
    <s v="United States"/>
    <s v="Fort Worth"/>
    <x v="5"/>
    <n v="76106"/>
    <x v="2"/>
    <x v="1"/>
    <x v="9"/>
    <n v="24.588000000000001"/>
    <n v="3"/>
    <n v="0.8"/>
    <n v="-67.617000000000004"/>
  </r>
  <r>
    <s v="Standard Class"/>
    <x v="1"/>
    <s v="United States"/>
    <s v="Fort Worth"/>
    <x v="5"/>
    <n v="76106"/>
    <x v="2"/>
    <x v="1"/>
    <x v="8"/>
    <n v="7.98"/>
    <n v="5"/>
    <n v="0.8"/>
    <n v="-13.167"/>
  </r>
  <r>
    <s v="Standard Class"/>
    <x v="0"/>
    <s v="United States"/>
    <s v="Columbus"/>
    <x v="24"/>
    <n v="43229"/>
    <x v="3"/>
    <x v="2"/>
    <x v="11"/>
    <n v="288"/>
    <n v="4"/>
    <n v="0.2"/>
    <n v="57.6"/>
  </r>
  <r>
    <s v="Same Day"/>
    <x v="2"/>
    <s v="United States"/>
    <s v="Louisville"/>
    <x v="22"/>
    <n v="80027"/>
    <x v="1"/>
    <x v="2"/>
    <x v="7"/>
    <n v="146.952"/>
    <n v="3"/>
    <n v="0.2"/>
    <n v="9.1844999999999999"/>
  </r>
  <r>
    <s v="Same Day"/>
    <x v="2"/>
    <s v="United States"/>
    <s v="Louisville"/>
    <x v="22"/>
    <n v="80027"/>
    <x v="1"/>
    <x v="0"/>
    <x v="1"/>
    <n v="83.135999999999996"/>
    <n v="4"/>
    <n v="0.2"/>
    <n v="5.1959999999999997"/>
  </r>
  <r>
    <s v="First Class"/>
    <x v="1"/>
    <s v="United States"/>
    <s v="Raleigh"/>
    <x v="3"/>
    <n v="27604"/>
    <x v="0"/>
    <x v="1"/>
    <x v="9"/>
    <n v="942.78399999999999"/>
    <n v="4"/>
    <n v="0.2"/>
    <n v="94.278400000000005"/>
  </r>
  <r>
    <s v="First Class"/>
    <x v="1"/>
    <s v="United States"/>
    <s v="Raleigh"/>
    <x v="3"/>
    <n v="27604"/>
    <x v="0"/>
    <x v="1"/>
    <x v="10"/>
    <n v="74.352000000000004"/>
    <n v="3"/>
    <n v="0.2"/>
    <n v="23.234999999999999"/>
  </r>
  <r>
    <s v="Standard Class"/>
    <x v="2"/>
    <s v="United States"/>
    <s v="New York City"/>
    <x v="15"/>
    <n v="10024"/>
    <x v="3"/>
    <x v="1"/>
    <x v="9"/>
    <n v="26.88"/>
    <n v="6"/>
    <n v="0"/>
    <n v="6.72"/>
  </r>
  <r>
    <s v="Standard Class"/>
    <x v="2"/>
    <s v="United States"/>
    <s v="New York City"/>
    <x v="15"/>
    <n v="10024"/>
    <x v="3"/>
    <x v="1"/>
    <x v="8"/>
    <n v="10.896000000000001"/>
    <n v="2"/>
    <n v="0.2"/>
    <n v="3.8136000000000001"/>
  </r>
  <r>
    <s v="Second Class"/>
    <x v="2"/>
    <s v="United States"/>
    <s v="Chicago"/>
    <x v="10"/>
    <n v="60623"/>
    <x v="2"/>
    <x v="1"/>
    <x v="6"/>
    <n v="3.536"/>
    <n v="2"/>
    <n v="0.2"/>
    <n v="0.30940000000000001"/>
  </r>
  <r>
    <s v="First Class"/>
    <x v="1"/>
    <s v="United States"/>
    <s v="Huntsville"/>
    <x v="5"/>
    <n v="77340"/>
    <x v="2"/>
    <x v="0"/>
    <x v="1"/>
    <n v="528.42999999999995"/>
    <n v="5"/>
    <n v="0.3"/>
    <n v="0"/>
  </r>
  <r>
    <s v="First Class"/>
    <x v="1"/>
    <s v="United States"/>
    <s v="Huntsville"/>
    <x v="5"/>
    <n v="77340"/>
    <x v="2"/>
    <x v="1"/>
    <x v="10"/>
    <n v="41.472000000000001"/>
    <n v="8"/>
    <n v="0.2"/>
    <n v="14.5152"/>
  </r>
  <r>
    <s v="Standard Class"/>
    <x v="1"/>
    <s v="United States"/>
    <s v="New York City"/>
    <x v="15"/>
    <n v="10024"/>
    <x v="3"/>
    <x v="0"/>
    <x v="0"/>
    <n v="287.976"/>
    <n v="3"/>
    <n v="0.2"/>
    <n v="7.1993999999999998"/>
  </r>
  <r>
    <s v="Second Class"/>
    <x v="0"/>
    <s v="United States"/>
    <s v="Salem"/>
    <x v="21"/>
    <n v="97301"/>
    <x v="1"/>
    <x v="1"/>
    <x v="4"/>
    <n v="29.303999999999998"/>
    <n v="3"/>
    <n v="0.2"/>
    <n v="2.5640999999999998"/>
  </r>
  <r>
    <s v="First Class"/>
    <x v="1"/>
    <s v="United States"/>
    <s v="Houston"/>
    <x v="5"/>
    <n v="77070"/>
    <x v="2"/>
    <x v="1"/>
    <x v="6"/>
    <n v="55.328000000000003"/>
    <n v="2"/>
    <n v="0.2"/>
    <n v="6.2244000000000002"/>
  </r>
  <r>
    <s v="First Class"/>
    <x v="1"/>
    <s v="United States"/>
    <s v="Houston"/>
    <x v="5"/>
    <n v="77070"/>
    <x v="2"/>
    <x v="0"/>
    <x v="0"/>
    <n v="1227.9983999999999"/>
    <n v="6"/>
    <n v="0.32"/>
    <n v="-36.117600000000003"/>
  </r>
  <r>
    <s v="Standard Class"/>
    <x v="1"/>
    <s v="United States"/>
    <s v="Twin Falls"/>
    <x v="45"/>
    <n v="83301"/>
    <x v="1"/>
    <x v="1"/>
    <x v="8"/>
    <n v="20.416"/>
    <n v="4"/>
    <n v="0.2"/>
    <n v="6.6352000000000002"/>
  </r>
  <r>
    <s v="Standard Class"/>
    <x v="1"/>
    <s v="United States"/>
    <s v="Twin Falls"/>
    <x v="45"/>
    <n v="83301"/>
    <x v="1"/>
    <x v="0"/>
    <x v="3"/>
    <n v="1128.3900000000001"/>
    <n v="3"/>
    <n v="0"/>
    <n v="259.52969999999999"/>
  </r>
  <r>
    <s v="Standard Class"/>
    <x v="2"/>
    <s v="United States"/>
    <s v="Knoxville"/>
    <x v="18"/>
    <n v="37918"/>
    <x v="0"/>
    <x v="1"/>
    <x v="2"/>
    <n v="4.6079999999999997"/>
    <n v="2"/>
    <n v="0.2"/>
    <n v="1.6704000000000001"/>
  </r>
  <r>
    <s v="Standard Class"/>
    <x v="1"/>
    <s v="United States"/>
    <s v="Phoenix"/>
    <x v="16"/>
    <n v="85023"/>
    <x v="1"/>
    <x v="2"/>
    <x v="7"/>
    <n v="195.96"/>
    <n v="5"/>
    <n v="0.2"/>
    <n v="19.596"/>
  </r>
  <r>
    <s v="Standard Class"/>
    <x v="1"/>
    <s v="United States"/>
    <s v="Phoenix"/>
    <x v="16"/>
    <n v="85023"/>
    <x v="1"/>
    <x v="1"/>
    <x v="10"/>
    <n v="15.552"/>
    <n v="3"/>
    <n v="0.2"/>
    <n v="5.4432"/>
  </r>
  <r>
    <s v="Standard Class"/>
    <x v="1"/>
    <s v="United States"/>
    <s v="Phoenix"/>
    <x v="16"/>
    <n v="85023"/>
    <x v="1"/>
    <x v="2"/>
    <x v="11"/>
    <n v="271.96800000000002"/>
    <n v="4"/>
    <n v="0.2"/>
    <n v="54.393599999999999"/>
  </r>
  <r>
    <s v="Standard Class"/>
    <x v="0"/>
    <s v="United States"/>
    <s v="Monroe"/>
    <x v="3"/>
    <n v="28110"/>
    <x v="0"/>
    <x v="0"/>
    <x v="1"/>
    <n v="698.35199999999998"/>
    <n v="3"/>
    <n v="0.2"/>
    <n v="52.376399999999997"/>
  </r>
  <r>
    <s v="Standard Class"/>
    <x v="0"/>
    <s v="United States"/>
    <s v="Monroe"/>
    <x v="3"/>
    <n v="28110"/>
    <x v="0"/>
    <x v="0"/>
    <x v="0"/>
    <n v="77.727999999999994"/>
    <n v="2"/>
    <n v="0.2"/>
    <n v="-3.8864000000000001"/>
  </r>
  <r>
    <s v="Standard Class"/>
    <x v="1"/>
    <s v="United States"/>
    <s v="Richmond"/>
    <x v="17"/>
    <n v="23223"/>
    <x v="0"/>
    <x v="1"/>
    <x v="8"/>
    <n v="46.62"/>
    <n v="9"/>
    <n v="0"/>
    <n v="21.4452"/>
  </r>
  <r>
    <s v="Standard Class"/>
    <x v="0"/>
    <s v="United States"/>
    <s v="Houston"/>
    <x v="5"/>
    <n v="77041"/>
    <x v="2"/>
    <x v="2"/>
    <x v="7"/>
    <n v="537.54399999999998"/>
    <n v="7"/>
    <n v="0.2"/>
    <n v="47.0351"/>
  </r>
  <r>
    <s v="First Class"/>
    <x v="1"/>
    <s v="United States"/>
    <s v="Los Angeles"/>
    <x v="1"/>
    <n v="90008"/>
    <x v="1"/>
    <x v="1"/>
    <x v="2"/>
    <n v="14.62"/>
    <n v="2"/>
    <n v="0"/>
    <n v="6.8714000000000004"/>
  </r>
  <r>
    <s v="First Class"/>
    <x v="1"/>
    <s v="United States"/>
    <s v="Los Angeles"/>
    <x v="1"/>
    <n v="90008"/>
    <x v="1"/>
    <x v="1"/>
    <x v="13"/>
    <n v="22.55"/>
    <n v="5"/>
    <n v="0"/>
    <n v="8.7944999999999993"/>
  </r>
  <r>
    <s v="First Class"/>
    <x v="1"/>
    <s v="United States"/>
    <s v="Los Angeles"/>
    <x v="1"/>
    <n v="90008"/>
    <x v="1"/>
    <x v="2"/>
    <x v="7"/>
    <n v="583.79999999999995"/>
    <n v="5"/>
    <n v="0.2"/>
    <n v="72.974999999999994"/>
  </r>
  <r>
    <s v="First Class"/>
    <x v="1"/>
    <s v="United States"/>
    <s v="Los Angeles"/>
    <x v="1"/>
    <n v="90008"/>
    <x v="1"/>
    <x v="2"/>
    <x v="7"/>
    <n v="211.16800000000001"/>
    <n v="4"/>
    <n v="0.2"/>
    <n v="15.8376"/>
  </r>
  <r>
    <s v="Standard Class"/>
    <x v="0"/>
    <s v="United States"/>
    <s v="Orem"/>
    <x v="7"/>
    <n v="84057"/>
    <x v="1"/>
    <x v="1"/>
    <x v="10"/>
    <n v="12.96"/>
    <n v="2"/>
    <n v="0"/>
    <n v="6.2207999999999997"/>
  </r>
  <r>
    <s v="Standard Class"/>
    <x v="0"/>
    <s v="United States"/>
    <s v="Orem"/>
    <x v="7"/>
    <n v="84057"/>
    <x v="1"/>
    <x v="1"/>
    <x v="6"/>
    <n v="45.98"/>
    <n v="2"/>
    <n v="0"/>
    <n v="12.8744"/>
  </r>
  <r>
    <s v="Standard Class"/>
    <x v="2"/>
    <s v="United States"/>
    <s v="Burlington"/>
    <x v="42"/>
    <n v="5408"/>
    <x v="3"/>
    <x v="2"/>
    <x v="7"/>
    <n v="1294.75"/>
    <n v="5"/>
    <n v="0"/>
    <n v="336.63499999999999"/>
  </r>
  <r>
    <s v="First Class"/>
    <x v="0"/>
    <s v="United States"/>
    <s v="Philadelphia"/>
    <x v="9"/>
    <n v="19134"/>
    <x v="3"/>
    <x v="2"/>
    <x v="16"/>
    <n v="1799.97"/>
    <n v="5"/>
    <n v="0.4"/>
    <n v="239.99600000000001"/>
  </r>
  <r>
    <s v="Standard Class"/>
    <x v="1"/>
    <s v="United States"/>
    <s v="Chicago"/>
    <x v="10"/>
    <n v="60623"/>
    <x v="2"/>
    <x v="1"/>
    <x v="10"/>
    <n v="10.688000000000001"/>
    <n v="2"/>
    <n v="0.2"/>
    <n v="3.7408000000000001"/>
  </r>
  <r>
    <s v="First Class"/>
    <x v="0"/>
    <s v="United States"/>
    <s v="Oklahoma City"/>
    <x v="26"/>
    <n v="73120"/>
    <x v="2"/>
    <x v="2"/>
    <x v="7"/>
    <n v="221.98"/>
    <n v="2"/>
    <n v="0"/>
    <n v="62.154400000000003"/>
  </r>
  <r>
    <s v="First Class"/>
    <x v="0"/>
    <s v="United States"/>
    <s v="Oklahoma City"/>
    <x v="26"/>
    <n v="73120"/>
    <x v="2"/>
    <x v="0"/>
    <x v="0"/>
    <n v="341.96"/>
    <n v="2"/>
    <n v="0"/>
    <n v="54.7136"/>
  </r>
  <r>
    <s v="First Class"/>
    <x v="1"/>
    <s v="United States"/>
    <s v="New York City"/>
    <x v="15"/>
    <n v="10035"/>
    <x v="3"/>
    <x v="2"/>
    <x v="11"/>
    <n v="34.770000000000003"/>
    <n v="3"/>
    <n v="0"/>
    <n v="11.4741"/>
  </r>
  <r>
    <s v="First Class"/>
    <x v="1"/>
    <s v="United States"/>
    <s v="New York City"/>
    <x v="15"/>
    <n v="10035"/>
    <x v="3"/>
    <x v="1"/>
    <x v="2"/>
    <n v="18.899999999999999"/>
    <n v="3"/>
    <n v="0"/>
    <n v="8.6940000000000008"/>
  </r>
  <r>
    <s v="Standard Class"/>
    <x v="0"/>
    <s v="United States"/>
    <s v="Salt Lake City"/>
    <x v="7"/>
    <n v="84106"/>
    <x v="1"/>
    <x v="1"/>
    <x v="8"/>
    <n v="102.72"/>
    <n v="3"/>
    <n v="0.2"/>
    <n v="37.235999999999997"/>
  </r>
  <r>
    <s v="Standard Class"/>
    <x v="1"/>
    <s v="United States"/>
    <s v="Utica"/>
    <x v="15"/>
    <n v="13501"/>
    <x v="3"/>
    <x v="0"/>
    <x v="5"/>
    <n v="40.479999999999997"/>
    <n v="2"/>
    <n v="0"/>
    <n v="14.572800000000001"/>
  </r>
  <r>
    <s v="Standard Class"/>
    <x v="0"/>
    <s v="United States"/>
    <s v="Philadelphia"/>
    <x v="9"/>
    <n v="19134"/>
    <x v="3"/>
    <x v="1"/>
    <x v="8"/>
    <n v="33.281999999999996"/>
    <n v="3"/>
    <n v="0.7"/>
    <n v="-27.734999999999999"/>
  </r>
  <r>
    <s v="Standard Class"/>
    <x v="0"/>
    <s v="United States"/>
    <s v="Philadelphia"/>
    <x v="9"/>
    <n v="19134"/>
    <x v="3"/>
    <x v="2"/>
    <x v="7"/>
    <n v="118.65"/>
    <n v="5"/>
    <n v="0.4"/>
    <n v="19.774999999999999"/>
  </r>
  <r>
    <s v="Standard Class"/>
    <x v="0"/>
    <s v="United States"/>
    <s v="Philadelphia"/>
    <x v="9"/>
    <n v="19134"/>
    <x v="3"/>
    <x v="1"/>
    <x v="2"/>
    <n v="14.76"/>
    <n v="5"/>
    <n v="0.2"/>
    <n v="4.9814999999999996"/>
  </r>
  <r>
    <s v="Standard Class"/>
    <x v="1"/>
    <s v="United States"/>
    <s v="Los Angeles"/>
    <x v="1"/>
    <n v="90004"/>
    <x v="1"/>
    <x v="1"/>
    <x v="10"/>
    <n v="37.520000000000003"/>
    <n v="4"/>
    <n v="0"/>
    <n v="18.009599999999999"/>
  </r>
  <r>
    <s v="Standard Class"/>
    <x v="1"/>
    <s v="United States"/>
    <s v="Jackson"/>
    <x v="12"/>
    <n v="49201"/>
    <x v="2"/>
    <x v="1"/>
    <x v="9"/>
    <n v="207.14400000000001"/>
    <n v="3"/>
    <n v="0.1"/>
    <n v="48.333599999999997"/>
  </r>
  <r>
    <s v="Standard Class"/>
    <x v="1"/>
    <s v="United States"/>
    <s v="Jackson"/>
    <x v="12"/>
    <n v="49201"/>
    <x v="2"/>
    <x v="1"/>
    <x v="6"/>
    <n v="13.9"/>
    <n v="5"/>
    <n v="0"/>
    <n v="3.7530000000000001"/>
  </r>
  <r>
    <s v="Standard Class"/>
    <x v="1"/>
    <s v="United States"/>
    <s v="Glendale"/>
    <x v="16"/>
    <n v="85301"/>
    <x v="1"/>
    <x v="0"/>
    <x v="1"/>
    <n v="266.35199999999998"/>
    <n v="3"/>
    <n v="0.2"/>
    <n v="13.317600000000001"/>
  </r>
  <r>
    <s v="Second Class"/>
    <x v="0"/>
    <s v="United States"/>
    <s v="Wilmington"/>
    <x v="13"/>
    <n v="19805"/>
    <x v="3"/>
    <x v="2"/>
    <x v="7"/>
    <n v="307.98"/>
    <n v="2"/>
    <n v="0"/>
    <n v="89.3142"/>
  </r>
  <r>
    <s v="Second Class"/>
    <x v="0"/>
    <s v="United States"/>
    <s v="Wilmington"/>
    <x v="13"/>
    <n v="19805"/>
    <x v="3"/>
    <x v="1"/>
    <x v="10"/>
    <n v="44.1"/>
    <n v="6"/>
    <n v="0"/>
    <n v="20.727"/>
  </r>
  <r>
    <s v="Second Class"/>
    <x v="0"/>
    <s v="United States"/>
    <s v="Wilmington"/>
    <x v="13"/>
    <n v="19805"/>
    <x v="3"/>
    <x v="1"/>
    <x v="6"/>
    <n v="13.12"/>
    <n v="4"/>
    <n v="0"/>
    <n v="5.6416000000000004"/>
  </r>
  <r>
    <s v="Second Class"/>
    <x v="0"/>
    <s v="United States"/>
    <s v="Wilmington"/>
    <x v="13"/>
    <n v="19805"/>
    <x v="3"/>
    <x v="1"/>
    <x v="12"/>
    <n v="16.559999999999999"/>
    <n v="2"/>
    <n v="0"/>
    <n v="7.7831999999999999"/>
  </r>
  <r>
    <s v="Second Class"/>
    <x v="0"/>
    <s v="United States"/>
    <s v="Wilmington"/>
    <x v="13"/>
    <n v="19805"/>
    <x v="3"/>
    <x v="1"/>
    <x v="10"/>
    <n v="38.880000000000003"/>
    <n v="6"/>
    <n v="0"/>
    <n v="18.662400000000002"/>
  </r>
  <r>
    <s v="Standard Class"/>
    <x v="0"/>
    <s v="United States"/>
    <s v="Austin"/>
    <x v="5"/>
    <n v="78745"/>
    <x v="2"/>
    <x v="1"/>
    <x v="10"/>
    <n v="335.52"/>
    <n v="4"/>
    <n v="0.2"/>
    <n v="117.432"/>
  </r>
  <r>
    <s v="Standard Class"/>
    <x v="0"/>
    <s v="United States"/>
    <s v="Orlando"/>
    <x v="2"/>
    <n v="32839"/>
    <x v="0"/>
    <x v="2"/>
    <x v="16"/>
    <n v="959.98400000000004"/>
    <n v="2"/>
    <n v="0.2"/>
    <n v="311.9948"/>
  </r>
  <r>
    <s v="Standard Class"/>
    <x v="0"/>
    <s v="United States"/>
    <s v="Orlando"/>
    <x v="2"/>
    <n v="32839"/>
    <x v="0"/>
    <x v="1"/>
    <x v="8"/>
    <n v="4.0860000000000003"/>
    <n v="2"/>
    <n v="0.7"/>
    <n v="-2.9964"/>
  </r>
  <r>
    <s v="Standard Class"/>
    <x v="0"/>
    <s v="United States"/>
    <s v="Orlando"/>
    <x v="2"/>
    <n v="32839"/>
    <x v="0"/>
    <x v="1"/>
    <x v="6"/>
    <n v="55.984000000000002"/>
    <n v="2"/>
    <n v="0.2"/>
    <n v="4.1988000000000003"/>
  </r>
  <r>
    <s v="Standard Class"/>
    <x v="0"/>
    <s v="United States"/>
    <s v="Orlando"/>
    <x v="2"/>
    <n v="32839"/>
    <x v="0"/>
    <x v="1"/>
    <x v="10"/>
    <n v="10.688000000000001"/>
    <n v="2"/>
    <n v="0.2"/>
    <n v="3.7408000000000001"/>
  </r>
  <r>
    <s v="Second Class"/>
    <x v="0"/>
    <s v="United States"/>
    <s v="Reading"/>
    <x v="9"/>
    <n v="19601"/>
    <x v="3"/>
    <x v="1"/>
    <x v="12"/>
    <n v="8.8559999999999999"/>
    <n v="3"/>
    <n v="0.2"/>
    <n v="2.8782000000000001"/>
  </r>
  <r>
    <s v="First Class"/>
    <x v="0"/>
    <s v="United States"/>
    <s v="Philadelphia"/>
    <x v="9"/>
    <n v="19134"/>
    <x v="3"/>
    <x v="1"/>
    <x v="2"/>
    <n v="6.9119999999999999"/>
    <n v="3"/>
    <n v="0.2"/>
    <n v="2.5055999999999998"/>
  </r>
  <r>
    <s v="Second Class"/>
    <x v="0"/>
    <s v="United States"/>
    <s v="Houston"/>
    <x v="5"/>
    <n v="77095"/>
    <x v="2"/>
    <x v="1"/>
    <x v="10"/>
    <n v="26.72"/>
    <n v="5"/>
    <n v="0.2"/>
    <n v="9.3520000000000003"/>
  </r>
  <r>
    <s v="Second Class"/>
    <x v="0"/>
    <s v="United States"/>
    <s v="Houston"/>
    <x v="5"/>
    <n v="77095"/>
    <x v="2"/>
    <x v="1"/>
    <x v="10"/>
    <n v="33.488"/>
    <n v="7"/>
    <n v="0.2"/>
    <n v="10.465"/>
  </r>
  <r>
    <s v="Standard Class"/>
    <x v="1"/>
    <s v="United States"/>
    <s v="Saint Charles"/>
    <x v="25"/>
    <n v="63301"/>
    <x v="2"/>
    <x v="1"/>
    <x v="10"/>
    <n v="10.56"/>
    <n v="2"/>
    <n v="0"/>
    <n v="4.7519999999999998"/>
  </r>
  <r>
    <s v="First Class"/>
    <x v="1"/>
    <s v="United States"/>
    <s v="Indianapolis"/>
    <x v="14"/>
    <n v="46203"/>
    <x v="2"/>
    <x v="1"/>
    <x v="4"/>
    <n v="386.34"/>
    <n v="2"/>
    <n v="0"/>
    <n v="54.087600000000002"/>
  </r>
  <r>
    <s v="Second Class"/>
    <x v="1"/>
    <s v="United States"/>
    <s v="Seattle"/>
    <x v="4"/>
    <n v="98115"/>
    <x v="1"/>
    <x v="1"/>
    <x v="8"/>
    <n v="33.44"/>
    <n v="10"/>
    <n v="0.2"/>
    <n v="11.704000000000001"/>
  </r>
  <r>
    <s v="Standard Class"/>
    <x v="2"/>
    <s v="United States"/>
    <s v="Harrisonburg"/>
    <x v="17"/>
    <n v="22801"/>
    <x v="0"/>
    <x v="0"/>
    <x v="5"/>
    <n v="39.96"/>
    <n v="2"/>
    <n v="0"/>
    <n v="14.3856"/>
  </r>
  <r>
    <s v="Standard Class"/>
    <x v="0"/>
    <s v="United States"/>
    <s v="Rochester"/>
    <x v="15"/>
    <n v="14609"/>
    <x v="3"/>
    <x v="1"/>
    <x v="8"/>
    <n v="1217.568"/>
    <n v="2"/>
    <n v="0.2"/>
    <n v="456.58800000000002"/>
  </r>
  <r>
    <s v="Standard Class"/>
    <x v="2"/>
    <s v="United States"/>
    <s v="Sandy Springs"/>
    <x v="32"/>
    <n v="30328"/>
    <x v="0"/>
    <x v="1"/>
    <x v="4"/>
    <n v="15.51"/>
    <n v="1"/>
    <n v="0"/>
    <n v="3.8774999999999999"/>
  </r>
  <r>
    <s v="Standard Class"/>
    <x v="2"/>
    <s v="United States"/>
    <s v="Sandy Springs"/>
    <x v="32"/>
    <n v="30328"/>
    <x v="0"/>
    <x v="2"/>
    <x v="7"/>
    <n v="89.9"/>
    <n v="2"/>
    <n v="0"/>
    <n v="25.172000000000001"/>
  </r>
  <r>
    <s v="Standard Class"/>
    <x v="2"/>
    <s v="United States"/>
    <s v="Sandy Springs"/>
    <x v="32"/>
    <n v="30328"/>
    <x v="0"/>
    <x v="1"/>
    <x v="6"/>
    <n v="14.28"/>
    <n v="4"/>
    <n v="0"/>
    <n v="3.7128000000000001"/>
  </r>
  <r>
    <s v="Standard Class"/>
    <x v="2"/>
    <s v="United States"/>
    <s v="Sandy Springs"/>
    <x v="32"/>
    <n v="30328"/>
    <x v="0"/>
    <x v="1"/>
    <x v="6"/>
    <n v="12.72"/>
    <n v="3"/>
    <n v="0"/>
    <n v="4.9607999999999999"/>
  </r>
  <r>
    <s v="Standard Class"/>
    <x v="2"/>
    <s v="United States"/>
    <s v="Sandy Springs"/>
    <x v="32"/>
    <n v="30328"/>
    <x v="0"/>
    <x v="1"/>
    <x v="2"/>
    <n v="15.75"/>
    <n v="5"/>
    <n v="0"/>
    <n v="7.56"/>
  </r>
  <r>
    <s v="Second Class"/>
    <x v="1"/>
    <s v="United States"/>
    <s v="Los Angeles"/>
    <x v="1"/>
    <n v="90004"/>
    <x v="1"/>
    <x v="1"/>
    <x v="6"/>
    <n v="70.95"/>
    <n v="3"/>
    <n v="0"/>
    <n v="18.446999999999999"/>
  </r>
  <r>
    <s v="Second Class"/>
    <x v="1"/>
    <s v="United States"/>
    <s v="Los Angeles"/>
    <x v="1"/>
    <n v="90004"/>
    <x v="1"/>
    <x v="1"/>
    <x v="8"/>
    <n v="65.567999999999998"/>
    <n v="2"/>
    <n v="0.2"/>
    <n v="23.7684"/>
  </r>
  <r>
    <s v="Second Class"/>
    <x v="1"/>
    <s v="United States"/>
    <s v="Los Angeles"/>
    <x v="1"/>
    <n v="90004"/>
    <x v="1"/>
    <x v="2"/>
    <x v="11"/>
    <n v="299.97000000000003"/>
    <n v="3"/>
    <n v="0"/>
    <n v="131.98679999999999"/>
  </r>
  <r>
    <s v="Standard Class"/>
    <x v="1"/>
    <s v="United States"/>
    <s v="San Francisco"/>
    <x v="1"/>
    <n v="94110"/>
    <x v="1"/>
    <x v="2"/>
    <x v="11"/>
    <n v="89.97"/>
    <n v="3"/>
    <n v="0"/>
    <n v="39.586799999999997"/>
  </r>
  <r>
    <s v="Standard Class"/>
    <x v="1"/>
    <s v="United States"/>
    <s v="San Francisco"/>
    <x v="1"/>
    <n v="94110"/>
    <x v="1"/>
    <x v="2"/>
    <x v="11"/>
    <n v="31.86"/>
    <n v="2"/>
    <n v="0"/>
    <n v="11.151"/>
  </r>
  <r>
    <s v="Second Class"/>
    <x v="1"/>
    <s v="United States"/>
    <s v="Minneapolis"/>
    <x v="11"/>
    <n v="55407"/>
    <x v="2"/>
    <x v="1"/>
    <x v="4"/>
    <n v="67.150000000000006"/>
    <n v="5"/>
    <n v="0"/>
    <n v="16.787500000000001"/>
  </r>
  <r>
    <s v="Standard Class"/>
    <x v="0"/>
    <s v="United States"/>
    <s v="Columbus"/>
    <x v="24"/>
    <n v="43229"/>
    <x v="3"/>
    <x v="1"/>
    <x v="8"/>
    <n v="7.2359999999999998"/>
    <n v="3"/>
    <n v="0.7"/>
    <n v="-6.03"/>
  </r>
  <r>
    <s v="Standard Class"/>
    <x v="0"/>
    <s v="United States"/>
    <s v="Columbus"/>
    <x v="24"/>
    <n v="43229"/>
    <x v="3"/>
    <x v="1"/>
    <x v="13"/>
    <n v="4.8239999999999998"/>
    <n v="3"/>
    <n v="0.2"/>
    <n v="1.7486999999999999"/>
  </r>
  <r>
    <s v="Standard Class"/>
    <x v="0"/>
    <s v="United States"/>
    <s v="Columbus"/>
    <x v="24"/>
    <n v="43229"/>
    <x v="3"/>
    <x v="1"/>
    <x v="10"/>
    <n v="91.36"/>
    <n v="5"/>
    <n v="0.2"/>
    <n v="29.692"/>
  </r>
  <r>
    <s v="Standard Class"/>
    <x v="0"/>
    <s v="United States"/>
    <s v="Columbus"/>
    <x v="24"/>
    <n v="43229"/>
    <x v="3"/>
    <x v="1"/>
    <x v="9"/>
    <n v="130.11199999999999"/>
    <n v="2"/>
    <n v="0.2"/>
    <n v="13.011200000000001"/>
  </r>
  <r>
    <s v="First Class"/>
    <x v="1"/>
    <s v="United States"/>
    <s v="Raleigh"/>
    <x v="3"/>
    <n v="27604"/>
    <x v="0"/>
    <x v="2"/>
    <x v="7"/>
    <n v="74.239999999999995"/>
    <n v="1"/>
    <n v="0.2"/>
    <n v="8.3520000000000003"/>
  </r>
  <r>
    <s v="First Class"/>
    <x v="1"/>
    <s v="United States"/>
    <s v="Raleigh"/>
    <x v="3"/>
    <n v="27604"/>
    <x v="0"/>
    <x v="0"/>
    <x v="5"/>
    <n v="159.84"/>
    <n v="10"/>
    <n v="0.2"/>
    <n v="45.954000000000001"/>
  </r>
  <r>
    <s v="First Class"/>
    <x v="1"/>
    <s v="United States"/>
    <s v="Raleigh"/>
    <x v="3"/>
    <n v="27604"/>
    <x v="0"/>
    <x v="1"/>
    <x v="8"/>
    <n v="2.8919999999999999"/>
    <n v="2"/>
    <n v="0.7"/>
    <n v="-2.3136000000000001"/>
  </r>
  <r>
    <s v="First Class"/>
    <x v="1"/>
    <s v="United States"/>
    <s v="Raleigh"/>
    <x v="3"/>
    <n v="27604"/>
    <x v="0"/>
    <x v="1"/>
    <x v="10"/>
    <n v="9.3919999999999995"/>
    <n v="2"/>
    <n v="0.2"/>
    <n v="3.2871999999999999"/>
  </r>
  <r>
    <s v="Second Class"/>
    <x v="0"/>
    <s v="United States"/>
    <s v="New York City"/>
    <x v="15"/>
    <n v="10011"/>
    <x v="3"/>
    <x v="1"/>
    <x v="10"/>
    <n v="123.92"/>
    <n v="4"/>
    <n v="0"/>
    <n v="55.764000000000003"/>
  </r>
  <r>
    <s v="First Class"/>
    <x v="0"/>
    <s v="United States"/>
    <s v="Philadelphia"/>
    <x v="9"/>
    <n v="19143"/>
    <x v="3"/>
    <x v="1"/>
    <x v="14"/>
    <n v="55.6"/>
    <n v="5"/>
    <n v="0.2"/>
    <n v="6.2549999999999999"/>
  </r>
  <r>
    <s v="First Class"/>
    <x v="0"/>
    <s v="United States"/>
    <s v="Philadelphia"/>
    <x v="9"/>
    <n v="19143"/>
    <x v="3"/>
    <x v="2"/>
    <x v="11"/>
    <n v="617.976"/>
    <n v="3"/>
    <n v="0.2"/>
    <n v="-7.7247000000000003"/>
  </r>
  <r>
    <s v="Standard Class"/>
    <x v="1"/>
    <s v="United States"/>
    <s v="Meridian"/>
    <x v="45"/>
    <n v="83642"/>
    <x v="1"/>
    <x v="1"/>
    <x v="8"/>
    <n v="21.312000000000001"/>
    <n v="3"/>
    <n v="0.2"/>
    <n v="7.992"/>
  </r>
  <r>
    <s v="Standard Class"/>
    <x v="1"/>
    <s v="United States"/>
    <s v="Sacramento"/>
    <x v="1"/>
    <n v="95823"/>
    <x v="1"/>
    <x v="2"/>
    <x v="11"/>
    <n v="209.94"/>
    <n v="6"/>
    <n v="0"/>
    <n v="39.888599999999997"/>
  </r>
  <r>
    <s v="Standard Class"/>
    <x v="1"/>
    <s v="United States"/>
    <s v="Sacramento"/>
    <x v="1"/>
    <n v="95823"/>
    <x v="1"/>
    <x v="2"/>
    <x v="7"/>
    <n v="31.984000000000002"/>
    <n v="2"/>
    <n v="0.2"/>
    <n v="-7.9960000000000004"/>
  </r>
  <r>
    <s v="Standard Class"/>
    <x v="1"/>
    <s v="United States"/>
    <s v="Sacramento"/>
    <x v="1"/>
    <n v="95823"/>
    <x v="1"/>
    <x v="1"/>
    <x v="8"/>
    <n v="5083.96"/>
    <n v="5"/>
    <n v="0.2"/>
    <n v="1906.4849999999999"/>
  </r>
  <r>
    <s v="Standard Class"/>
    <x v="2"/>
    <s v="United States"/>
    <s v="Charlotte"/>
    <x v="3"/>
    <n v="28205"/>
    <x v="0"/>
    <x v="2"/>
    <x v="7"/>
    <n v="35.96"/>
    <n v="1"/>
    <n v="0.2"/>
    <n v="3.5960000000000001"/>
  </r>
  <r>
    <s v="Standard Class"/>
    <x v="2"/>
    <s v="United States"/>
    <s v="Paterson"/>
    <x v="30"/>
    <n v="7501"/>
    <x v="3"/>
    <x v="1"/>
    <x v="2"/>
    <n v="31.05"/>
    <n v="3"/>
    <n v="0"/>
    <n v="14.904"/>
  </r>
  <r>
    <s v="Standard Class"/>
    <x v="2"/>
    <s v="United States"/>
    <s v="Paterson"/>
    <x v="30"/>
    <n v="7501"/>
    <x v="3"/>
    <x v="0"/>
    <x v="5"/>
    <n v="8.92"/>
    <n v="4"/>
    <n v="0"/>
    <n v="3.9247999999999998"/>
  </r>
  <r>
    <s v="Standard Class"/>
    <x v="2"/>
    <s v="United States"/>
    <s v="Paterson"/>
    <x v="30"/>
    <n v="7501"/>
    <x v="3"/>
    <x v="1"/>
    <x v="8"/>
    <n v="209.6"/>
    <n v="4"/>
    <n v="0"/>
    <n v="96.415999999999997"/>
  </r>
  <r>
    <s v="Standard Class"/>
    <x v="2"/>
    <s v="United States"/>
    <s v="Paterson"/>
    <x v="30"/>
    <n v="7501"/>
    <x v="3"/>
    <x v="1"/>
    <x v="9"/>
    <n v="111.04"/>
    <n v="4"/>
    <n v="0"/>
    <n v="29.980799999999999"/>
  </r>
  <r>
    <s v="Standard Class"/>
    <x v="2"/>
    <s v="United States"/>
    <s v="Paterson"/>
    <x v="30"/>
    <n v="7501"/>
    <x v="3"/>
    <x v="1"/>
    <x v="10"/>
    <n v="38.880000000000003"/>
    <n v="6"/>
    <n v="0"/>
    <n v="18.662400000000002"/>
  </r>
  <r>
    <s v="Standard Class"/>
    <x v="0"/>
    <s v="United States"/>
    <s v="Arlington"/>
    <x v="17"/>
    <n v="22204"/>
    <x v="0"/>
    <x v="1"/>
    <x v="9"/>
    <n v="36.270000000000003"/>
    <n v="3"/>
    <n v="0"/>
    <n v="10.881"/>
  </r>
  <r>
    <s v="First Class"/>
    <x v="0"/>
    <s v="United States"/>
    <s v="Chicago"/>
    <x v="10"/>
    <n v="60653"/>
    <x v="2"/>
    <x v="0"/>
    <x v="0"/>
    <n v="493.43"/>
    <n v="5"/>
    <n v="0.3"/>
    <n v="-70.489999999999995"/>
  </r>
  <r>
    <s v="First Class"/>
    <x v="0"/>
    <s v="United States"/>
    <s v="Chicago"/>
    <x v="10"/>
    <n v="60653"/>
    <x v="2"/>
    <x v="2"/>
    <x v="7"/>
    <n v="11.12"/>
    <n v="2"/>
    <n v="0.2"/>
    <n v="3.4750000000000001"/>
  </r>
  <r>
    <s v="Standard Class"/>
    <x v="0"/>
    <s v="United States"/>
    <s v="San Diego"/>
    <x v="1"/>
    <n v="92037"/>
    <x v="1"/>
    <x v="2"/>
    <x v="15"/>
    <n v="686.4"/>
    <n v="2"/>
    <n v="0.2"/>
    <n v="77.22"/>
  </r>
  <r>
    <s v="Standard Class"/>
    <x v="1"/>
    <s v="United States"/>
    <s v="Seattle"/>
    <x v="4"/>
    <n v="98105"/>
    <x v="1"/>
    <x v="1"/>
    <x v="8"/>
    <n v="15.92"/>
    <n v="5"/>
    <n v="0.2"/>
    <n v="5.3730000000000002"/>
  </r>
  <r>
    <s v="Standard Class"/>
    <x v="1"/>
    <s v="United States"/>
    <s v="Seattle"/>
    <x v="4"/>
    <n v="98105"/>
    <x v="1"/>
    <x v="0"/>
    <x v="5"/>
    <n v="70.680000000000007"/>
    <n v="12"/>
    <n v="0"/>
    <n v="31.0992"/>
  </r>
  <r>
    <s v="Standard Class"/>
    <x v="1"/>
    <s v="United States"/>
    <s v="Seattle"/>
    <x v="4"/>
    <n v="98105"/>
    <x v="1"/>
    <x v="1"/>
    <x v="4"/>
    <n v="541.24"/>
    <n v="4"/>
    <n v="0"/>
    <n v="5.4123999999999999"/>
  </r>
  <r>
    <s v="Same Day"/>
    <x v="0"/>
    <s v="United States"/>
    <s v="Columbus"/>
    <x v="24"/>
    <n v="43229"/>
    <x v="3"/>
    <x v="2"/>
    <x v="15"/>
    <n v="101.994"/>
    <n v="2"/>
    <n v="0.7"/>
    <n v="-71.395799999999994"/>
  </r>
  <r>
    <s v="Same Day"/>
    <x v="0"/>
    <s v="United States"/>
    <s v="Columbus"/>
    <x v="24"/>
    <n v="43229"/>
    <x v="3"/>
    <x v="1"/>
    <x v="8"/>
    <n v="18.263999999999999"/>
    <n v="2"/>
    <n v="0.7"/>
    <n v="-13.393599999999999"/>
  </r>
  <r>
    <s v="Second Class"/>
    <x v="0"/>
    <s v="United States"/>
    <s v="Houston"/>
    <x v="5"/>
    <n v="77095"/>
    <x v="2"/>
    <x v="1"/>
    <x v="8"/>
    <n v="21.99"/>
    <n v="5"/>
    <n v="0.8"/>
    <n v="-32.984999999999999"/>
  </r>
  <r>
    <s v="Standard Class"/>
    <x v="0"/>
    <s v="United States"/>
    <s v="Irving"/>
    <x v="5"/>
    <n v="75061"/>
    <x v="2"/>
    <x v="1"/>
    <x v="14"/>
    <n v="185.376"/>
    <n v="2"/>
    <n v="0.2"/>
    <n v="-34.758000000000003"/>
  </r>
  <r>
    <s v="Standard Class"/>
    <x v="0"/>
    <s v="United States"/>
    <s v="Irving"/>
    <x v="5"/>
    <n v="75061"/>
    <x v="2"/>
    <x v="1"/>
    <x v="9"/>
    <n v="58.923999999999999"/>
    <n v="1"/>
    <n v="0.8"/>
    <n v="-153.20240000000001"/>
  </r>
  <r>
    <s v="Standard Class"/>
    <x v="0"/>
    <s v="United States"/>
    <s v="Morristown"/>
    <x v="30"/>
    <n v="7960"/>
    <x v="3"/>
    <x v="2"/>
    <x v="15"/>
    <n v="480"/>
    <n v="4"/>
    <n v="0"/>
    <n v="225.6"/>
  </r>
  <r>
    <s v="Standard Class"/>
    <x v="0"/>
    <s v="United States"/>
    <s v="Morristown"/>
    <x v="30"/>
    <n v="7960"/>
    <x v="3"/>
    <x v="1"/>
    <x v="4"/>
    <n v="34.049999999999997"/>
    <n v="3"/>
    <n v="0"/>
    <n v="9.5340000000000007"/>
  </r>
  <r>
    <s v="First Class"/>
    <x v="1"/>
    <s v="United States"/>
    <s v="Los Angeles"/>
    <x v="1"/>
    <n v="90008"/>
    <x v="1"/>
    <x v="1"/>
    <x v="10"/>
    <n v="192.72"/>
    <n v="11"/>
    <n v="0"/>
    <n v="92.505600000000001"/>
  </r>
  <r>
    <s v="First Class"/>
    <x v="1"/>
    <s v="United States"/>
    <s v="Los Angeles"/>
    <x v="1"/>
    <n v="90008"/>
    <x v="1"/>
    <x v="2"/>
    <x v="11"/>
    <n v="239.97"/>
    <n v="3"/>
    <n v="0"/>
    <n v="86.389200000000002"/>
  </r>
  <r>
    <s v="Second Class"/>
    <x v="2"/>
    <s v="United States"/>
    <s v="Aurora"/>
    <x v="10"/>
    <n v="60505"/>
    <x v="2"/>
    <x v="2"/>
    <x v="11"/>
    <n v="50.12"/>
    <n v="7"/>
    <n v="0.2"/>
    <n v="-0.62649999999999995"/>
  </r>
  <r>
    <s v="Standard Class"/>
    <x v="1"/>
    <s v="United States"/>
    <s v="Durham"/>
    <x v="3"/>
    <n v="27707"/>
    <x v="0"/>
    <x v="2"/>
    <x v="7"/>
    <n v="15.984"/>
    <n v="2"/>
    <n v="0.2"/>
    <n v="1.3986000000000001"/>
  </r>
  <r>
    <s v="Standard Class"/>
    <x v="1"/>
    <s v="United States"/>
    <s v="Durham"/>
    <x v="3"/>
    <n v="27707"/>
    <x v="0"/>
    <x v="1"/>
    <x v="10"/>
    <n v="14.352"/>
    <n v="3"/>
    <n v="0.2"/>
    <n v="4.4850000000000003"/>
  </r>
  <r>
    <s v="Standard Class"/>
    <x v="1"/>
    <s v="United States"/>
    <s v="Columbus"/>
    <x v="24"/>
    <n v="43229"/>
    <x v="3"/>
    <x v="1"/>
    <x v="8"/>
    <n v="6.5279999999999996"/>
    <n v="4"/>
    <n v="0.7"/>
    <n v="-4.5696000000000003"/>
  </r>
  <r>
    <s v="Standard Class"/>
    <x v="1"/>
    <s v="United States"/>
    <s v="Columbus"/>
    <x v="24"/>
    <n v="43229"/>
    <x v="3"/>
    <x v="1"/>
    <x v="8"/>
    <n v="2.8620000000000001"/>
    <n v="3"/>
    <n v="0.7"/>
    <n v="-2.2896000000000001"/>
  </r>
  <r>
    <s v="Standard Class"/>
    <x v="1"/>
    <s v="United States"/>
    <s v="Columbus"/>
    <x v="24"/>
    <n v="43229"/>
    <x v="3"/>
    <x v="1"/>
    <x v="8"/>
    <n v="20.856000000000002"/>
    <n v="8"/>
    <n v="0.7"/>
    <n v="-16.684799999999999"/>
  </r>
  <r>
    <s v="Second Class"/>
    <x v="1"/>
    <s v="United States"/>
    <s v="Los Angeles"/>
    <x v="1"/>
    <n v="90036"/>
    <x v="1"/>
    <x v="1"/>
    <x v="4"/>
    <n v="276.27999999999997"/>
    <n v="2"/>
    <n v="0"/>
    <n v="0"/>
  </r>
  <r>
    <s v="Standard Class"/>
    <x v="2"/>
    <s v="United States"/>
    <s v="Stockton"/>
    <x v="1"/>
    <n v="95207"/>
    <x v="1"/>
    <x v="0"/>
    <x v="5"/>
    <n v="629.64"/>
    <n v="9"/>
    <n v="0"/>
    <n v="107.03879999999999"/>
  </r>
  <r>
    <s v="Second Class"/>
    <x v="2"/>
    <s v="United States"/>
    <s v="Columbia"/>
    <x v="25"/>
    <n v="65203"/>
    <x v="2"/>
    <x v="2"/>
    <x v="7"/>
    <n v="449.97"/>
    <n v="3"/>
    <n v="0"/>
    <n v="220.4853"/>
  </r>
  <r>
    <s v="Second Class"/>
    <x v="2"/>
    <s v="United States"/>
    <s v="Columbia"/>
    <x v="25"/>
    <n v="65203"/>
    <x v="2"/>
    <x v="1"/>
    <x v="9"/>
    <n v="1927.59"/>
    <n v="7"/>
    <n v="0"/>
    <n v="751.76009999999997"/>
  </r>
  <r>
    <s v="First Class"/>
    <x v="2"/>
    <s v="United States"/>
    <s v="Columbus"/>
    <x v="32"/>
    <n v="31907"/>
    <x v="0"/>
    <x v="0"/>
    <x v="1"/>
    <n v="121.78"/>
    <n v="2"/>
    <n v="0"/>
    <n v="30.445"/>
  </r>
  <r>
    <s v="Standard Class"/>
    <x v="2"/>
    <s v="United States"/>
    <s v="San Diego"/>
    <x v="1"/>
    <n v="92037"/>
    <x v="1"/>
    <x v="0"/>
    <x v="1"/>
    <n v="2676.672"/>
    <n v="9"/>
    <n v="0.2"/>
    <n v="267.66719999999998"/>
  </r>
  <r>
    <s v="Standard Class"/>
    <x v="0"/>
    <s v="United States"/>
    <s v="Texas City"/>
    <x v="5"/>
    <n v="77590"/>
    <x v="2"/>
    <x v="0"/>
    <x v="3"/>
    <n v="489.23"/>
    <n v="2"/>
    <n v="0.3"/>
    <n v="41.933999999999997"/>
  </r>
  <r>
    <s v="Standard Class"/>
    <x v="0"/>
    <s v="United States"/>
    <s v="Los Angeles"/>
    <x v="1"/>
    <n v="90004"/>
    <x v="1"/>
    <x v="0"/>
    <x v="5"/>
    <n v="312.02999999999997"/>
    <n v="3"/>
    <n v="0"/>
    <n v="43.684199999999997"/>
  </r>
  <r>
    <s v="Standard Class"/>
    <x v="0"/>
    <s v="United States"/>
    <s v="Los Angeles"/>
    <x v="1"/>
    <n v="90004"/>
    <x v="1"/>
    <x v="1"/>
    <x v="4"/>
    <n v="17.940000000000001"/>
    <n v="3"/>
    <n v="0"/>
    <n v="3.0497999999999998"/>
  </r>
  <r>
    <s v="Standard Class"/>
    <x v="0"/>
    <s v="United States"/>
    <s v="Los Angeles"/>
    <x v="1"/>
    <n v="90004"/>
    <x v="1"/>
    <x v="2"/>
    <x v="7"/>
    <n v="165.6"/>
    <n v="3"/>
    <n v="0.2"/>
    <n v="10.35"/>
  </r>
  <r>
    <s v="Standard Class"/>
    <x v="0"/>
    <s v="United States"/>
    <s v="Los Angeles"/>
    <x v="1"/>
    <n v="90004"/>
    <x v="1"/>
    <x v="1"/>
    <x v="10"/>
    <n v="37.520000000000003"/>
    <n v="4"/>
    <n v="0"/>
    <n v="18.009599999999999"/>
  </r>
  <r>
    <s v="Second Class"/>
    <x v="1"/>
    <s v="United States"/>
    <s v="Springfield"/>
    <x v="17"/>
    <n v="22153"/>
    <x v="0"/>
    <x v="2"/>
    <x v="7"/>
    <n v="494.97"/>
    <n v="3"/>
    <n v="0"/>
    <n v="148.49100000000001"/>
  </r>
  <r>
    <s v="Second Class"/>
    <x v="1"/>
    <s v="United States"/>
    <s v="Springfield"/>
    <x v="17"/>
    <n v="22153"/>
    <x v="0"/>
    <x v="1"/>
    <x v="2"/>
    <n v="25.06"/>
    <n v="2"/>
    <n v="0"/>
    <n v="11.7782"/>
  </r>
  <r>
    <s v="Standard Class"/>
    <x v="0"/>
    <s v="United States"/>
    <s v="Decatur"/>
    <x v="10"/>
    <n v="62521"/>
    <x v="2"/>
    <x v="0"/>
    <x v="5"/>
    <n v="32.064"/>
    <n v="3"/>
    <n v="0.6"/>
    <n v="-12.8256"/>
  </r>
  <r>
    <s v="Standard Class"/>
    <x v="0"/>
    <s v="United States"/>
    <s v="Decatur"/>
    <x v="10"/>
    <n v="62521"/>
    <x v="2"/>
    <x v="1"/>
    <x v="10"/>
    <n v="18.495999999999999"/>
    <n v="4"/>
    <n v="0.2"/>
    <n v="6.7047999999999996"/>
  </r>
  <r>
    <s v="Standard Class"/>
    <x v="0"/>
    <s v="United States"/>
    <s v="Decatur"/>
    <x v="10"/>
    <n v="62521"/>
    <x v="2"/>
    <x v="0"/>
    <x v="1"/>
    <n v="191.07900000000001"/>
    <n v="3"/>
    <n v="0.3"/>
    <n v="-38.215800000000002"/>
  </r>
  <r>
    <s v="Standard Class"/>
    <x v="0"/>
    <s v="United States"/>
    <s v="Decatur"/>
    <x v="10"/>
    <n v="62521"/>
    <x v="2"/>
    <x v="1"/>
    <x v="10"/>
    <n v="10.368"/>
    <n v="2"/>
    <n v="0.2"/>
    <n v="3.6288"/>
  </r>
  <r>
    <s v="Same Day"/>
    <x v="2"/>
    <s v="United States"/>
    <s v="New York City"/>
    <x v="15"/>
    <n v="10009"/>
    <x v="3"/>
    <x v="1"/>
    <x v="2"/>
    <n v="30.53"/>
    <n v="1"/>
    <n v="0"/>
    <n v="14.043799999999999"/>
  </r>
  <r>
    <s v="Same Day"/>
    <x v="2"/>
    <s v="United States"/>
    <s v="New York City"/>
    <x v="15"/>
    <n v="10009"/>
    <x v="3"/>
    <x v="2"/>
    <x v="11"/>
    <n v="30.84"/>
    <n v="3"/>
    <n v="0"/>
    <n v="6.1680000000000001"/>
  </r>
  <r>
    <s v="Same Day"/>
    <x v="2"/>
    <s v="United States"/>
    <s v="New York City"/>
    <x v="15"/>
    <n v="10009"/>
    <x v="3"/>
    <x v="1"/>
    <x v="10"/>
    <n v="75.06"/>
    <n v="9"/>
    <n v="0"/>
    <n v="33.777000000000001"/>
  </r>
  <r>
    <s v="First Class"/>
    <x v="1"/>
    <s v="United States"/>
    <s v="San Francisco"/>
    <x v="1"/>
    <n v="94110"/>
    <x v="1"/>
    <x v="2"/>
    <x v="7"/>
    <n v="66.975999999999999"/>
    <n v="7"/>
    <n v="0.2"/>
    <n v="6.6976000000000004"/>
  </r>
  <r>
    <s v="Standard Class"/>
    <x v="1"/>
    <s v="United States"/>
    <s v="Moreno Valley"/>
    <x v="1"/>
    <n v="92553"/>
    <x v="1"/>
    <x v="1"/>
    <x v="10"/>
    <n v="182.72"/>
    <n v="8"/>
    <n v="0"/>
    <n v="84.051199999999994"/>
  </r>
  <r>
    <s v="Standard Class"/>
    <x v="0"/>
    <s v="United States"/>
    <s v="Everett"/>
    <x v="31"/>
    <n v="2149"/>
    <x v="3"/>
    <x v="1"/>
    <x v="2"/>
    <n v="21.93"/>
    <n v="3"/>
    <n v="0"/>
    <n v="10.3071"/>
  </r>
  <r>
    <s v="Standard Class"/>
    <x v="0"/>
    <s v="United States"/>
    <s v="Chattanooga"/>
    <x v="18"/>
    <n v="37421"/>
    <x v="0"/>
    <x v="2"/>
    <x v="11"/>
    <n v="95.975999999999999"/>
    <n v="3"/>
    <n v="0.2"/>
    <n v="15.5961"/>
  </r>
  <r>
    <s v="Standard Class"/>
    <x v="0"/>
    <s v="United States"/>
    <s v="Chattanooga"/>
    <x v="18"/>
    <n v="37421"/>
    <x v="0"/>
    <x v="2"/>
    <x v="7"/>
    <n v="143.928"/>
    <n v="9"/>
    <n v="0.2"/>
    <n v="-32.383800000000001"/>
  </r>
  <r>
    <s v="Standard Class"/>
    <x v="0"/>
    <s v="United States"/>
    <s v="Chattanooga"/>
    <x v="18"/>
    <n v="37421"/>
    <x v="0"/>
    <x v="1"/>
    <x v="8"/>
    <n v="3.5640000000000001"/>
    <n v="2"/>
    <n v="0.7"/>
    <n v="-2.97"/>
  </r>
  <r>
    <s v="Standard Class"/>
    <x v="0"/>
    <s v="United States"/>
    <s v="Chattanooga"/>
    <x v="18"/>
    <n v="37421"/>
    <x v="0"/>
    <x v="1"/>
    <x v="2"/>
    <n v="4.9279999999999999"/>
    <n v="2"/>
    <n v="0.2"/>
    <n v="1.7248000000000001"/>
  </r>
  <r>
    <s v="Standard Class"/>
    <x v="1"/>
    <s v="United States"/>
    <s v="Austin"/>
    <x v="5"/>
    <n v="78745"/>
    <x v="2"/>
    <x v="1"/>
    <x v="4"/>
    <n v="856.65599999999995"/>
    <n v="6"/>
    <n v="0.2"/>
    <n v="107.08199999999999"/>
  </r>
  <r>
    <s v="Standard Class"/>
    <x v="1"/>
    <s v="United States"/>
    <s v="Austin"/>
    <x v="5"/>
    <n v="78745"/>
    <x v="2"/>
    <x v="1"/>
    <x v="8"/>
    <n v="13.183999999999999"/>
    <n v="4"/>
    <n v="0.8"/>
    <n v="-20.435199999999998"/>
  </r>
  <r>
    <s v="Standard Class"/>
    <x v="1"/>
    <s v="United States"/>
    <s v="Austin"/>
    <x v="5"/>
    <n v="78745"/>
    <x v="2"/>
    <x v="1"/>
    <x v="9"/>
    <n v="48.783999999999999"/>
    <n v="4"/>
    <n v="0.8"/>
    <n v="-131.71680000000001"/>
  </r>
  <r>
    <s v="Standard Class"/>
    <x v="1"/>
    <s v="United States"/>
    <s v="Austin"/>
    <x v="5"/>
    <n v="78745"/>
    <x v="2"/>
    <x v="1"/>
    <x v="10"/>
    <n v="76.64"/>
    <n v="2"/>
    <n v="0.2"/>
    <n v="26.824000000000002"/>
  </r>
  <r>
    <s v="Standard Class"/>
    <x v="1"/>
    <s v="United States"/>
    <s v="Austin"/>
    <x v="5"/>
    <n v="78745"/>
    <x v="2"/>
    <x v="1"/>
    <x v="8"/>
    <n v="18.527999999999999"/>
    <n v="6"/>
    <n v="0.8"/>
    <n v="-27.792000000000002"/>
  </r>
  <r>
    <s v="Standard Class"/>
    <x v="1"/>
    <s v="United States"/>
    <s v="Virginia Beach"/>
    <x v="17"/>
    <n v="23464"/>
    <x v="0"/>
    <x v="0"/>
    <x v="5"/>
    <n v="177.68"/>
    <n v="2"/>
    <n v="0"/>
    <n v="46.196800000000003"/>
  </r>
  <r>
    <s v="Standard Class"/>
    <x v="1"/>
    <s v="United States"/>
    <s v="Jamestown"/>
    <x v="15"/>
    <n v="14701"/>
    <x v="3"/>
    <x v="2"/>
    <x v="11"/>
    <n v="159.97999999999999"/>
    <n v="2"/>
    <n v="0"/>
    <n v="57.592799999999997"/>
  </r>
  <r>
    <s v="Standard Class"/>
    <x v="1"/>
    <s v="United States"/>
    <s v="Coral Gables"/>
    <x v="2"/>
    <n v="33134"/>
    <x v="0"/>
    <x v="2"/>
    <x v="7"/>
    <n v="52.68"/>
    <n v="3"/>
    <n v="0.2"/>
    <n v="19.754999999999999"/>
  </r>
  <r>
    <s v="Standard Class"/>
    <x v="1"/>
    <s v="United States"/>
    <s v="Coral Gables"/>
    <x v="2"/>
    <n v="33134"/>
    <x v="0"/>
    <x v="0"/>
    <x v="5"/>
    <n v="11.568"/>
    <n v="3"/>
    <n v="0.2"/>
    <n v="2.6027999999999998"/>
  </r>
  <r>
    <s v="Standard Class"/>
    <x v="0"/>
    <s v="United States"/>
    <s v="Hickory"/>
    <x v="3"/>
    <n v="28601"/>
    <x v="0"/>
    <x v="1"/>
    <x v="8"/>
    <n v="4.5720000000000001"/>
    <n v="4"/>
    <n v="0.7"/>
    <n v="-3.81"/>
  </r>
  <r>
    <s v="Standard Class"/>
    <x v="0"/>
    <s v="United States"/>
    <s v="Rockford"/>
    <x v="10"/>
    <n v="61107"/>
    <x v="2"/>
    <x v="2"/>
    <x v="7"/>
    <n v="1439.9680000000001"/>
    <n v="4"/>
    <n v="0.2"/>
    <n v="143.99680000000001"/>
  </r>
  <r>
    <s v="Standard Class"/>
    <x v="0"/>
    <s v="United States"/>
    <s v="Rockford"/>
    <x v="10"/>
    <n v="61107"/>
    <x v="2"/>
    <x v="1"/>
    <x v="8"/>
    <n v="1.728"/>
    <n v="3"/>
    <n v="0.8"/>
    <n v="-2.6783999999999999"/>
  </r>
  <r>
    <s v="Standard Class"/>
    <x v="0"/>
    <s v="United States"/>
    <s v="Rockford"/>
    <x v="10"/>
    <n v="61107"/>
    <x v="2"/>
    <x v="0"/>
    <x v="3"/>
    <n v="626.1"/>
    <n v="3"/>
    <n v="0.5"/>
    <n v="-538.44600000000003"/>
  </r>
  <r>
    <s v="Second Class"/>
    <x v="1"/>
    <s v="United States"/>
    <s v="Seattle"/>
    <x v="4"/>
    <n v="98103"/>
    <x v="1"/>
    <x v="1"/>
    <x v="6"/>
    <n v="99.2"/>
    <n v="5"/>
    <n v="0"/>
    <n v="25.792000000000002"/>
  </r>
  <r>
    <s v="Standard Class"/>
    <x v="0"/>
    <s v="United States"/>
    <s v="Huntsville"/>
    <x v="5"/>
    <n v="77340"/>
    <x v="2"/>
    <x v="0"/>
    <x v="3"/>
    <n v="609.98"/>
    <n v="4"/>
    <n v="0.3"/>
    <n v="-113.282"/>
  </r>
  <r>
    <s v="Standard Class"/>
    <x v="0"/>
    <s v="United States"/>
    <s v="Huntsville"/>
    <x v="5"/>
    <n v="77340"/>
    <x v="2"/>
    <x v="0"/>
    <x v="3"/>
    <n v="211.37200000000001"/>
    <n v="2"/>
    <n v="0.3"/>
    <n v="-45.293999999999997"/>
  </r>
  <r>
    <s v="Standard Class"/>
    <x v="0"/>
    <s v="United States"/>
    <s v="Huntsville"/>
    <x v="5"/>
    <n v="77340"/>
    <x v="2"/>
    <x v="2"/>
    <x v="7"/>
    <n v="239.976"/>
    <n v="3"/>
    <n v="0.2"/>
    <n v="17.998200000000001"/>
  </r>
  <r>
    <s v="Standard Class"/>
    <x v="1"/>
    <s v="United States"/>
    <s v="Milwaukee"/>
    <x v="6"/>
    <n v="53209"/>
    <x v="2"/>
    <x v="0"/>
    <x v="5"/>
    <n v="99.95"/>
    <n v="5"/>
    <n v="0"/>
    <n v="22.988499999999998"/>
  </r>
  <r>
    <s v="Standard Class"/>
    <x v="1"/>
    <s v="United States"/>
    <s v="Milwaukee"/>
    <x v="6"/>
    <n v="53209"/>
    <x v="2"/>
    <x v="2"/>
    <x v="11"/>
    <n v="29.34"/>
    <n v="3"/>
    <n v="0"/>
    <n v="10.8558"/>
  </r>
  <r>
    <s v="Standard Class"/>
    <x v="1"/>
    <s v="United States"/>
    <s v="Green Bay"/>
    <x v="6"/>
    <n v="54302"/>
    <x v="2"/>
    <x v="0"/>
    <x v="5"/>
    <n v="16.739999999999998"/>
    <n v="2"/>
    <n v="0"/>
    <n v="4.3524000000000003"/>
  </r>
  <r>
    <s v="Same Day"/>
    <x v="1"/>
    <s v="United States"/>
    <s v="Philadelphia"/>
    <x v="9"/>
    <n v="19120"/>
    <x v="3"/>
    <x v="1"/>
    <x v="10"/>
    <n v="12.672000000000001"/>
    <n v="3"/>
    <n v="0.2"/>
    <n v="3.96"/>
  </r>
  <r>
    <s v="Same Day"/>
    <x v="1"/>
    <s v="United States"/>
    <s v="Philadelphia"/>
    <x v="9"/>
    <n v="19120"/>
    <x v="3"/>
    <x v="2"/>
    <x v="11"/>
    <n v="1119.8879999999999"/>
    <n v="14"/>
    <n v="0.2"/>
    <n v="209.97900000000001"/>
  </r>
  <r>
    <s v="Second Class"/>
    <x v="0"/>
    <s v="United States"/>
    <s v="Los Angeles"/>
    <x v="1"/>
    <n v="90008"/>
    <x v="1"/>
    <x v="1"/>
    <x v="6"/>
    <n v="204.85"/>
    <n v="5"/>
    <n v="0"/>
    <n v="53.261000000000003"/>
  </r>
  <r>
    <s v="Second Class"/>
    <x v="0"/>
    <s v="United States"/>
    <s v="Los Angeles"/>
    <x v="1"/>
    <n v="90008"/>
    <x v="1"/>
    <x v="2"/>
    <x v="7"/>
    <n v="135.98400000000001"/>
    <n v="2"/>
    <n v="0.2"/>
    <n v="16.998000000000001"/>
  </r>
  <r>
    <s v="Second Class"/>
    <x v="0"/>
    <s v="United States"/>
    <s v="Los Angeles"/>
    <x v="1"/>
    <n v="90008"/>
    <x v="1"/>
    <x v="1"/>
    <x v="6"/>
    <n v="16.399999999999999"/>
    <n v="5"/>
    <n v="0"/>
    <n v="7.0519999999999996"/>
  </r>
  <r>
    <s v="Second Class"/>
    <x v="0"/>
    <s v="United States"/>
    <s v="Los Angeles"/>
    <x v="1"/>
    <n v="90008"/>
    <x v="1"/>
    <x v="1"/>
    <x v="8"/>
    <n v="92.96"/>
    <n v="2"/>
    <n v="0.2"/>
    <n v="31.373999999999999"/>
  </r>
  <r>
    <s v="Second Class"/>
    <x v="0"/>
    <s v="United States"/>
    <s v="North Miami"/>
    <x v="2"/>
    <n v="33161"/>
    <x v="0"/>
    <x v="1"/>
    <x v="14"/>
    <n v="7.6319999999999997"/>
    <n v="3"/>
    <n v="0.2"/>
    <n v="-1.8126"/>
  </r>
  <r>
    <s v="First Class"/>
    <x v="0"/>
    <s v="United States"/>
    <s v="Portland"/>
    <x v="21"/>
    <n v="97206"/>
    <x v="1"/>
    <x v="1"/>
    <x v="8"/>
    <n v="4.1580000000000004"/>
    <n v="7"/>
    <n v="0.7"/>
    <n v="-3.4649999999999999"/>
  </r>
  <r>
    <s v="First Class"/>
    <x v="0"/>
    <s v="United States"/>
    <s v="Portland"/>
    <x v="21"/>
    <n v="97206"/>
    <x v="1"/>
    <x v="2"/>
    <x v="15"/>
    <n v="179.99100000000001"/>
    <n v="3"/>
    <n v="0.7"/>
    <n v="-251.98740000000001"/>
  </r>
  <r>
    <s v="Standard Class"/>
    <x v="0"/>
    <s v="United States"/>
    <s v="Aurora"/>
    <x v="10"/>
    <n v="60505"/>
    <x v="2"/>
    <x v="0"/>
    <x v="1"/>
    <n v="239.358"/>
    <n v="3"/>
    <n v="0.3"/>
    <n v="-47.871600000000001"/>
  </r>
  <r>
    <s v="First Class"/>
    <x v="2"/>
    <s v="United States"/>
    <s v="San Francisco"/>
    <x v="1"/>
    <n v="94109"/>
    <x v="1"/>
    <x v="1"/>
    <x v="10"/>
    <n v="164.88"/>
    <n v="3"/>
    <n v="0"/>
    <n v="80.791200000000003"/>
  </r>
  <r>
    <s v="Second Class"/>
    <x v="1"/>
    <s v="United States"/>
    <s v="San Francisco"/>
    <x v="1"/>
    <n v="94110"/>
    <x v="1"/>
    <x v="1"/>
    <x v="14"/>
    <n v="10.95"/>
    <n v="3"/>
    <n v="0"/>
    <n v="3.2850000000000001"/>
  </r>
  <r>
    <s v="Standard Class"/>
    <x v="1"/>
    <s v="United States"/>
    <s v="New Bedford"/>
    <x v="31"/>
    <n v="2740"/>
    <x v="3"/>
    <x v="1"/>
    <x v="10"/>
    <n v="19.440000000000001"/>
    <n v="3"/>
    <n v="0"/>
    <n v="9.3312000000000008"/>
  </r>
  <r>
    <s v="Standard Class"/>
    <x v="1"/>
    <s v="United States"/>
    <s v="New Bedford"/>
    <x v="31"/>
    <n v="2740"/>
    <x v="3"/>
    <x v="1"/>
    <x v="8"/>
    <n v="12.3"/>
    <n v="5"/>
    <n v="0"/>
    <n v="6.15"/>
  </r>
  <r>
    <s v="First Class"/>
    <x v="0"/>
    <s v="United States"/>
    <s v="San Diego"/>
    <x v="1"/>
    <n v="92037"/>
    <x v="1"/>
    <x v="1"/>
    <x v="9"/>
    <n v="13.97"/>
    <n v="1"/>
    <n v="0"/>
    <n v="3.6322000000000001"/>
  </r>
  <r>
    <s v="Standard Class"/>
    <x v="0"/>
    <s v="United States"/>
    <s v="Jackson"/>
    <x v="18"/>
    <n v="38301"/>
    <x v="0"/>
    <x v="0"/>
    <x v="3"/>
    <n v="934.95600000000002"/>
    <n v="6"/>
    <n v="0.4"/>
    <n v="-249.32159999999999"/>
  </r>
  <r>
    <s v="Standard Class"/>
    <x v="0"/>
    <s v="United States"/>
    <s v="Jackson"/>
    <x v="18"/>
    <n v="38301"/>
    <x v="0"/>
    <x v="2"/>
    <x v="11"/>
    <n v="46.863999999999997"/>
    <n v="2"/>
    <n v="0.2"/>
    <n v="7.6154000000000002"/>
  </r>
  <r>
    <s v="Standard Class"/>
    <x v="0"/>
    <s v="United States"/>
    <s v="Jackson"/>
    <x v="18"/>
    <n v="38301"/>
    <x v="0"/>
    <x v="1"/>
    <x v="4"/>
    <n v="26.16"/>
    <n v="3"/>
    <n v="0.2"/>
    <n v="1.962"/>
  </r>
  <r>
    <s v="Standard Class"/>
    <x v="0"/>
    <s v="United States"/>
    <s v="Jackson"/>
    <x v="18"/>
    <n v="38301"/>
    <x v="0"/>
    <x v="1"/>
    <x v="6"/>
    <n v="23.128"/>
    <n v="7"/>
    <n v="0.2"/>
    <n v="2.891"/>
  </r>
  <r>
    <s v="Standard Class"/>
    <x v="0"/>
    <s v="United States"/>
    <s v="Jackson"/>
    <x v="18"/>
    <n v="38301"/>
    <x v="0"/>
    <x v="1"/>
    <x v="9"/>
    <n v="59.24"/>
    <n v="5"/>
    <n v="0.2"/>
    <n v="16.291"/>
  </r>
  <r>
    <s v="Second Class"/>
    <x v="0"/>
    <s v="United States"/>
    <s v="Jacksonville"/>
    <x v="2"/>
    <n v="32216"/>
    <x v="0"/>
    <x v="0"/>
    <x v="0"/>
    <n v="155.45599999999999"/>
    <n v="4"/>
    <n v="0.2"/>
    <n v="-7.7728000000000002"/>
  </r>
  <r>
    <s v="Standard Class"/>
    <x v="1"/>
    <s v="United States"/>
    <s v="San Diego"/>
    <x v="1"/>
    <n v="92024"/>
    <x v="1"/>
    <x v="1"/>
    <x v="10"/>
    <n v="8.56"/>
    <n v="2"/>
    <n v="0"/>
    <n v="3.8519999999999999"/>
  </r>
  <r>
    <s v="First Class"/>
    <x v="0"/>
    <s v="United States"/>
    <s v="Hialeah"/>
    <x v="2"/>
    <n v="33012"/>
    <x v="0"/>
    <x v="0"/>
    <x v="5"/>
    <n v="21"/>
    <n v="3"/>
    <n v="0.2"/>
    <n v="5.7750000000000004"/>
  </r>
  <r>
    <s v="First Class"/>
    <x v="0"/>
    <s v="United States"/>
    <s v="Hialeah"/>
    <x v="2"/>
    <n v="33012"/>
    <x v="0"/>
    <x v="2"/>
    <x v="15"/>
    <n v="120"/>
    <n v="2"/>
    <n v="0.5"/>
    <n v="-7.2"/>
  </r>
  <r>
    <s v="Standard Class"/>
    <x v="0"/>
    <s v="United States"/>
    <s v="Houston"/>
    <x v="5"/>
    <n v="77070"/>
    <x v="2"/>
    <x v="2"/>
    <x v="7"/>
    <n v="299.95999999999998"/>
    <n v="5"/>
    <n v="0.2"/>
    <n v="37.494999999999997"/>
  </r>
  <r>
    <s v="Standard Class"/>
    <x v="0"/>
    <s v="United States"/>
    <s v="Houston"/>
    <x v="5"/>
    <n v="77070"/>
    <x v="2"/>
    <x v="1"/>
    <x v="9"/>
    <n v="67.84"/>
    <n v="5"/>
    <n v="0.8"/>
    <n v="-179.77600000000001"/>
  </r>
  <r>
    <s v="Standard Class"/>
    <x v="0"/>
    <s v="United States"/>
    <s v="Houston"/>
    <x v="5"/>
    <n v="77070"/>
    <x v="2"/>
    <x v="0"/>
    <x v="1"/>
    <n v="853.93"/>
    <n v="5"/>
    <n v="0.3"/>
    <n v="-24.398"/>
  </r>
  <r>
    <s v="Standard Class"/>
    <x v="0"/>
    <s v="United States"/>
    <s v="Houston"/>
    <x v="5"/>
    <n v="77070"/>
    <x v="2"/>
    <x v="1"/>
    <x v="6"/>
    <n v="18.687999999999999"/>
    <n v="4"/>
    <n v="0.2"/>
    <n v="3.7376"/>
  </r>
  <r>
    <s v="First Class"/>
    <x v="0"/>
    <s v="United States"/>
    <s v="Virginia Beach"/>
    <x v="17"/>
    <n v="23464"/>
    <x v="0"/>
    <x v="0"/>
    <x v="5"/>
    <n v="273.95999999999998"/>
    <n v="2"/>
    <n v="0"/>
    <n v="71.229600000000005"/>
  </r>
  <r>
    <s v="First Class"/>
    <x v="0"/>
    <s v="United States"/>
    <s v="Virginia Beach"/>
    <x v="17"/>
    <n v="23464"/>
    <x v="0"/>
    <x v="2"/>
    <x v="11"/>
    <n v="89.97"/>
    <n v="3"/>
    <n v="0"/>
    <n v="18.893699999999999"/>
  </r>
  <r>
    <s v="First Class"/>
    <x v="0"/>
    <s v="United States"/>
    <s v="Virginia Beach"/>
    <x v="17"/>
    <n v="23464"/>
    <x v="0"/>
    <x v="0"/>
    <x v="5"/>
    <n v="756.8"/>
    <n v="5"/>
    <n v="0"/>
    <n v="75.680000000000007"/>
  </r>
  <r>
    <s v="Standard Class"/>
    <x v="0"/>
    <s v="United States"/>
    <s v="Houston"/>
    <x v="5"/>
    <n v="77070"/>
    <x v="2"/>
    <x v="1"/>
    <x v="8"/>
    <n v="1.248"/>
    <n v="2"/>
    <n v="0.8"/>
    <n v="-1.9343999999999999"/>
  </r>
  <r>
    <s v="Standard Class"/>
    <x v="2"/>
    <s v="United States"/>
    <s v="Philadelphia"/>
    <x v="9"/>
    <n v="19120"/>
    <x v="3"/>
    <x v="2"/>
    <x v="11"/>
    <n v="72"/>
    <n v="1"/>
    <n v="0.2"/>
    <n v="14.4"/>
  </r>
  <r>
    <s v="Standard Class"/>
    <x v="2"/>
    <s v="United States"/>
    <s v="Philadelphia"/>
    <x v="9"/>
    <n v="19120"/>
    <x v="3"/>
    <x v="0"/>
    <x v="1"/>
    <n v="470.15499999999997"/>
    <n v="7"/>
    <n v="0.3"/>
    <n v="-13.433"/>
  </r>
  <r>
    <s v="First Class"/>
    <x v="0"/>
    <s v="United States"/>
    <s v="Memphis"/>
    <x v="18"/>
    <n v="38109"/>
    <x v="0"/>
    <x v="1"/>
    <x v="4"/>
    <n v="39.128"/>
    <n v="1"/>
    <n v="0.2"/>
    <n v="-8.8038000000000007"/>
  </r>
  <r>
    <s v="Standard Class"/>
    <x v="1"/>
    <s v="United States"/>
    <s v="Lakewood"/>
    <x v="24"/>
    <n v="44107"/>
    <x v="3"/>
    <x v="1"/>
    <x v="6"/>
    <n v="19.728000000000002"/>
    <n v="9"/>
    <n v="0.2"/>
    <n v="1.7262"/>
  </r>
  <r>
    <s v="Standard Class"/>
    <x v="1"/>
    <s v="United States"/>
    <s v="Lakewood"/>
    <x v="24"/>
    <n v="44107"/>
    <x v="3"/>
    <x v="2"/>
    <x v="7"/>
    <n v="151.18799999999999"/>
    <n v="2"/>
    <n v="0.4"/>
    <n v="-25.198"/>
  </r>
  <r>
    <s v="Standard Class"/>
    <x v="0"/>
    <s v="United States"/>
    <s v="New York City"/>
    <x v="15"/>
    <n v="10011"/>
    <x v="3"/>
    <x v="0"/>
    <x v="1"/>
    <n v="271.76400000000001"/>
    <n v="2"/>
    <n v="0.1"/>
    <n v="60.392000000000003"/>
  </r>
  <r>
    <s v="First Class"/>
    <x v="0"/>
    <s v="United States"/>
    <s v="Philadelphia"/>
    <x v="9"/>
    <n v="19120"/>
    <x v="3"/>
    <x v="2"/>
    <x v="11"/>
    <n v="47.496000000000002"/>
    <n v="1"/>
    <n v="0.2"/>
    <n v="-1.1874"/>
  </r>
  <r>
    <s v="Second Class"/>
    <x v="0"/>
    <s v="United States"/>
    <s v="Los Angeles"/>
    <x v="1"/>
    <n v="90008"/>
    <x v="1"/>
    <x v="0"/>
    <x v="0"/>
    <n v="344.98099999999999"/>
    <n v="7"/>
    <n v="0.15"/>
    <n v="28.4102"/>
  </r>
  <r>
    <s v="First Class"/>
    <x v="1"/>
    <s v="United States"/>
    <s v="Dallas"/>
    <x v="5"/>
    <n v="75220"/>
    <x v="2"/>
    <x v="1"/>
    <x v="10"/>
    <n v="36.287999999999997"/>
    <n v="7"/>
    <n v="0.2"/>
    <n v="12.700799999999999"/>
  </r>
  <r>
    <s v="First Class"/>
    <x v="1"/>
    <s v="United States"/>
    <s v="Dallas"/>
    <x v="5"/>
    <n v="75220"/>
    <x v="2"/>
    <x v="1"/>
    <x v="10"/>
    <n v="78.304000000000002"/>
    <n v="2"/>
    <n v="0.2"/>
    <n v="29.364000000000001"/>
  </r>
  <r>
    <s v="First Class"/>
    <x v="1"/>
    <s v="United States"/>
    <s v="Dallas"/>
    <x v="5"/>
    <n v="75220"/>
    <x v="2"/>
    <x v="0"/>
    <x v="3"/>
    <n v="127.785"/>
    <n v="1"/>
    <n v="0.3"/>
    <n v="-31.0335"/>
  </r>
  <r>
    <s v="First Class"/>
    <x v="1"/>
    <s v="United States"/>
    <s v="Dallas"/>
    <x v="5"/>
    <n v="75220"/>
    <x v="2"/>
    <x v="1"/>
    <x v="8"/>
    <n v="6.1040000000000001"/>
    <n v="2"/>
    <n v="0.8"/>
    <n v="-9.1560000000000006"/>
  </r>
  <r>
    <s v="Second Class"/>
    <x v="1"/>
    <s v="United States"/>
    <s v="Orange"/>
    <x v="30"/>
    <n v="7050"/>
    <x v="3"/>
    <x v="1"/>
    <x v="8"/>
    <n v="5.76"/>
    <n v="2"/>
    <n v="0"/>
    <n v="2.8224"/>
  </r>
  <r>
    <s v="Second Class"/>
    <x v="0"/>
    <s v="United States"/>
    <s v="Dallas"/>
    <x v="5"/>
    <n v="75220"/>
    <x v="2"/>
    <x v="1"/>
    <x v="8"/>
    <n v="1.72"/>
    <n v="1"/>
    <n v="0.8"/>
    <n v="-2.8380000000000001"/>
  </r>
  <r>
    <s v="Second Class"/>
    <x v="0"/>
    <s v="United States"/>
    <s v="Romeoville"/>
    <x v="10"/>
    <n v="60441"/>
    <x v="2"/>
    <x v="1"/>
    <x v="8"/>
    <n v="8.952"/>
    <n v="2"/>
    <n v="0.8"/>
    <n v="-14.770799999999999"/>
  </r>
  <r>
    <s v="Standard Class"/>
    <x v="0"/>
    <s v="United States"/>
    <s v="Chicago"/>
    <x v="10"/>
    <n v="60623"/>
    <x v="2"/>
    <x v="1"/>
    <x v="9"/>
    <n v="2.3340000000000001"/>
    <n v="3"/>
    <n v="0.8"/>
    <n v="-6.3018000000000001"/>
  </r>
  <r>
    <s v="Standard Class"/>
    <x v="0"/>
    <s v="United States"/>
    <s v="Chicago"/>
    <x v="10"/>
    <n v="60623"/>
    <x v="2"/>
    <x v="1"/>
    <x v="8"/>
    <n v="1.728"/>
    <n v="4"/>
    <n v="0.8"/>
    <n v="-2.7648000000000001"/>
  </r>
  <r>
    <s v="Standard Class"/>
    <x v="0"/>
    <s v="United States"/>
    <s v="Chicago"/>
    <x v="10"/>
    <n v="60623"/>
    <x v="2"/>
    <x v="0"/>
    <x v="5"/>
    <n v="159.04"/>
    <n v="5"/>
    <n v="0.6"/>
    <n v="-194.82400000000001"/>
  </r>
  <r>
    <s v="Standard Class"/>
    <x v="0"/>
    <s v="United States"/>
    <s v="Chicago"/>
    <x v="10"/>
    <n v="60623"/>
    <x v="2"/>
    <x v="0"/>
    <x v="3"/>
    <n v="145.97999999999999"/>
    <n v="2"/>
    <n v="0.5"/>
    <n v="-99.266400000000004"/>
  </r>
  <r>
    <s v="Standard Class"/>
    <x v="0"/>
    <s v="United States"/>
    <s v="Jacksonville"/>
    <x v="3"/>
    <n v="28540"/>
    <x v="0"/>
    <x v="0"/>
    <x v="5"/>
    <n v="77.951999999999998"/>
    <n v="3"/>
    <n v="0.2"/>
    <n v="12.667199999999999"/>
  </r>
  <r>
    <s v="Standard Class"/>
    <x v="0"/>
    <s v="United States"/>
    <s v="Jacksonville"/>
    <x v="3"/>
    <n v="28540"/>
    <x v="0"/>
    <x v="1"/>
    <x v="8"/>
    <n v="95.97"/>
    <n v="5"/>
    <n v="0.7"/>
    <n v="-73.576999999999998"/>
  </r>
  <r>
    <s v="Standard Class"/>
    <x v="0"/>
    <s v="United States"/>
    <s v="Jacksonville"/>
    <x v="3"/>
    <n v="28540"/>
    <x v="0"/>
    <x v="2"/>
    <x v="7"/>
    <n v="105.584"/>
    <n v="2"/>
    <n v="0.2"/>
    <n v="9.2385999999999999"/>
  </r>
  <r>
    <s v="Standard Class"/>
    <x v="0"/>
    <s v="United States"/>
    <s v="Jacksonville"/>
    <x v="3"/>
    <n v="28540"/>
    <x v="0"/>
    <x v="1"/>
    <x v="6"/>
    <n v="9.3439999999999994"/>
    <n v="2"/>
    <n v="0.2"/>
    <n v="1.1679999999999999"/>
  </r>
  <r>
    <s v="Standard Class"/>
    <x v="1"/>
    <s v="United States"/>
    <s v="Springfield"/>
    <x v="25"/>
    <n v="65807"/>
    <x v="2"/>
    <x v="0"/>
    <x v="5"/>
    <n v="9.68"/>
    <n v="2"/>
    <n v="0"/>
    <n v="3.7751999999999999"/>
  </r>
  <r>
    <s v="Standard Class"/>
    <x v="1"/>
    <s v="United States"/>
    <s v="Springfield"/>
    <x v="25"/>
    <n v="65807"/>
    <x v="2"/>
    <x v="2"/>
    <x v="16"/>
    <n v="4899.93"/>
    <n v="7"/>
    <n v="0"/>
    <n v="2302.9670999999998"/>
  </r>
  <r>
    <s v="Standard Class"/>
    <x v="2"/>
    <s v="United States"/>
    <s v="San Francisco"/>
    <x v="1"/>
    <n v="94110"/>
    <x v="1"/>
    <x v="2"/>
    <x v="11"/>
    <n v="104.75"/>
    <n v="5"/>
    <n v="0"/>
    <n v="21.997499999999999"/>
  </r>
  <r>
    <s v="Standard Class"/>
    <x v="1"/>
    <s v="United States"/>
    <s v="Columbia"/>
    <x v="18"/>
    <n v="38401"/>
    <x v="0"/>
    <x v="2"/>
    <x v="11"/>
    <n v="18.527999999999999"/>
    <n v="2"/>
    <n v="0.2"/>
    <n v="4.4004000000000003"/>
  </r>
  <r>
    <s v="Standard Class"/>
    <x v="1"/>
    <s v="United States"/>
    <s v="Columbia"/>
    <x v="18"/>
    <n v="38401"/>
    <x v="0"/>
    <x v="0"/>
    <x v="3"/>
    <n v="1875.258"/>
    <n v="7"/>
    <n v="0.4"/>
    <n v="-968.88329999999996"/>
  </r>
  <r>
    <s v="First Class"/>
    <x v="0"/>
    <s v="United States"/>
    <s v="Hollywood"/>
    <x v="2"/>
    <n v="33021"/>
    <x v="0"/>
    <x v="1"/>
    <x v="10"/>
    <n v="91.36"/>
    <n v="5"/>
    <n v="0.2"/>
    <n v="29.692"/>
  </r>
  <r>
    <s v="First Class"/>
    <x v="0"/>
    <s v="United States"/>
    <s v="Hollywood"/>
    <x v="2"/>
    <n v="33021"/>
    <x v="0"/>
    <x v="1"/>
    <x v="9"/>
    <n v="152.24"/>
    <n v="5"/>
    <n v="0.2"/>
    <n v="17.126999999999999"/>
  </r>
  <r>
    <s v="First Class"/>
    <x v="0"/>
    <s v="United States"/>
    <s v="Dallas"/>
    <x v="5"/>
    <n v="75081"/>
    <x v="2"/>
    <x v="2"/>
    <x v="7"/>
    <n v="35.183999999999997"/>
    <n v="2"/>
    <n v="0.2"/>
    <n v="12.314399999999999"/>
  </r>
  <r>
    <s v="Same Day"/>
    <x v="0"/>
    <s v="United States"/>
    <s v="Houston"/>
    <x v="5"/>
    <n v="77041"/>
    <x v="2"/>
    <x v="1"/>
    <x v="10"/>
    <n v="56.704000000000001"/>
    <n v="2"/>
    <n v="0.2"/>
    <n v="19.137599999999999"/>
  </r>
  <r>
    <s v="Same Day"/>
    <x v="0"/>
    <s v="United States"/>
    <s v="Houston"/>
    <x v="5"/>
    <n v="77041"/>
    <x v="2"/>
    <x v="1"/>
    <x v="10"/>
    <n v="274.06400000000002"/>
    <n v="7"/>
    <n v="0.2"/>
    <n v="102.774"/>
  </r>
  <r>
    <s v="Standard Class"/>
    <x v="2"/>
    <s v="United States"/>
    <s v="Philadelphia"/>
    <x v="9"/>
    <n v="19140"/>
    <x v="3"/>
    <x v="0"/>
    <x v="1"/>
    <n v="458.43"/>
    <n v="5"/>
    <n v="0.3"/>
    <n v="-124.431"/>
  </r>
  <r>
    <s v="Same Day"/>
    <x v="0"/>
    <s v="United States"/>
    <s v="Phoenix"/>
    <x v="16"/>
    <n v="85023"/>
    <x v="1"/>
    <x v="1"/>
    <x v="8"/>
    <n v="8.2260000000000009"/>
    <n v="3"/>
    <n v="0.7"/>
    <n v="-6.0324"/>
  </r>
  <r>
    <s v="Standard Class"/>
    <x v="1"/>
    <s v="United States"/>
    <s v="Sandy Springs"/>
    <x v="32"/>
    <n v="30328"/>
    <x v="0"/>
    <x v="2"/>
    <x v="11"/>
    <n v="5.95"/>
    <n v="1"/>
    <n v="0"/>
    <n v="0.83299999999999996"/>
  </r>
  <r>
    <s v="Standard Class"/>
    <x v="1"/>
    <s v="United States"/>
    <s v="Sandy Springs"/>
    <x v="32"/>
    <n v="30328"/>
    <x v="0"/>
    <x v="1"/>
    <x v="10"/>
    <n v="15.24"/>
    <n v="3"/>
    <n v="0"/>
    <n v="7.1627999999999998"/>
  </r>
  <r>
    <s v="Same Day"/>
    <x v="0"/>
    <s v="United States"/>
    <s v="Spokane"/>
    <x v="4"/>
    <n v="99207"/>
    <x v="1"/>
    <x v="2"/>
    <x v="11"/>
    <n v="239.94"/>
    <n v="6"/>
    <n v="0"/>
    <n v="26.3934"/>
  </r>
  <r>
    <s v="Same Day"/>
    <x v="0"/>
    <s v="United States"/>
    <s v="Spokane"/>
    <x v="4"/>
    <n v="99207"/>
    <x v="1"/>
    <x v="1"/>
    <x v="6"/>
    <n v="23.84"/>
    <n v="8"/>
    <n v="0"/>
    <n v="6.4367999999999999"/>
  </r>
  <r>
    <s v="Same Day"/>
    <x v="1"/>
    <s v="United States"/>
    <s v="Milwaukee"/>
    <x v="6"/>
    <n v="53209"/>
    <x v="2"/>
    <x v="1"/>
    <x v="4"/>
    <n v="92.52"/>
    <n v="6"/>
    <n v="0"/>
    <n v="24.980399999999999"/>
  </r>
  <r>
    <s v="Same Day"/>
    <x v="1"/>
    <s v="United States"/>
    <s v="Milwaukee"/>
    <x v="6"/>
    <n v="53209"/>
    <x v="2"/>
    <x v="1"/>
    <x v="4"/>
    <n v="37.76"/>
    <n v="1"/>
    <n v="0"/>
    <n v="10.572800000000001"/>
  </r>
  <r>
    <s v="Same Day"/>
    <x v="1"/>
    <s v="United States"/>
    <s v="Milwaukee"/>
    <x v="6"/>
    <n v="53209"/>
    <x v="2"/>
    <x v="1"/>
    <x v="2"/>
    <n v="7.38"/>
    <n v="2"/>
    <n v="0"/>
    <n v="3.4685999999999999"/>
  </r>
  <r>
    <s v="Same Day"/>
    <x v="1"/>
    <s v="United States"/>
    <s v="Milwaukee"/>
    <x v="6"/>
    <n v="53209"/>
    <x v="2"/>
    <x v="0"/>
    <x v="5"/>
    <n v="5.82"/>
    <n v="2"/>
    <n v="0"/>
    <n v="2.7353999999999998"/>
  </r>
  <r>
    <s v="Standard Class"/>
    <x v="0"/>
    <s v="United States"/>
    <s v="Fairfield"/>
    <x v="24"/>
    <n v="45014"/>
    <x v="3"/>
    <x v="1"/>
    <x v="10"/>
    <n v="3.8159999999999998"/>
    <n v="1"/>
    <n v="0.2"/>
    <n v="1.1924999999999999"/>
  </r>
  <r>
    <s v="Standard Class"/>
    <x v="1"/>
    <s v="United States"/>
    <s v="Huntsville"/>
    <x v="19"/>
    <n v="35810"/>
    <x v="0"/>
    <x v="1"/>
    <x v="8"/>
    <n v="26.16"/>
    <n v="4"/>
    <n v="0"/>
    <n v="12.8184"/>
  </r>
  <r>
    <s v="First Class"/>
    <x v="2"/>
    <s v="United States"/>
    <s v="Houston"/>
    <x v="5"/>
    <n v="77036"/>
    <x v="2"/>
    <x v="2"/>
    <x v="11"/>
    <n v="100.8"/>
    <n v="2"/>
    <n v="0.2"/>
    <n v="21.42"/>
  </r>
  <r>
    <s v="First Class"/>
    <x v="1"/>
    <s v="United States"/>
    <s v="New York City"/>
    <x v="15"/>
    <n v="10011"/>
    <x v="3"/>
    <x v="0"/>
    <x v="5"/>
    <n v="135.80000000000001"/>
    <n v="7"/>
    <n v="0"/>
    <n v="66.542000000000002"/>
  </r>
  <r>
    <s v="Standard Class"/>
    <x v="1"/>
    <s v="United States"/>
    <s v="Los Angeles"/>
    <x v="1"/>
    <n v="90008"/>
    <x v="1"/>
    <x v="1"/>
    <x v="6"/>
    <n v="13.9"/>
    <n v="5"/>
    <n v="0"/>
    <n v="3.7530000000000001"/>
  </r>
  <r>
    <s v="Standard Class"/>
    <x v="1"/>
    <s v="United States"/>
    <s v="Los Angeles"/>
    <x v="1"/>
    <n v="90008"/>
    <x v="1"/>
    <x v="1"/>
    <x v="12"/>
    <n v="19.399999999999999"/>
    <n v="5"/>
    <n v="0"/>
    <n v="9.3119999999999994"/>
  </r>
  <r>
    <s v="Standard Class"/>
    <x v="1"/>
    <s v="United States"/>
    <s v="Carlsbad"/>
    <x v="27"/>
    <n v="88220"/>
    <x v="1"/>
    <x v="1"/>
    <x v="8"/>
    <n v="13.488"/>
    <n v="2"/>
    <n v="0.2"/>
    <n v="4.3836000000000004"/>
  </r>
  <r>
    <s v="Standard Class"/>
    <x v="1"/>
    <s v="United States"/>
    <s v="Carlsbad"/>
    <x v="27"/>
    <n v="88220"/>
    <x v="1"/>
    <x v="1"/>
    <x v="8"/>
    <n v="11.416"/>
    <n v="1"/>
    <n v="0.2"/>
    <n v="3.8529"/>
  </r>
  <r>
    <s v="Second Class"/>
    <x v="0"/>
    <s v="United States"/>
    <s v="Pocatello"/>
    <x v="45"/>
    <n v="83201"/>
    <x v="1"/>
    <x v="1"/>
    <x v="10"/>
    <n v="17.64"/>
    <n v="3"/>
    <n v="0"/>
    <n v="8.6435999999999993"/>
  </r>
  <r>
    <s v="Second Class"/>
    <x v="0"/>
    <s v="United States"/>
    <s v="Pocatello"/>
    <x v="45"/>
    <n v="83201"/>
    <x v="1"/>
    <x v="1"/>
    <x v="8"/>
    <n v="17.04"/>
    <n v="3"/>
    <n v="0.2"/>
    <n v="5.5380000000000003"/>
  </r>
  <r>
    <s v="Second Class"/>
    <x v="0"/>
    <s v="United States"/>
    <s v="Springfield"/>
    <x v="17"/>
    <n v="22153"/>
    <x v="0"/>
    <x v="2"/>
    <x v="11"/>
    <n v="99.98"/>
    <n v="2"/>
    <n v="0"/>
    <n v="7.9984000000000002"/>
  </r>
  <r>
    <s v="Second Class"/>
    <x v="0"/>
    <s v="United States"/>
    <s v="Springfield"/>
    <x v="17"/>
    <n v="22153"/>
    <x v="0"/>
    <x v="0"/>
    <x v="5"/>
    <n v="29.46"/>
    <n v="6"/>
    <n v="0"/>
    <n v="9.7218"/>
  </r>
  <r>
    <s v="Standard Class"/>
    <x v="1"/>
    <s v="United States"/>
    <s v="Toledo"/>
    <x v="24"/>
    <n v="43615"/>
    <x v="3"/>
    <x v="1"/>
    <x v="8"/>
    <n v="166.92"/>
    <n v="13"/>
    <n v="0.7"/>
    <n v="-116.84399999999999"/>
  </r>
  <r>
    <s v="First Class"/>
    <x v="2"/>
    <s v="United States"/>
    <s v="Fort Collins"/>
    <x v="22"/>
    <n v="80525"/>
    <x v="1"/>
    <x v="0"/>
    <x v="5"/>
    <n v="98.328000000000003"/>
    <n v="3"/>
    <n v="0.2"/>
    <n v="9.8328000000000007"/>
  </r>
  <r>
    <s v="First Class"/>
    <x v="0"/>
    <s v="United States"/>
    <s v="New York City"/>
    <x v="15"/>
    <n v="10024"/>
    <x v="3"/>
    <x v="0"/>
    <x v="1"/>
    <n v="117.88200000000001"/>
    <n v="1"/>
    <n v="0.1"/>
    <n v="1.3098000000000001"/>
  </r>
  <r>
    <s v="Standard Class"/>
    <x v="1"/>
    <s v="United States"/>
    <s v="New York City"/>
    <x v="15"/>
    <n v="10035"/>
    <x v="3"/>
    <x v="2"/>
    <x v="11"/>
    <n v="20.97"/>
    <n v="3"/>
    <n v="0"/>
    <n v="9.0170999999999992"/>
  </r>
  <r>
    <s v="Standard Class"/>
    <x v="1"/>
    <s v="United States"/>
    <s v="New York City"/>
    <x v="15"/>
    <n v="10035"/>
    <x v="3"/>
    <x v="2"/>
    <x v="11"/>
    <n v="139.96"/>
    <n v="4"/>
    <n v="0"/>
    <n v="9.7972000000000001"/>
  </r>
  <r>
    <s v="Standard Class"/>
    <x v="1"/>
    <s v="United States"/>
    <s v="New York City"/>
    <x v="15"/>
    <n v="10035"/>
    <x v="3"/>
    <x v="0"/>
    <x v="5"/>
    <n v="37.74"/>
    <n v="3"/>
    <n v="0"/>
    <n v="12.8316"/>
  </r>
  <r>
    <s v="Standard Class"/>
    <x v="0"/>
    <s v="United States"/>
    <s v="Marlborough"/>
    <x v="31"/>
    <n v="1752"/>
    <x v="3"/>
    <x v="0"/>
    <x v="5"/>
    <n v="14.82"/>
    <n v="3"/>
    <n v="0"/>
    <n v="6.2244000000000002"/>
  </r>
  <r>
    <s v="Standard Class"/>
    <x v="0"/>
    <s v="United States"/>
    <s v="Marlborough"/>
    <x v="31"/>
    <n v="1752"/>
    <x v="3"/>
    <x v="0"/>
    <x v="5"/>
    <n v="191.82"/>
    <n v="3"/>
    <n v="0"/>
    <n v="61.382399999999997"/>
  </r>
  <r>
    <s v="Standard Class"/>
    <x v="0"/>
    <s v="United States"/>
    <s v="New Rochelle"/>
    <x v="15"/>
    <n v="10801"/>
    <x v="3"/>
    <x v="1"/>
    <x v="8"/>
    <n v="13.904"/>
    <n v="2"/>
    <n v="0.2"/>
    <n v="4.5187999999999997"/>
  </r>
  <r>
    <s v="Same Day"/>
    <x v="1"/>
    <s v="United States"/>
    <s v="Seattle"/>
    <x v="4"/>
    <n v="98103"/>
    <x v="1"/>
    <x v="1"/>
    <x v="9"/>
    <n v="314.60000000000002"/>
    <n v="4"/>
    <n v="0"/>
    <n v="103.818"/>
  </r>
  <r>
    <s v="Same Day"/>
    <x v="1"/>
    <s v="United States"/>
    <s v="Seattle"/>
    <x v="4"/>
    <n v="98103"/>
    <x v="1"/>
    <x v="0"/>
    <x v="3"/>
    <n v="283.56"/>
    <n v="4"/>
    <n v="0"/>
    <n v="45.369599999999998"/>
  </r>
  <r>
    <s v="Standard Class"/>
    <x v="2"/>
    <s v="United States"/>
    <s v="Detroit"/>
    <x v="12"/>
    <n v="48227"/>
    <x v="2"/>
    <x v="0"/>
    <x v="1"/>
    <n v="487.96"/>
    <n v="2"/>
    <n v="0"/>
    <n v="146.38800000000001"/>
  </r>
  <r>
    <s v="Standard Class"/>
    <x v="0"/>
    <s v="United States"/>
    <s v="Fayetteville"/>
    <x v="36"/>
    <n v="72701"/>
    <x v="0"/>
    <x v="1"/>
    <x v="8"/>
    <n v="1793.98"/>
    <n v="2"/>
    <n v="0"/>
    <n v="843.17060000000004"/>
  </r>
  <r>
    <s v="Standard Class"/>
    <x v="0"/>
    <s v="United States"/>
    <s v="Quincy"/>
    <x v="10"/>
    <n v="62301"/>
    <x v="2"/>
    <x v="1"/>
    <x v="8"/>
    <n v="2.992"/>
    <n v="4"/>
    <n v="0.8"/>
    <n v="-4.4880000000000004"/>
  </r>
  <r>
    <s v="Standard Class"/>
    <x v="0"/>
    <s v="United States"/>
    <s v="Quincy"/>
    <x v="10"/>
    <n v="62301"/>
    <x v="2"/>
    <x v="2"/>
    <x v="11"/>
    <n v="108.768"/>
    <n v="4"/>
    <n v="0.2"/>
    <n v="2.7191999999999998"/>
  </r>
  <r>
    <s v="First Class"/>
    <x v="0"/>
    <s v="United States"/>
    <s v="New York City"/>
    <x v="15"/>
    <n v="10035"/>
    <x v="3"/>
    <x v="1"/>
    <x v="10"/>
    <n v="25.92"/>
    <n v="4"/>
    <n v="0"/>
    <n v="12.441599999999999"/>
  </r>
  <r>
    <s v="First Class"/>
    <x v="0"/>
    <s v="United States"/>
    <s v="New York City"/>
    <x v="15"/>
    <n v="10035"/>
    <x v="3"/>
    <x v="1"/>
    <x v="4"/>
    <n v="22.58"/>
    <n v="2"/>
    <n v="0"/>
    <n v="5.8708"/>
  </r>
  <r>
    <s v="Same Day"/>
    <x v="0"/>
    <s v="United States"/>
    <s v="Houston"/>
    <x v="5"/>
    <n v="77095"/>
    <x v="2"/>
    <x v="2"/>
    <x v="7"/>
    <n v="55.176000000000002"/>
    <n v="3"/>
    <n v="0.2"/>
    <n v="-12.4146"/>
  </r>
  <r>
    <s v="Standard Class"/>
    <x v="0"/>
    <s v="United States"/>
    <s v="Detroit"/>
    <x v="12"/>
    <n v="48205"/>
    <x v="2"/>
    <x v="1"/>
    <x v="8"/>
    <n v="9892.74"/>
    <n v="13"/>
    <n v="0"/>
    <n v="4946.37"/>
  </r>
  <r>
    <s v="Standard Class"/>
    <x v="1"/>
    <s v="United States"/>
    <s v="Chandler"/>
    <x v="16"/>
    <n v="85224"/>
    <x v="1"/>
    <x v="0"/>
    <x v="3"/>
    <n v="73.915000000000006"/>
    <n v="1"/>
    <n v="0.5"/>
    <n v="-45.827300000000001"/>
  </r>
  <r>
    <s v="Standard Class"/>
    <x v="0"/>
    <s v="United States"/>
    <s v="Hollywood"/>
    <x v="2"/>
    <n v="33021"/>
    <x v="0"/>
    <x v="0"/>
    <x v="5"/>
    <n v="337.08800000000002"/>
    <n v="4"/>
    <n v="0.2"/>
    <n v="16.854399999999998"/>
  </r>
  <r>
    <s v="Second Class"/>
    <x v="1"/>
    <s v="United States"/>
    <s v="Los Angeles"/>
    <x v="1"/>
    <n v="90049"/>
    <x v="1"/>
    <x v="1"/>
    <x v="9"/>
    <n v="61.44"/>
    <n v="3"/>
    <n v="0"/>
    <n v="16.588799999999999"/>
  </r>
  <r>
    <s v="Standard Class"/>
    <x v="1"/>
    <s v="United States"/>
    <s v="San Francisco"/>
    <x v="1"/>
    <n v="94122"/>
    <x v="1"/>
    <x v="2"/>
    <x v="11"/>
    <n v="479.97"/>
    <n v="3"/>
    <n v="0"/>
    <n v="163.18979999999999"/>
  </r>
  <r>
    <s v="Second Class"/>
    <x v="1"/>
    <s v="United States"/>
    <s v="Sunnyvale"/>
    <x v="1"/>
    <n v="94086"/>
    <x v="1"/>
    <x v="1"/>
    <x v="8"/>
    <n v="5.984"/>
    <n v="2"/>
    <n v="0.2"/>
    <n v="2.2440000000000002"/>
  </r>
  <r>
    <s v="Second Class"/>
    <x v="1"/>
    <s v="United States"/>
    <s v="Sunnyvale"/>
    <x v="1"/>
    <n v="94086"/>
    <x v="1"/>
    <x v="2"/>
    <x v="11"/>
    <n v="189.95"/>
    <n v="5"/>
    <n v="0"/>
    <n v="45.588000000000001"/>
  </r>
  <r>
    <s v="Second Class"/>
    <x v="1"/>
    <s v="United States"/>
    <s v="Sunnyvale"/>
    <x v="1"/>
    <n v="94086"/>
    <x v="1"/>
    <x v="2"/>
    <x v="11"/>
    <n v="149.94999999999999"/>
    <n v="5"/>
    <n v="0"/>
    <n v="31.4895"/>
  </r>
  <r>
    <s v="Second Class"/>
    <x v="1"/>
    <s v="United States"/>
    <s v="Sunnyvale"/>
    <x v="1"/>
    <n v="94086"/>
    <x v="1"/>
    <x v="1"/>
    <x v="6"/>
    <n v="29.95"/>
    <n v="5"/>
    <n v="0"/>
    <n v="8.6854999999999993"/>
  </r>
  <r>
    <s v="Second Class"/>
    <x v="1"/>
    <s v="United States"/>
    <s v="Sunnyvale"/>
    <x v="1"/>
    <n v="94086"/>
    <x v="1"/>
    <x v="1"/>
    <x v="2"/>
    <n v="44.4"/>
    <n v="3"/>
    <n v="0"/>
    <n v="22.2"/>
  </r>
  <r>
    <s v="Standard Class"/>
    <x v="2"/>
    <s v="United States"/>
    <s v="New York City"/>
    <x v="15"/>
    <n v="10011"/>
    <x v="3"/>
    <x v="1"/>
    <x v="6"/>
    <n v="66.03"/>
    <n v="3"/>
    <n v="0"/>
    <n v="17.1678"/>
  </r>
  <r>
    <s v="Standard Class"/>
    <x v="1"/>
    <s v="United States"/>
    <s v="Los Angeles"/>
    <x v="1"/>
    <n v="90004"/>
    <x v="1"/>
    <x v="1"/>
    <x v="10"/>
    <n v="10.86"/>
    <n v="2"/>
    <n v="0"/>
    <n v="5.3213999999999997"/>
  </r>
  <r>
    <s v="Second Class"/>
    <x v="1"/>
    <s v="United States"/>
    <s v="San Francisco"/>
    <x v="1"/>
    <n v="94122"/>
    <x v="1"/>
    <x v="1"/>
    <x v="6"/>
    <n v="3.36"/>
    <n v="2"/>
    <n v="0"/>
    <n v="0.84"/>
  </r>
  <r>
    <s v="Second Class"/>
    <x v="1"/>
    <s v="United States"/>
    <s v="San Francisco"/>
    <x v="1"/>
    <n v="94122"/>
    <x v="1"/>
    <x v="1"/>
    <x v="8"/>
    <n v="27.936"/>
    <n v="4"/>
    <n v="0.2"/>
    <n v="9.4283999999999999"/>
  </r>
  <r>
    <s v="Second Class"/>
    <x v="1"/>
    <s v="United States"/>
    <s v="San Francisco"/>
    <x v="1"/>
    <n v="94122"/>
    <x v="1"/>
    <x v="2"/>
    <x v="7"/>
    <n v="28.783999999999999"/>
    <n v="2"/>
    <n v="0.2"/>
    <n v="2.8784000000000001"/>
  </r>
  <r>
    <s v="Standard Class"/>
    <x v="0"/>
    <s v="United States"/>
    <s v="Santa Ana"/>
    <x v="1"/>
    <n v="92704"/>
    <x v="1"/>
    <x v="1"/>
    <x v="14"/>
    <n v="21.96"/>
    <n v="2"/>
    <n v="0"/>
    <n v="6.1487999999999996"/>
  </r>
  <r>
    <s v="Second Class"/>
    <x v="0"/>
    <s v="United States"/>
    <s v="Seattle"/>
    <x v="4"/>
    <n v="98103"/>
    <x v="1"/>
    <x v="2"/>
    <x v="11"/>
    <n v="21.98"/>
    <n v="2"/>
    <n v="0"/>
    <n v="8.5722000000000005"/>
  </r>
  <r>
    <s v="First Class"/>
    <x v="2"/>
    <s v="United States"/>
    <s v="New York City"/>
    <x v="15"/>
    <n v="10011"/>
    <x v="3"/>
    <x v="0"/>
    <x v="1"/>
    <n v="2621.3220000000001"/>
    <n v="11"/>
    <n v="0.1"/>
    <n v="553.39020000000005"/>
  </r>
  <r>
    <s v="Standard Class"/>
    <x v="0"/>
    <s v="United States"/>
    <s v="Los Angeles"/>
    <x v="1"/>
    <n v="90045"/>
    <x v="1"/>
    <x v="0"/>
    <x v="5"/>
    <n v="74.760000000000005"/>
    <n v="7"/>
    <n v="0"/>
    <n v="23.923200000000001"/>
  </r>
  <r>
    <s v="Standard Class"/>
    <x v="0"/>
    <s v="United States"/>
    <s v="Los Angeles"/>
    <x v="1"/>
    <n v="90045"/>
    <x v="1"/>
    <x v="0"/>
    <x v="3"/>
    <n v="364.77600000000001"/>
    <n v="3"/>
    <n v="0.2"/>
    <n v="27.3582"/>
  </r>
  <r>
    <s v="Standard Class"/>
    <x v="1"/>
    <s v="United States"/>
    <s v="Seattle"/>
    <x v="4"/>
    <n v="98103"/>
    <x v="1"/>
    <x v="0"/>
    <x v="3"/>
    <n v="1115.17"/>
    <n v="7"/>
    <n v="0"/>
    <n v="334.55099999999999"/>
  </r>
  <r>
    <s v="First Class"/>
    <x v="1"/>
    <s v="United States"/>
    <s v="San Diego"/>
    <x v="1"/>
    <n v="92024"/>
    <x v="1"/>
    <x v="1"/>
    <x v="8"/>
    <n v="89.695999999999998"/>
    <n v="4"/>
    <n v="0.2"/>
    <n v="33.636000000000003"/>
  </r>
  <r>
    <s v="First Class"/>
    <x v="1"/>
    <s v="United States"/>
    <s v="San Diego"/>
    <x v="1"/>
    <n v="92024"/>
    <x v="1"/>
    <x v="1"/>
    <x v="2"/>
    <n v="50.12"/>
    <n v="4"/>
    <n v="0"/>
    <n v="23.5564"/>
  </r>
  <r>
    <s v="Standard Class"/>
    <x v="1"/>
    <s v="United States"/>
    <s v="New York City"/>
    <x v="15"/>
    <n v="10035"/>
    <x v="3"/>
    <x v="1"/>
    <x v="13"/>
    <n v="36.479999999999997"/>
    <n v="6"/>
    <n v="0"/>
    <n v="18.239999999999998"/>
  </r>
  <r>
    <s v="Standard Class"/>
    <x v="0"/>
    <s v="United States"/>
    <s v="Chicago"/>
    <x v="10"/>
    <n v="60653"/>
    <x v="2"/>
    <x v="1"/>
    <x v="10"/>
    <n v="322.19200000000001"/>
    <n v="13"/>
    <n v="0.2"/>
    <n v="100.685"/>
  </r>
  <r>
    <s v="Standard Class"/>
    <x v="0"/>
    <s v="United States"/>
    <s v="Chicago"/>
    <x v="10"/>
    <n v="60653"/>
    <x v="2"/>
    <x v="1"/>
    <x v="8"/>
    <n v="2.9460000000000002"/>
    <n v="3"/>
    <n v="0.8"/>
    <n v="-4.8609"/>
  </r>
  <r>
    <s v="Standard Class"/>
    <x v="0"/>
    <s v="United States"/>
    <s v="Chicago"/>
    <x v="10"/>
    <n v="60653"/>
    <x v="2"/>
    <x v="1"/>
    <x v="10"/>
    <n v="19.135999999999999"/>
    <n v="4"/>
    <n v="0.2"/>
    <n v="6.9367999999999999"/>
  </r>
  <r>
    <s v="Standard Class"/>
    <x v="0"/>
    <s v="United States"/>
    <s v="Harrisonburg"/>
    <x v="17"/>
    <n v="22801"/>
    <x v="0"/>
    <x v="2"/>
    <x v="11"/>
    <n v="23.08"/>
    <n v="2"/>
    <n v="0"/>
    <n v="6.9240000000000004"/>
  </r>
  <r>
    <s v="Standard Class"/>
    <x v="0"/>
    <s v="United States"/>
    <s v="Rockville"/>
    <x v="39"/>
    <n v="20852"/>
    <x v="3"/>
    <x v="2"/>
    <x v="7"/>
    <n v="90.48"/>
    <n v="2"/>
    <n v="0"/>
    <n v="23.524799999999999"/>
  </r>
  <r>
    <s v="Second Class"/>
    <x v="0"/>
    <s v="United States"/>
    <s v="Des Moines"/>
    <x v="4"/>
    <n v="98198"/>
    <x v="1"/>
    <x v="0"/>
    <x v="1"/>
    <n v="215.976"/>
    <n v="3"/>
    <n v="0.2"/>
    <n v="-2.6997"/>
  </r>
  <r>
    <s v="Second Class"/>
    <x v="0"/>
    <s v="United States"/>
    <s v="Des Moines"/>
    <x v="4"/>
    <n v="98198"/>
    <x v="1"/>
    <x v="1"/>
    <x v="12"/>
    <n v="65.94"/>
    <n v="3"/>
    <n v="0"/>
    <n v="30.991800000000001"/>
  </r>
  <r>
    <s v="First Class"/>
    <x v="1"/>
    <s v="United States"/>
    <s v="Philadelphia"/>
    <x v="9"/>
    <n v="19134"/>
    <x v="3"/>
    <x v="0"/>
    <x v="5"/>
    <n v="11.352"/>
    <n v="3"/>
    <n v="0.2"/>
    <n v="2.6960999999999999"/>
  </r>
  <r>
    <s v="Standard Class"/>
    <x v="2"/>
    <s v="United States"/>
    <s v="Columbus"/>
    <x v="14"/>
    <n v="47201"/>
    <x v="2"/>
    <x v="1"/>
    <x v="4"/>
    <n v="24.56"/>
    <n v="2"/>
    <n v="0"/>
    <n v="6.8768000000000002"/>
  </r>
  <r>
    <s v="Standard Class"/>
    <x v="0"/>
    <s v="United States"/>
    <s v="Springfield"/>
    <x v="25"/>
    <n v="65807"/>
    <x v="2"/>
    <x v="1"/>
    <x v="12"/>
    <n v="16.559999999999999"/>
    <n v="2"/>
    <n v="0"/>
    <n v="7.7831999999999999"/>
  </r>
  <r>
    <s v="Standard Class"/>
    <x v="0"/>
    <s v="United States"/>
    <s v="Springfield"/>
    <x v="25"/>
    <n v="65807"/>
    <x v="2"/>
    <x v="2"/>
    <x v="11"/>
    <n v="279.95"/>
    <n v="5"/>
    <n v="0"/>
    <n v="67.188000000000002"/>
  </r>
  <r>
    <s v="Standard Class"/>
    <x v="1"/>
    <s v="United States"/>
    <s v="Henderson"/>
    <x v="0"/>
    <n v="42420"/>
    <x v="0"/>
    <x v="1"/>
    <x v="4"/>
    <n v="828.84"/>
    <n v="6"/>
    <n v="0"/>
    <n v="0"/>
  </r>
  <r>
    <s v="First Class"/>
    <x v="0"/>
    <s v="United States"/>
    <s v="Lakewood"/>
    <x v="24"/>
    <n v="44107"/>
    <x v="3"/>
    <x v="1"/>
    <x v="8"/>
    <n v="7.218"/>
    <n v="3"/>
    <n v="0.7"/>
    <n v="-5.5338000000000003"/>
  </r>
  <r>
    <s v="First Class"/>
    <x v="0"/>
    <s v="United States"/>
    <s v="Lakewood"/>
    <x v="24"/>
    <n v="44107"/>
    <x v="3"/>
    <x v="1"/>
    <x v="14"/>
    <n v="27.2"/>
    <n v="4"/>
    <n v="0.2"/>
    <n v="2.04"/>
  </r>
  <r>
    <s v="Standard Class"/>
    <x v="1"/>
    <s v="United States"/>
    <s v="Omaha"/>
    <x v="8"/>
    <n v="68104"/>
    <x v="2"/>
    <x v="2"/>
    <x v="11"/>
    <n v="89.97"/>
    <n v="3"/>
    <n v="0"/>
    <n v="18.893699999999999"/>
  </r>
  <r>
    <s v="Standard Class"/>
    <x v="0"/>
    <s v="United States"/>
    <s v="Henderson"/>
    <x v="0"/>
    <n v="42420"/>
    <x v="0"/>
    <x v="0"/>
    <x v="5"/>
    <n v="318.08"/>
    <n v="4"/>
    <n v="0"/>
    <n v="34.988799999999998"/>
  </r>
  <r>
    <s v="Standard Class"/>
    <x v="0"/>
    <s v="United States"/>
    <s v="Henderson"/>
    <x v="0"/>
    <n v="42420"/>
    <x v="0"/>
    <x v="1"/>
    <x v="8"/>
    <n v="5.8"/>
    <n v="1"/>
    <n v="0"/>
    <n v="2.61"/>
  </r>
  <r>
    <s v="Second Class"/>
    <x v="1"/>
    <s v="United States"/>
    <s v="Santa Ana"/>
    <x v="1"/>
    <n v="92704"/>
    <x v="1"/>
    <x v="2"/>
    <x v="7"/>
    <n v="143.952"/>
    <n v="6"/>
    <n v="0.2"/>
    <n v="17.994"/>
  </r>
  <r>
    <s v="Second Class"/>
    <x v="1"/>
    <s v="United States"/>
    <s v="Santa Ana"/>
    <x v="1"/>
    <n v="92704"/>
    <x v="1"/>
    <x v="1"/>
    <x v="10"/>
    <n v="19.440000000000001"/>
    <n v="3"/>
    <n v="0"/>
    <n v="9.3312000000000008"/>
  </r>
  <r>
    <s v="Standard Class"/>
    <x v="0"/>
    <s v="United States"/>
    <s v="Springfield"/>
    <x v="17"/>
    <n v="22153"/>
    <x v="0"/>
    <x v="1"/>
    <x v="6"/>
    <n v="5.56"/>
    <n v="2"/>
    <n v="0"/>
    <n v="1.4456"/>
  </r>
  <r>
    <s v="First Class"/>
    <x v="1"/>
    <s v="United States"/>
    <s v="Suffolk"/>
    <x v="17"/>
    <n v="23434"/>
    <x v="0"/>
    <x v="1"/>
    <x v="4"/>
    <n v="146.72999999999999"/>
    <n v="3"/>
    <n v="0"/>
    <n v="2.9346000000000001"/>
  </r>
  <r>
    <s v="First Class"/>
    <x v="1"/>
    <s v="United States"/>
    <s v="Suffolk"/>
    <x v="17"/>
    <n v="23434"/>
    <x v="0"/>
    <x v="1"/>
    <x v="10"/>
    <n v="29.9"/>
    <n v="5"/>
    <n v="0"/>
    <n v="13.455"/>
  </r>
  <r>
    <s v="Second Class"/>
    <x v="0"/>
    <s v="United States"/>
    <s v="Los Angeles"/>
    <x v="1"/>
    <n v="90049"/>
    <x v="1"/>
    <x v="1"/>
    <x v="8"/>
    <n v="276.78399999999999"/>
    <n v="2"/>
    <n v="0.2"/>
    <n v="89.954800000000006"/>
  </r>
  <r>
    <s v="Standard Class"/>
    <x v="1"/>
    <s v="United States"/>
    <s v="Houston"/>
    <x v="5"/>
    <n v="77041"/>
    <x v="2"/>
    <x v="1"/>
    <x v="9"/>
    <n v="93.031999999999996"/>
    <n v="2"/>
    <n v="0.8"/>
    <n v="-251.18639999999999"/>
  </r>
  <r>
    <s v="Standard Class"/>
    <x v="1"/>
    <s v="United States"/>
    <s v="Houston"/>
    <x v="5"/>
    <n v="77041"/>
    <x v="2"/>
    <x v="0"/>
    <x v="1"/>
    <n v="454.96499999999997"/>
    <n v="5"/>
    <n v="0.3"/>
    <n v="-136.48949999999999"/>
  </r>
  <r>
    <s v="Standard Class"/>
    <x v="1"/>
    <s v="United States"/>
    <s v="Cary"/>
    <x v="3"/>
    <n v="27511"/>
    <x v="0"/>
    <x v="2"/>
    <x v="7"/>
    <n v="246.16800000000001"/>
    <n v="3"/>
    <n v="0.2"/>
    <n v="21.5397"/>
  </r>
  <r>
    <s v="Second Class"/>
    <x v="0"/>
    <s v="United States"/>
    <s v="Springfield"/>
    <x v="24"/>
    <n v="45503"/>
    <x v="3"/>
    <x v="1"/>
    <x v="4"/>
    <n v="295.39999999999998"/>
    <n v="5"/>
    <n v="0.2"/>
    <n v="-62.772500000000001"/>
  </r>
  <r>
    <s v="First Class"/>
    <x v="0"/>
    <s v="United States"/>
    <s v="Louisville"/>
    <x v="0"/>
    <n v="40214"/>
    <x v="0"/>
    <x v="1"/>
    <x v="4"/>
    <n v="348.56"/>
    <n v="8"/>
    <n v="0"/>
    <n v="104.568"/>
  </r>
  <r>
    <s v="Second Class"/>
    <x v="1"/>
    <s v="United States"/>
    <s v="Troy"/>
    <x v="24"/>
    <n v="45373"/>
    <x v="3"/>
    <x v="1"/>
    <x v="10"/>
    <n v="15.552"/>
    <n v="3"/>
    <n v="0.2"/>
    <n v="5.4432"/>
  </r>
  <r>
    <s v="Second Class"/>
    <x v="1"/>
    <s v="United States"/>
    <s v="Troy"/>
    <x v="24"/>
    <n v="45373"/>
    <x v="3"/>
    <x v="0"/>
    <x v="0"/>
    <n v="482.94"/>
    <n v="6"/>
    <n v="0.5"/>
    <n v="-376.69319999999999"/>
  </r>
  <r>
    <s v="Standard Class"/>
    <x v="0"/>
    <s v="United States"/>
    <s v="Detroit"/>
    <x v="12"/>
    <n v="48227"/>
    <x v="2"/>
    <x v="2"/>
    <x v="7"/>
    <n v="299.98"/>
    <n v="2"/>
    <n v="0"/>
    <n v="83.994399999999999"/>
  </r>
  <r>
    <s v="Standard Class"/>
    <x v="0"/>
    <s v="United States"/>
    <s v="Detroit"/>
    <x v="12"/>
    <n v="48227"/>
    <x v="2"/>
    <x v="1"/>
    <x v="8"/>
    <n v="403.68"/>
    <n v="6"/>
    <n v="0"/>
    <n v="181.65600000000001"/>
  </r>
  <r>
    <s v="Standard Class"/>
    <x v="0"/>
    <s v="United States"/>
    <s v="Detroit"/>
    <x v="12"/>
    <n v="48227"/>
    <x v="2"/>
    <x v="2"/>
    <x v="7"/>
    <n v="41.9"/>
    <n v="2"/>
    <n v="0"/>
    <n v="11.731999999999999"/>
  </r>
  <r>
    <s v="Standard Class"/>
    <x v="0"/>
    <s v="United States"/>
    <s v="Detroit"/>
    <x v="12"/>
    <n v="48227"/>
    <x v="2"/>
    <x v="1"/>
    <x v="2"/>
    <n v="28.91"/>
    <n v="7"/>
    <n v="0"/>
    <n v="13.2986"/>
  </r>
  <r>
    <s v="Standard Class"/>
    <x v="0"/>
    <s v="United States"/>
    <s v="Bloomington"/>
    <x v="14"/>
    <n v="47401"/>
    <x v="2"/>
    <x v="1"/>
    <x v="10"/>
    <n v="32.4"/>
    <n v="5"/>
    <n v="0"/>
    <n v="15.552"/>
  </r>
  <r>
    <s v="Standard Class"/>
    <x v="2"/>
    <s v="United States"/>
    <s v="Dallas"/>
    <x v="5"/>
    <n v="75081"/>
    <x v="2"/>
    <x v="2"/>
    <x v="7"/>
    <n v="369.54399999999998"/>
    <n v="7"/>
    <n v="0.2"/>
    <n v="27.715800000000002"/>
  </r>
  <r>
    <s v="Standard Class"/>
    <x v="2"/>
    <s v="United States"/>
    <s v="Dallas"/>
    <x v="5"/>
    <n v="75081"/>
    <x v="2"/>
    <x v="1"/>
    <x v="10"/>
    <n v="10.368"/>
    <n v="2"/>
    <n v="0.2"/>
    <n v="3.7584"/>
  </r>
  <r>
    <s v="Standard Class"/>
    <x v="2"/>
    <s v="United States"/>
    <s v="Dallas"/>
    <x v="5"/>
    <n v="75081"/>
    <x v="2"/>
    <x v="2"/>
    <x v="11"/>
    <n v="791.88"/>
    <n v="3"/>
    <n v="0.2"/>
    <n v="128.68049999999999"/>
  </r>
  <r>
    <s v="Standard Class"/>
    <x v="0"/>
    <s v="United States"/>
    <s v="Houston"/>
    <x v="5"/>
    <n v="77041"/>
    <x v="2"/>
    <x v="1"/>
    <x v="6"/>
    <n v="23.64"/>
    <n v="3"/>
    <n v="0.2"/>
    <n v="5.319"/>
  </r>
  <r>
    <s v="Standard Class"/>
    <x v="0"/>
    <s v="United States"/>
    <s v="Houston"/>
    <x v="5"/>
    <n v="77041"/>
    <x v="2"/>
    <x v="1"/>
    <x v="4"/>
    <n v="84.784000000000006"/>
    <n v="2"/>
    <n v="0.2"/>
    <n v="-16.956800000000001"/>
  </r>
  <r>
    <s v="Standard Class"/>
    <x v="0"/>
    <s v="United States"/>
    <s v="Houston"/>
    <x v="5"/>
    <n v="77041"/>
    <x v="2"/>
    <x v="0"/>
    <x v="5"/>
    <n v="64.959999999999994"/>
    <n v="5"/>
    <n v="0.6"/>
    <n v="-84.447999999999993"/>
  </r>
  <r>
    <s v="Standard Class"/>
    <x v="0"/>
    <s v="United States"/>
    <s v="Houston"/>
    <x v="5"/>
    <n v="77041"/>
    <x v="2"/>
    <x v="1"/>
    <x v="8"/>
    <n v="32.06"/>
    <n v="10"/>
    <n v="0.8"/>
    <n v="-51.295999999999999"/>
  </r>
  <r>
    <s v="Standard Class"/>
    <x v="0"/>
    <s v="United States"/>
    <s v="Houston"/>
    <x v="5"/>
    <n v="77041"/>
    <x v="2"/>
    <x v="1"/>
    <x v="4"/>
    <n v="177.648"/>
    <n v="2"/>
    <n v="0.2"/>
    <n v="-28.867799999999999"/>
  </r>
  <r>
    <s v="Standard Class"/>
    <x v="0"/>
    <s v="United States"/>
    <s v="Houston"/>
    <x v="5"/>
    <n v="77041"/>
    <x v="2"/>
    <x v="2"/>
    <x v="15"/>
    <n v="287.91000000000003"/>
    <n v="3"/>
    <n v="0.4"/>
    <n v="33.589500000000001"/>
  </r>
  <r>
    <s v="First Class"/>
    <x v="1"/>
    <s v="United States"/>
    <s v="Haltom City"/>
    <x v="5"/>
    <n v="76117"/>
    <x v="2"/>
    <x v="1"/>
    <x v="14"/>
    <n v="22.367999999999999"/>
    <n v="2"/>
    <n v="0.2"/>
    <n v="1.6776"/>
  </r>
  <r>
    <s v="First Class"/>
    <x v="1"/>
    <s v="United States"/>
    <s v="Haltom City"/>
    <x v="5"/>
    <n v="76117"/>
    <x v="2"/>
    <x v="1"/>
    <x v="10"/>
    <n v="32.368000000000002"/>
    <n v="7"/>
    <n v="0.2"/>
    <n v="11.7334"/>
  </r>
  <r>
    <s v="First Class"/>
    <x v="1"/>
    <s v="United States"/>
    <s v="Haltom City"/>
    <x v="5"/>
    <n v="76117"/>
    <x v="2"/>
    <x v="2"/>
    <x v="11"/>
    <n v="207.98400000000001"/>
    <n v="2"/>
    <n v="0.2"/>
    <n v="36.397199999999998"/>
  </r>
  <r>
    <s v="First Class"/>
    <x v="2"/>
    <s v="United States"/>
    <s v="Richmond"/>
    <x v="17"/>
    <n v="23223"/>
    <x v="0"/>
    <x v="1"/>
    <x v="12"/>
    <n v="36.4"/>
    <n v="5"/>
    <n v="0"/>
    <n v="17.472000000000001"/>
  </r>
  <r>
    <s v="First Class"/>
    <x v="2"/>
    <s v="United States"/>
    <s v="Richmond"/>
    <x v="17"/>
    <n v="23223"/>
    <x v="0"/>
    <x v="2"/>
    <x v="11"/>
    <n v="22.96"/>
    <n v="2"/>
    <n v="0"/>
    <n v="4.3624000000000001"/>
  </r>
  <r>
    <s v="First Class"/>
    <x v="2"/>
    <s v="United States"/>
    <s v="Richmond"/>
    <x v="17"/>
    <n v="23223"/>
    <x v="0"/>
    <x v="1"/>
    <x v="4"/>
    <n v="315.2"/>
    <n v="4"/>
    <n v="0"/>
    <n v="6.3040000000000003"/>
  </r>
  <r>
    <s v="First Class"/>
    <x v="2"/>
    <s v="United States"/>
    <s v="Richmond"/>
    <x v="17"/>
    <n v="23223"/>
    <x v="0"/>
    <x v="1"/>
    <x v="8"/>
    <n v="15.18"/>
    <n v="3"/>
    <n v="0"/>
    <n v="7.1345999999999998"/>
  </r>
  <r>
    <s v="Second Class"/>
    <x v="1"/>
    <s v="United States"/>
    <s v="Los Angeles"/>
    <x v="1"/>
    <n v="90049"/>
    <x v="1"/>
    <x v="2"/>
    <x v="7"/>
    <n v="623.96"/>
    <n v="5"/>
    <n v="0.2"/>
    <n v="38.997500000000002"/>
  </r>
  <r>
    <s v="Second Class"/>
    <x v="0"/>
    <s v="United States"/>
    <s v="Philadelphia"/>
    <x v="9"/>
    <n v="19140"/>
    <x v="3"/>
    <x v="2"/>
    <x v="7"/>
    <n v="429.6"/>
    <n v="2"/>
    <n v="0.4"/>
    <n v="-93.08"/>
  </r>
  <r>
    <s v="Second Class"/>
    <x v="0"/>
    <s v="United States"/>
    <s v="Philadelphia"/>
    <x v="9"/>
    <n v="19140"/>
    <x v="3"/>
    <x v="0"/>
    <x v="5"/>
    <n v="31.968"/>
    <n v="2"/>
    <n v="0.2"/>
    <n v="6.3936000000000002"/>
  </r>
  <r>
    <s v="Second Class"/>
    <x v="0"/>
    <s v="United States"/>
    <s v="Philadelphia"/>
    <x v="9"/>
    <n v="19140"/>
    <x v="3"/>
    <x v="0"/>
    <x v="1"/>
    <n v="887.27099999999996"/>
    <n v="3"/>
    <n v="0.3"/>
    <n v="-63.3765"/>
  </r>
  <r>
    <s v="Second Class"/>
    <x v="0"/>
    <s v="United States"/>
    <s v="Philadelphia"/>
    <x v="9"/>
    <n v="19140"/>
    <x v="3"/>
    <x v="1"/>
    <x v="10"/>
    <n v="21.696000000000002"/>
    <n v="4"/>
    <n v="0.2"/>
    <n v="7.0511999999999997"/>
  </r>
  <r>
    <s v="Standard Class"/>
    <x v="2"/>
    <s v="United States"/>
    <s v="Los Angeles"/>
    <x v="1"/>
    <n v="90036"/>
    <x v="1"/>
    <x v="1"/>
    <x v="2"/>
    <n v="22.05"/>
    <n v="7"/>
    <n v="0"/>
    <n v="10.584"/>
  </r>
  <r>
    <s v="Standard Class"/>
    <x v="2"/>
    <s v="United States"/>
    <s v="Los Angeles"/>
    <x v="1"/>
    <n v="90036"/>
    <x v="1"/>
    <x v="1"/>
    <x v="10"/>
    <n v="99.9"/>
    <n v="5"/>
    <n v="0"/>
    <n v="46.953000000000003"/>
  </r>
  <r>
    <s v="Second Class"/>
    <x v="1"/>
    <s v="United States"/>
    <s v="Los Angeles"/>
    <x v="1"/>
    <n v="90032"/>
    <x v="1"/>
    <x v="1"/>
    <x v="9"/>
    <n v="90.86"/>
    <n v="7"/>
    <n v="0"/>
    <n v="26.349399999999999"/>
  </r>
  <r>
    <s v="Same Day"/>
    <x v="0"/>
    <s v="United States"/>
    <s v="San Francisco"/>
    <x v="1"/>
    <n v="94109"/>
    <x v="1"/>
    <x v="1"/>
    <x v="10"/>
    <n v="7.78"/>
    <n v="1"/>
    <n v="0"/>
    <n v="3.5009999999999999"/>
  </r>
  <r>
    <s v="Second Class"/>
    <x v="0"/>
    <s v="United States"/>
    <s v="Philadelphia"/>
    <x v="9"/>
    <n v="19120"/>
    <x v="3"/>
    <x v="1"/>
    <x v="8"/>
    <n v="78.759"/>
    <n v="9"/>
    <n v="0.7"/>
    <n v="-57.756599999999999"/>
  </r>
  <r>
    <s v="Second Class"/>
    <x v="2"/>
    <s v="United States"/>
    <s v="Houston"/>
    <x v="5"/>
    <n v="77070"/>
    <x v="2"/>
    <x v="0"/>
    <x v="5"/>
    <n v="9.5519999999999996"/>
    <n v="3"/>
    <n v="0.6"/>
    <n v="-3.8208000000000002"/>
  </r>
  <r>
    <s v="Second Class"/>
    <x v="2"/>
    <s v="United States"/>
    <s v="Houston"/>
    <x v="5"/>
    <n v="77070"/>
    <x v="2"/>
    <x v="0"/>
    <x v="5"/>
    <n v="5.3440000000000003"/>
    <n v="4"/>
    <n v="0.6"/>
    <n v="-2.1375999999999999"/>
  </r>
  <r>
    <s v="Standard Class"/>
    <x v="2"/>
    <s v="United States"/>
    <s v="Las Cruces"/>
    <x v="27"/>
    <n v="88001"/>
    <x v="1"/>
    <x v="1"/>
    <x v="6"/>
    <n v="8.2799999999999994"/>
    <n v="2"/>
    <n v="0"/>
    <n v="3.4775999999999998"/>
  </r>
  <r>
    <s v="Standard Class"/>
    <x v="0"/>
    <s v="United States"/>
    <s v="Houston"/>
    <x v="5"/>
    <n v="77070"/>
    <x v="2"/>
    <x v="1"/>
    <x v="4"/>
    <n v="50.136000000000003"/>
    <n v="3"/>
    <n v="0.2"/>
    <n v="-11.2806"/>
  </r>
  <r>
    <s v="First Class"/>
    <x v="1"/>
    <s v="United States"/>
    <s v="Redmond"/>
    <x v="21"/>
    <n v="97756"/>
    <x v="1"/>
    <x v="1"/>
    <x v="8"/>
    <n v="88.073999999999998"/>
    <n v="7"/>
    <n v="0.7"/>
    <n v="-58.716000000000001"/>
  </r>
  <r>
    <s v="Second Class"/>
    <x v="0"/>
    <s v="United States"/>
    <s v="Cleveland"/>
    <x v="24"/>
    <n v="44105"/>
    <x v="3"/>
    <x v="0"/>
    <x v="0"/>
    <n v="301.47000000000003"/>
    <n v="3"/>
    <n v="0.5"/>
    <n v="-241.17599999999999"/>
  </r>
  <r>
    <s v="Second Class"/>
    <x v="0"/>
    <s v="United States"/>
    <s v="Cleveland"/>
    <x v="24"/>
    <n v="44105"/>
    <x v="3"/>
    <x v="1"/>
    <x v="6"/>
    <n v="18.655999999999999"/>
    <n v="2"/>
    <n v="0.2"/>
    <n v="1.6324000000000001"/>
  </r>
  <r>
    <s v="Standard Class"/>
    <x v="1"/>
    <s v="United States"/>
    <s v="Laurel"/>
    <x v="39"/>
    <n v="20707"/>
    <x v="3"/>
    <x v="0"/>
    <x v="5"/>
    <n v="27.46"/>
    <n v="2"/>
    <n v="0"/>
    <n v="9.8856000000000002"/>
  </r>
  <r>
    <s v="Standard Class"/>
    <x v="1"/>
    <s v="United States"/>
    <s v="Laurel"/>
    <x v="39"/>
    <n v="20707"/>
    <x v="3"/>
    <x v="1"/>
    <x v="9"/>
    <n v="125.13"/>
    <n v="3"/>
    <n v="0"/>
    <n v="36.287700000000001"/>
  </r>
  <r>
    <s v="Standard Class"/>
    <x v="2"/>
    <s v="United States"/>
    <s v="San Diego"/>
    <x v="1"/>
    <n v="92037"/>
    <x v="1"/>
    <x v="2"/>
    <x v="7"/>
    <n v="555.96"/>
    <n v="5"/>
    <n v="0.2"/>
    <n v="41.697000000000003"/>
  </r>
  <r>
    <s v="Standard Class"/>
    <x v="1"/>
    <s v="United States"/>
    <s v="Wilson"/>
    <x v="3"/>
    <n v="27893"/>
    <x v="0"/>
    <x v="1"/>
    <x v="4"/>
    <n v="129.55199999999999"/>
    <n v="3"/>
    <n v="0.2"/>
    <n v="-22.671600000000002"/>
  </r>
  <r>
    <s v="Standard Class"/>
    <x v="1"/>
    <s v="United States"/>
    <s v="Wilson"/>
    <x v="3"/>
    <n v="27893"/>
    <x v="0"/>
    <x v="1"/>
    <x v="4"/>
    <n v="51.984000000000002"/>
    <n v="1"/>
    <n v="0.2"/>
    <n v="-5.1984000000000004"/>
  </r>
  <r>
    <s v="Standard Class"/>
    <x v="1"/>
    <s v="United States"/>
    <s v="Wilson"/>
    <x v="3"/>
    <n v="27893"/>
    <x v="0"/>
    <x v="1"/>
    <x v="10"/>
    <n v="10.272"/>
    <n v="3"/>
    <n v="0.2"/>
    <n v="3.4668000000000001"/>
  </r>
  <r>
    <s v="Standard Class"/>
    <x v="0"/>
    <s v="United States"/>
    <s v="Saint Petersburg"/>
    <x v="2"/>
    <n v="33710"/>
    <x v="0"/>
    <x v="1"/>
    <x v="8"/>
    <n v="18.335999999999999"/>
    <n v="2"/>
    <n v="0.7"/>
    <n v="-12.224"/>
  </r>
  <r>
    <s v="Standard Class"/>
    <x v="0"/>
    <s v="United States"/>
    <s v="Saint Petersburg"/>
    <x v="2"/>
    <n v="33710"/>
    <x v="0"/>
    <x v="2"/>
    <x v="7"/>
    <n v="180.96"/>
    <n v="5"/>
    <n v="0.2"/>
    <n v="13.571999999999999"/>
  </r>
  <r>
    <s v="Standard Class"/>
    <x v="0"/>
    <s v="United States"/>
    <s v="Buffalo Grove"/>
    <x v="10"/>
    <n v="60089"/>
    <x v="2"/>
    <x v="2"/>
    <x v="11"/>
    <n v="475.94400000000002"/>
    <n v="7"/>
    <n v="0.2"/>
    <n v="95.188800000000001"/>
  </r>
  <r>
    <s v="Second Class"/>
    <x v="2"/>
    <s v="United States"/>
    <s v="Los Angeles"/>
    <x v="1"/>
    <n v="90049"/>
    <x v="1"/>
    <x v="2"/>
    <x v="11"/>
    <n v="159.97999999999999"/>
    <n v="2"/>
    <n v="0"/>
    <n v="47.994"/>
  </r>
  <r>
    <s v="First Class"/>
    <x v="1"/>
    <s v="United States"/>
    <s v="New York City"/>
    <x v="15"/>
    <n v="10011"/>
    <x v="3"/>
    <x v="2"/>
    <x v="7"/>
    <n v="43.6"/>
    <n v="4"/>
    <n v="0"/>
    <n v="12.208"/>
  </r>
  <r>
    <s v="Standard Class"/>
    <x v="0"/>
    <s v="United States"/>
    <s v="Las Vegas"/>
    <x v="33"/>
    <n v="89115"/>
    <x v="1"/>
    <x v="1"/>
    <x v="8"/>
    <n v="8.2880000000000003"/>
    <n v="2"/>
    <n v="0.2"/>
    <n v="3.0044"/>
  </r>
  <r>
    <s v="Standard Class"/>
    <x v="0"/>
    <s v="United States"/>
    <s v="Las Vegas"/>
    <x v="33"/>
    <n v="89115"/>
    <x v="1"/>
    <x v="2"/>
    <x v="7"/>
    <n v="1123.1279999999999"/>
    <n v="9"/>
    <n v="0.2"/>
    <n v="70.195499999999996"/>
  </r>
  <r>
    <s v="Standard Class"/>
    <x v="0"/>
    <s v="United States"/>
    <s v="Las Vegas"/>
    <x v="33"/>
    <n v="89115"/>
    <x v="1"/>
    <x v="1"/>
    <x v="9"/>
    <n v="64.900000000000006"/>
    <n v="5"/>
    <n v="0"/>
    <n v="18.821000000000002"/>
  </r>
  <r>
    <s v="Standard Class"/>
    <x v="0"/>
    <s v="United States"/>
    <s v="Naperville"/>
    <x v="10"/>
    <n v="60540"/>
    <x v="2"/>
    <x v="1"/>
    <x v="8"/>
    <n v="2.8079999999999998"/>
    <n v="3"/>
    <n v="0.8"/>
    <n v="-4.4927999999999999"/>
  </r>
  <r>
    <s v="Standard Class"/>
    <x v="1"/>
    <s v="United States"/>
    <s v="Burlington"/>
    <x v="42"/>
    <n v="5408"/>
    <x v="3"/>
    <x v="2"/>
    <x v="11"/>
    <n v="99.98"/>
    <n v="2"/>
    <n v="0"/>
    <n v="42.991399999999999"/>
  </r>
  <r>
    <s v="Standard Class"/>
    <x v="1"/>
    <s v="United States"/>
    <s v="Burlington"/>
    <x v="42"/>
    <n v="5408"/>
    <x v="3"/>
    <x v="1"/>
    <x v="6"/>
    <n v="8.0399999999999991"/>
    <n v="6"/>
    <n v="0"/>
    <n v="2.7336"/>
  </r>
  <r>
    <s v="Standard Class"/>
    <x v="1"/>
    <s v="United States"/>
    <s v="Burlington"/>
    <x v="42"/>
    <n v="5408"/>
    <x v="3"/>
    <x v="1"/>
    <x v="4"/>
    <n v="1564.29"/>
    <n v="13"/>
    <n v="0"/>
    <n v="406.71539999999999"/>
  </r>
  <r>
    <s v="Standard Class"/>
    <x v="1"/>
    <s v="United States"/>
    <s v="Detroit"/>
    <x v="12"/>
    <n v="48234"/>
    <x v="2"/>
    <x v="1"/>
    <x v="8"/>
    <n v="138.56"/>
    <n v="4"/>
    <n v="0"/>
    <n v="66.508799999999994"/>
  </r>
  <r>
    <s v="Standard Class"/>
    <x v="1"/>
    <s v="United States"/>
    <s v="Detroit"/>
    <x v="12"/>
    <n v="48234"/>
    <x v="2"/>
    <x v="1"/>
    <x v="9"/>
    <n v="65.52"/>
    <n v="5"/>
    <n v="0.1"/>
    <n v="12.375999999999999"/>
  </r>
  <r>
    <s v="Second Class"/>
    <x v="0"/>
    <s v="United States"/>
    <s v="Avondale"/>
    <x v="16"/>
    <n v="85323"/>
    <x v="1"/>
    <x v="1"/>
    <x v="6"/>
    <n v="14.576000000000001"/>
    <n v="2"/>
    <n v="0.2"/>
    <n v="2.3685999999999998"/>
  </r>
  <r>
    <s v="Second Class"/>
    <x v="0"/>
    <s v="United States"/>
    <s v="Avondale"/>
    <x v="16"/>
    <n v="85323"/>
    <x v="1"/>
    <x v="2"/>
    <x v="11"/>
    <n v="23.2"/>
    <n v="2"/>
    <n v="0.2"/>
    <n v="1.45"/>
  </r>
  <r>
    <s v="Second Class"/>
    <x v="0"/>
    <s v="United States"/>
    <s v="Avondale"/>
    <x v="16"/>
    <n v="85323"/>
    <x v="1"/>
    <x v="1"/>
    <x v="6"/>
    <n v="16.463999999999999"/>
    <n v="7"/>
    <n v="0.2"/>
    <n v="1.8522000000000001"/>
  </r>
  <r>
    <s v="Second Class"/>
    <x v="0"/>
    <s v="United States"/>
    <s v="Philadelphia"/>
    <x v="9"/>
    <n v="19140"/>
    <x v="3"/>
    <x v="0"/>
    <x v="5"/>
    <n v="19.312000000000001"/>
    <n v="2"/>
    <n v="0.2"/>
    <n v="3.1381999999999999"/>
  </r>
  <r>
    <s v="Standard Class"/>
    <x v="0"/>
    <s v="United States"/>
    <s v="Las Vegas"/>
    <x v="33"/>
    <n v="89115"/>
    <x v="1"/>
    <x v="1"/>
    <x v="10"/>
    <n v="40.08"/>
    <n v="6"/>
    <n v="0"/>
    <n v="19.238399999999999"/>
  </r>
  <r>
    <s v="Standard Class"/>
    <x v="1"/>
    <s v="United States"/>
    <s v="Bangor"/>
    <x v="43"/>
    <n v="4401"/>
    <x v="3"/>
    <x v="1"/>
    <x v="9"/>
    <n v="101.96"/>
    <n v="2"/>
    <n v="0"/>
    <n v="27.529199999999999"/>
  </r>
  <r>
    <s v="Standard Class"/>
    <x v="1"/>
    <s v="United States"/>
    <s v="Bangor"/>
    <x v="43"/>
    <n v="4401"/>
    <x v="3"/>
    <x v="1"/>
    <x v="10"/>
    <n v="259.74"/>
    <n v="13"/>
    <n v="0"/>
    <n v="124.6752"/>
  </r>
  <r>
    <s v="Standard Class"/>
    <x v="1"/>
    <s v="United States"/>
    <s v="Bangor"/>
    <x v="43"/>
    <n v="4401"/>
    <x v="3"/>
    <x v="2"/>
    <x v="11"/>
    <n v="255.42"/>
    <n v="9"/>
    <n v="0"/>
    <n v="104.7222"/>
  </r>
  <r>
    <s v="Standard Class"/>
    <x v="2"/>
    <s v="United States"/>
    <s v="Hendersonville"/>
    <x v="18"/>
    <n v="37075"/>
    <x v="0"/>
    <x v="1"/>
    <x v="8"/>
    <n v="4.3380000000000001"/>
    <n v="3"/>
    <n v="0.7"/>
    <n v="-3.0366"/>
  </r>
  <r>
    <s v="Standard Class"/>
    <x v="2"/>
    <s v="United States"/>
    <s v="Hendersonville"/>
    <x v="18"/>
    <n v="37075"/>
    <x v="0"/>
    <x v="1"/>
    <x v="8"/>
    <n v="11.88"/>
    <n v="5"/>
    <n v="0.7"/>
    <n v="-7.92"/>
  </r>
  <r>
    <s v="Standard Class"/>
    <x v="0"/>
    <s v="United States"/>
    <s v="Eau Claire"/>
    <x v="6"/>
    <n v="54703"/>
    <x v="2"/>
    <x v="0"/>
    <x v="0"/>
    <n v="405.86"/>
    <n v="7"/>
    <n v="0"/>
    <n v="32.468800000000002"/>
  </r>
  <r>
    <s v="Standard Class"/>
    <x v="0"/>
    <s v="United States"/>
    <s v="Eau Claire"/>
    <x v="6"/>
    <n v="54703"/>
    <x v="2"/>
    <x v="0"/>
    <x v="1"/>
    <n v="680.01"/>
    <n v="3"/>
    <n v="0"/>
    <n v="176.80260000000001"/>
  </r>
  <r>
    <s v="Standard Class"/>
    <x v="0"/>
    <s v="United States"/>
    <s v="Chicago"/>
    <x v="10"/>
    <n v="60610"/>
    <x v="2"/>
    <x v="2"/>
    <x v="11"/>
    <n v="2.3759999999999999"/>
    <n v="3"/>
    <n v="0.2"/>
    <n v="0.74250000000000005"/>
  </r>
  <r>
    <s v="Standard Class"/>
    <x v="0"/>
    <s v="United States"/>
    <s v="Chicago"/>
    <x v="10"/>
    <n v="60610"/>
    <x v="2"/>
    <x v="1"/>
    <x v="9"/>
    <n v="143.12799999999999"/>
    <n v="2"/>
    <n v="0.8"/>
    <n v="-393.60199999999998"/>
  </r>
  <r>
    <s v="Second Class"/>
    <x v="0"/>
    <s v="United States"/>
    <s v="San Diego"/>
    <x v="1"/>
    <n v="92037"/>
    <x v="1"/>
    <x v="2"/>
    <x v="15"/>
    <n v="4476.8"/>
    <n v="4"/>
    <n v="0.2"/>
    <n v="503.64"/>
  </r>
  <r>
    <s v="Second Class"/>
    <x v="0"/>
    <s v="United States"/>
    <s v="San Diego"/>
    <x v="1"/>
    <n v="92037"/>
    <x v="1"/>
    <x v="1"/>
    <x v="10"/>
    <n v="104.85"/>
    <n v="1"/>
    <n v="0"/>
    <n v="50.328000000000003"/>
  </r>
  <r>
    <s v="Second Class"/>
    <x v="0"/>
    <s v="United States"/>
    <s v="San Diego"/>
    <x v="1"/>
    <n v="92037"/>
    <x v="1"/>
    <x v="1"/>
    <x v="9"/>
    <n v="241.44"/>
    <n v="3"/>
    <n v="0"/>
    <n v="72.432000000000002"/>
  </r>
  <r>
    <s v="Standard Class"/>
    <x v="2"/>
    <s v="United States"/>
    <s v="Jackson"/>
    <x v="35"/>
    <n v="39212"/>
    <x v="0"/>
    <x v="1"/>
    <x v="10"/>
    <n v="319.76"/>
    <n v="14"/>
    <n v="0"/>
    <n v="147.08959999999999"/>
  </r>
  <r>
    <s v="Standard Class"/>
    <x v="2"/>
    <s v="United States"/>
    <s v="Jackson"/>
    <x v="35"/>
    <n v="39212"/>
    <x v="0"/>
    <x v="1"/>
    <x v="10"/>
    <n v="45.68"/>
    <n v="2"/>
    <n v="0"/>
    <n v="21.012799999999999"/>
  </r>
  <r>
    <s v="Same Day"/>
    <x v="2"/>
    <s v="United States"/>
    <s v="Oxnard"/>
    <x v="1"/>
    <n v="93030"/>
    <x v="1"/>
    <x v="0"/>
    <x v="5"/>
    <n v="31.96"/>
    <n v="2"/>
    <n v="0"/>
    <n v="1.5980000000000001"/>
  </r>
  <r>
    <s v="Same Day"/>
    <x v="2"/>
    <s v="United States"/>
    <s v="Oxnard"/>
    <x v="1"/>
    <n v="93030"/>
    <x v="1"/>
    <x v="1"/>
    <x v="10"/>
    <n v="47.9"/>
    <n v="1"/>
    <n v="0"/>
    <n v="22.992000000000001"/>
  </r>
  <r>
    <s v="Same Day"/>
    <x v="2"/>
    <s v="United States"/>
    <s v="Oxnard"/>
    <x v="1"/>
    <n v="93030"/>
    <x v="1"/>
    <x v="1"/>
    <x v="4"/>
    <n v="1112.94"/>
    <n v="3"/>
    <n v="0"/>
    <n v="222.58799999999999"/>
  </r>
  <r>
    <s v="Same Day"/>
    <x v="2"/>
    <s v="United States"/>
    <s v="Oxnard"/>
    <x v="1"/>
    <n v="93030"/>
    <x v="1"/>
    <x v="1"/>
    <x v="12"/>
    <n v="22.92"/>
    <n v="3"/>
    <n v="0"/>
    <n v="11.2308"/>
  </r>
  <r>
    <s v="Second Class"/>
    <x v="0"/>
    <s v="United States"/>
    <s v="Kent"/>
    <x v="4"/>
    <n v="98031"/>
    <x v="1"/>
    <x v="2"/>
    <x v="7"/>
    <n v="71.975999999999999"/>
    <n v="3"/>
    <n v="0.2"/>
    <n v="8.9969999999999999"/>
  </r>
  <r>
    <s v="Second Class"/>
    <x v="0"/>
    <s v="United States"/>
    <s v="Kent"/>
    <x v="4"/>
    <n v="98031"/>
    <x v="1"/>
    <x v="1"/>
    <x v="10"/>
    <n v="19.440000000000001"/>
    <n v="3"/>
    <n v="0"/>
    <n v="9.3312000000000008"/>
  </r>
  <r>
    <s v="Standard Class"/>
    <x v="1"/>
    <s v="United States"/>
    <s v="Nashville"/>
    <x v="18"/>
    <n v="37211"/>
    <x v="0"/>
    <x v="1"/>
    <x v="8"/>
    <n v="31.085999999999999"/>
    <n v="3"/>
    <n v="0.7"/>
    <n v="-20.724"/>
  </r>
  <r>
    <s v="Standard Class"/>
    <x v="0"/>
    <s v="United States"/>
    <s v="New York City"/>
    <x v="15"/>
    <n v="10035"/>
    <x v="3"/>
    <x v="2"/>
    <x v="7"/>
    <n v="13.98"/>
    <n v="2"/>
    <n v="0"/>
    <n v="3.9144000000000001"/>
  </r>
  <r>
    <s v="Standard Class"/>
    <x v="0"/>
    <s v="United States"/>
    <s v="New York City"/>
    <x v="15"/>
    <n v="10035"/>
    <x v="3"/>
    <x v="1"/>
    <x v="6"/>
    <n v="23.65"/>
    <n v="1"/>
    <n v="0"/>
    <n v="6.149"/>
  </r>
  <r>
    <s v="Standard Class"/>
    <x v="0"/>
    <s v="United States"/>
    <s v="Westminster"/>
    <x v="1"/>
    <n v="92683"/>
    <x v="1"/>
    <x v="2"/>
    <x v="7"/>
    <n v="707.88"/>
    <n v="3"/>
    <n v="0.2"/>
    <n v="44.2425"/>
  </r>
  <r>
    <s v="Standard Class"/>
    <x v="0"/>
    <s v="United States"/>
    <s v="Westminster"/>
    <x v="1"/>
    <n v="92683"/>
    <x v="1"/>
    <x v="1"/>
    <x v="8"/>
    <n v="11.952"/>
    <n v="3"/>
    <n v="0.2"/>
    <n v="4.1832000000000003"/>
  </r>
  <r>
    <s v="Standard Class"/>
    <x v="0"/>
    <s v="United States"/>
    <s v="Westminster"/>
    <x v="1"/>
    <n v="92683"/>
    <x v="1"/>
    <x v="1"/>
    <x v="8"/>
    <n v="31.128"/>
    <n v="3"/>
    <n v="0.2"/>
    <n v="11.673"/>
  </r>
  <r>
    <s v="Standard Class"/>
    <x v="0"/>
    <s v="United States"/>
    <s v="Westminster"/>
    <x v="1"/>
    <n v="92683"/>
    <x v="1"/>
    <x v="2"/>
    <x v="11"/>
    <n v="55.76"/>
    <n v="4"/>
    <n v="0"/>
    <n v="7.8064"/>
  </r>
  <r>
    <s v="Standard Class"/>
    <x v="0"/>
    <s v="United States"/>
    <s v="Westminster"/>
    <x v="1"/>
    <n v="92683"/>
    <x v="1"/>
    <x v="1"/>
    <x v="10"/>
    <n v="24.56"/>
    <n v="2"/>
    <n v="0"/>
    <n v="11.543200000000001"/>
  </r>
  <r>
    <s v="Standard Class"/>
    <x v="0"/>
    <s v="United States"/>
    <s v="Westminster"/>
    <x v="1"/>
    <n v="92683"/>
    <x v="1"/>
    <x v="0"/>
    <x v="5"/>
    <n v="51.75"/>
    <n v="1"/>
    <n v="0"/>
    <n v="15.525"/>
  </r>
  <r>
    <s v="Standard Class"/>
    <x v="0"/>
    <s v="United States"/>
    <s v="Westminster"/>
    <x v="1"/>
    <n v="92683"/>
    <x v="1"/>
    <x v="0"/>
    <x v="1"/>
    <n v="207.184"/>
    <n v="1"/>
    <n v="0.2"/>
    <n v="25.898"/>
  </r>
  <r>
    <s v="Standard Class"/>
    <x v="0"/>
    <s v="United States"/>
    <s v="Westminster"/>
    <x v="1"/>
    <n v="92683"/>
    <x v="1"/>
    <x v="1"/>
    <x v="9"/>
    <n v="1473.1"/>
    <n v="5"/>
    <n v="0"/>
    <n v="412.46800000000002"/>
  </r>
  <r>
    <s v="Standard Class"/>
    <x v="2"/>
    <s v="United States"/>
    <s v="Allentown"/>
    <x v="9"/>
    <n v="18103"/>
    <x v="3"/>
    <x v="1"/>
    <x v="14"/>
    <n v="3.488"/>
    <n v="2"/>
    <n v="0.2"/>
    <n v="-0.6976"/>
  </r>
  <r>
    <s v="Standard Class"/>
    <x v="2"/>
    <s v="United States"/>
    <s v="Allentown"/>
    <x v="9"/>
    <n v="18103"/>
    <x v="3"/>
    <x v="2"/>
    <x v="11"/>
    <n v="21.728000000000002"/>
    <n v="4"/>
    <n v="0.2"/>
    <n v="3.8024"/>
  </r>
  <r>
    <s v="Standard Class"/>
    <x v="2"/>
    <s v="United States"/>
    <s v="Allentown"/>
    <x v="9"/>
    <n v="18103"/>
    <x v="3"/>
    <x v="1"/>
    <x v="4"/>
    <n v="663.072"/>
    <n v="6"/>
    <n v="0.2"/>
    <n v="-165.768"/>
  </r>
  <r>
    <s v="Standard Class"/>
    <x v="2"/>
    <s v="United States"/>
    <s v="Allentown"/>
    <x v="9"/>
    <n v="18103"/>
    <x v="3"/>
    <x v="1"/>
    <x v="8"/>
    <n v="99.587999999999994"/>
    <n v="2"/>
    <n v="0.7"/>
    <n v="-82.99"/>
  </r>
  <r>
    <s v="Standard Class"/>
    <x v="2"/>
    <s v="United States"/>
    <s v="Allentown"/>
    <x v="9"/>
    <n v="18103"/>
    <x v="3"/>
    <x v="1"/>
    <x v="10"/>
    <n v="49.567999999999998"/>
    <n v="2"/>
    <n v="0.2"/>
    <n v="15.49"/>
  </r>
  <r>
    <s v="Standard Class"/>
    <x v="1"/>
    <s v="United States"/>
    <s v="San Antonio"/>
    <x v="5"/>
    <n v="78207"/>
    <x v="2"/>
    <x v="1"/>
    <x v="8"/>
    <n v="29.372"/>
    <n v="7"/>
    <n v="0.8"/>
    <n v="-46.995199999999997"/>
  </r>
  <r>
    <s v="Standard Class"/>
    <x v="1"/>
    <s v="United States"/>
    <s v="San Antonio"/>
    <x v="5"/>
    <n v="78207"/>
    <x v="2"/>
    <x v="2"/>
    <x v="7"/>
    <n v="344.70400000000001"/>
    <n v="2"/>
    <n v="0.2"/>
    <n v="38.779200000000003"/>
  </r>
  <r>
    <s v="Standard Class"/>
    <x v="0"/>
    <s v="United States"/>
    <s v="Avondale"/>
    <x v="16"/>
    <n v="85323"/>
    <x v="1"/>
    <x v="1"/>
    <x v="14"/>
    <n v="47.991999999999997"/>
    <n v="7"/>
    <n v="0.2"/>
    <n v="3.5994000000000002"/>
  </r>
  <r>
    <s v="Standard Class"/>
    <x v="0"/>
    <s v="United States"/>
    <s v="Avondale"/>
    <x v="16"/>
    <n v="85323"/>
    <x v="1"/>
    <x v="2"/>
    <x v="11"/>
    <n v="102.24"/>
    <n v="4"/>
    <n v="0.2"/>
    <n v="-16.614000000000001"/>
  </r>
  <r>
    <s v="Standard Class"/>
    <x v="0"/>
    <s v="United States"/>
    <s v="San Jose"/>
    <x v="1"/>
    <n v="95123"/>
    <x v="1"/>
    <x v="1"/>
    <x v="10"/>
    <n v="39.96"/>
    <n v="2"/>
    <n v="0"/>
    <n v="19.180800000000001"/>
  </r>
  <r>
    <s v="Standard Class"/>
    <x v="0"/>
    <s v="United States"/>
    <s v="San Jose"/>
    <x v="1"/>
    <n v="95123"/>
    <x v="1"/>
    <x v="2"/>
    <x v="7"/>
    <n v="1432"/>
    <n v="5"/>
    <n v="0.2"/>
    <n v="125.3"/>
  </r>
  <r>
    <s v="Standard Class"/>
    <x v="0"/>
    <s v="United States"/>
    <s v="San Jose"/>
    <x v="1"/>
    <n v="95123"/>
    <x v="1"/>
    <x v="1"/>
    <x v="14"/>
    <n v="41.04"/>
    <n v="6"/>
    <n v="0"/>
    <n v="11.0808"/>
  </r>
  <r>
    <s v="Standard Class"/>
    <x v="0"/>
    <s v="United States"/>
    <s v="San Jose"/>
    <x v="1"/>
    <n v="95123"/>
    <x v="1"/>
    <x v="0"/>
    <x v="1"/>
    <n v="256.78399999999999"/>
    <n v="1"/>
    <n v="0.2"/>
    <n v="32.097999999999999"/>
  </r>
  <r>
    <s v="First Class"/>
    <x v="0"/>
    <s v="United States"/>
    <s v="Perth Amboy"/>
    <x v="30"/>
    <n v="8861"/>
    <x v="3"/>
    <x v="0"/>
    <x v="0"/>
    <n v="120.98"/>
    <n v="1"/>
    <n v="0"/>
    <n v="12.098000000000001"/>
  </r>
  <r>
    <s v="First Class"/>
    <x v="0"/>
    <s v="United States"/>
    <s v="Perth Amboy"/>
    <x v="30"/>
    <n v="8861"/>
    <x v="3"/>
    <x v="1"/>
    <x v="8"/>
    <n v="315.98"/>
    <n v="1"/>
    <n v="0"/>
    <n v="148.51060000000001"/>
  </r>
  <r>
    <s v="Standard Class"/>
    <x v="1"/>
    <s v="United States"/>
    <s v="New York City"/>
    <x v="15"/>
    <n v="10011"/>
    <x v="3"/>
    <x v="1"/>
    <x v="8"/>
    <n v="28.751999999999999"/>
    <n v="3"/>
    <n v="0.2"/>
    <n v="10.0632"/>
  </r>
  <r>
    <s v="Standard Class"/>
    <x v="1"/>
    <s v="United States"/>
    <s v="New York City"/>
    <x v="15"/>
    <n v="10011"/>
    <x v="3"/>
    <x v="1"/>
    <x v="6"/>
    <n v="114.95"/>
    <n v="5"/>
    <n v="0"/>
    <n v="32.186"/>
  </r>
  <r>
    <s v="Standard Class"/>
    <x v="1"/>
    <s v="United States"/>
    <s v="Los Angeles"/>
    <x v="1"/>
    <n v="90004"/>
    <x v="1"/>
    <x v="1"/>
    <x v="6"/>
    <n v="23.04"/>
    <n v="8"/>
    <n v="0"/>
    <n v="6.9119999999999999"/>
  </r>
  <r>
    <s v="Same Day"/>
    <x v="0"/>
    <s v="United States"/>
    <s v="Milford"/>
    <x v="29"/>
    <n v="6460"/>
    <x v="3"/>
    <x v="1"/>
    <x v="6"/>
    <n v="15.48"/>
    <n v="3"/>
    <n v="0"/>
    <n v="4.4892000000000003"/>
  </r>
  <r>
    <s v="Same Day"/>
    <x v="0"/>
    <s v="United States"/>
    <s v="Milford"/>
    <x v="29"/>
    <n v="6460"/>
    <x v="3"/>
    <x v="1"/>
    <x v="10"/>
    <n v="51.84"/>
    <n v="8"/>
    <n v="0"/>
    <n v="24.883199999999999"/>
  </r>
  <r>
    <s v="Standard Class"/>
    <x v="0"/>
    <s v="United States"/>
    <s v="Bloomington"/>
    <x v="10"/>
    <n v="61701"/>
    <x v="2"/>
    <x v="2"/>
    <x v="11"/>
    <n v="39.816000000000003"/>
    <n v="3"/>
    <n v="0.2"/>
    <n v="7.4654999999999996"/>
  </r>
  <r>
    <s v="Second Class"/>
    <x v="1"/>
    <s v="United States"/>
    <s v="Seattle"/>
    <x v="4"/>
    <n v="98105"/>
    <x v="1"/>
    <x v="1"/>
    <x v="4"/>
    <n v="16.059999999999999"/>
    <n v="1"/>
    <n v="0"/>
    <n v="4.1756000000000002"/>
  </r>
  <r>
    <s v="Second Class"/>
    <x v="2"/>
    <s v="United States"/>
    <s v="Burlington"/>
    <x v="23"/>
    <n v="52601"/>
    <x v="2"/>
    <x v="1"/>
    <x v="12"/>
    <n v="7.28"/>
    <n v="1"/>
    <n v="0"/>
    <n v="3.4944000000000002"/>
  </r>
  <r>
    <s v="Second Class"/>
    <x v="2"/>
    <s v="United States"/>
    <s v="Burlington"/>
    <x v="23"/>
    <n v="52601"/>
    <x v="2"/>
    <x v="1"/>
    <x v="8"/>
    <n v="5.4"/>
    <n v="3"/>
    <n v="0"/>
    <n v="2.5920000000000001"/>
  </r>
  <r>
    <s v="Standard Class"/>
    <x v="0"/>
    <s v="United States"/>
    <s v="Roseville"/>
    <x v="1"/>
    <n v="95661"/>
    <x v="1"/>
    <x v="1"/>
    <x v="10"/>
    <n v="19.440000000000001"/>
    <n v="3"/>
    <n v="0"/>
    <n v="9.3312000000000008"/>
  </r>
  <r>
    <s v="Standard Class"/>
    <x v="1"/>
    <s v="United States"/>
    <s v="San Francisco"/>
    <x v="1"/>
    <n v="94110"/>
    <x v="1"/>
    <x v="0"/>
    <x v="5"/>
    <n v="39.880000000000003"/>
    <n v="2"/>
    <n v="0"/>
    <n v="11.166399999999999"/>
  </r>
  <r>
    <s v="Standard Class"/>
    <x v="1"/>
    <s v="United States"/>
    <s v="San Francisco"/>
    <x v="1"/>
    <n v="94110"/>
    <x v="1"/>
    <x v="0"/>
    <x v="5"/>
    <n v="79.44"/>
    <n v="3"/>
    <n v="0"/>
    <n v="28.598400000000002"/>
  </r>
  <r>
    <s v="First Class"/>
    <x v="1"/>
    <s v="United States"/>
    <s v="Philadelphia"/>
    <x v="9"/>
    <n v="19120"/>
    <x v="3"/>
    <x v="1"/>
    <x v="2"/>
    <n v="20.664000000000001"/>
    <n v="7"/>
    <n v="0.2"/>
    <n v="6.9741"/>
  </r>
  <r>
    <s v="Standard Class"/>
    <x v="1"/>
    <s v="United States"/>
    <s v="Los Angeles"/>
    <x v="1"/>
    <n v="90049"/>
    <x v="1"/>
    <x v="1"/>
    <x v="10"/>
    <n v="32.4"/>
    <n v="5"/>
    <n v="0"/>
    <n v="15.552"/>
  </r>
  <r>
    <s v="Standard Class"/>
    <x v="1"/>
    <s v="United States"/>
    <s v="Odessa"/>
    <x v="5"/>
    <n v="79762"/>
    <x v="2"/>
    <x v="1"/>
    <x v="9"/>
    <n v="13.762"/>
    <n v="1"/>
    <n v="0.8"/>
    <n v="-24.771599999999999"/>
  </r>
  <r>
    <s v="First Class"/>
    <x v="2"/>
    <s v="United States"/>
    <s v="Minneapolis"/>
    <x v="11"/>
    <n v="55407"/>
    <x v="2"/>
    <x v="1"/>
    <x v="12"/>
    <n v="15.28"/>
    <n v="2"/>
    <n v="0"/>
    <n v="7.4871999999999996"/>
  </r>
  <r>
    <s v="Standard Class"/>
    <x v="0"/>
    <s v="United States"/>
    <s v="Philadelphia"/>
    <x v="9"/>
    <n v="19120"/>
    <x v="3"/>
    <x v="1"/>
    <x v="4"/>
    <n v="44.688000000000002"/>
    <n v="7"/>
    <n v="0.2"/>
    <n v="3.3515999999999999"/>
  </r>
  <r>
    <s v="Standard Class"/>
    <x v="0"/>
    <s v="United States"/>
    <s v="Philadelphia"/>
    <x v="9"/>
    <n v="19120"/>
    <x v="3"/>
    <x v="0"/>
    <x v="0"/>
    <n v="301.47000000000003"/>
    <n v="3"/>
    <n v="0.5"/>
    <n v="-204.99959999999999"/>
  </r>
  <r>
    <s v="First Class"/>
    <x v="0"/>
    <s v="United States"/>
    <s v="Lafayette"/>
    <x v="28"/>
    <n v="70506"/>
    <x v="0"/>
    <x v="1"/>
    <x v="2"/>
    <n v="11.07"/>
    <n v="3"/>
    <n v="0"/>
    <n v="5.2028999999999996"/>
  </r>
  <r>
    <s v="First Class"/>
    <x v="0"/>
    <s v="United States"/>
    <s v="Lafayette"/>
    <x v="28"/>
    <n v="70506"/>
    <x v="0"/>
    <x v="0"/>
    <x v="3"/>
    <n v="1504.52"/>
    <n v="4"/>
    <n v="0"/>
    <n v="346.03960000000001"/>
  </r>
  <r>
    <s v="First Class"/>
    <x v="0"/>
    <s v="United States"/>
    <s v="Lafayette"/>
    <x v="28"/>
    <n v="70506"/>
    <x v="0"/>
    <x v="1"/>
    <x v="10"/>
    <n v="25.92"/>
    <n v="4"/>
    <n v="0"/>
    <n v="12.441599999999999"/>
  </r>
  <r>
    <s v="Same Day"/>
    <x v="2"/>
    <s v="United States"/>
    <s v="Bryan"/>
    <x v="5"/>
    <n v="77803"/>
    <x v="2"/>
    <x v="1"/>
    <x v="8"/>
    <n v="7.5359999999999996"/>
    <n v="6"/>
    <n v="0.8"/>
    <n v="-13.188000000000001"/>
  </r>
  <r>
    <s v="Same Day"/>
    <x v="2"/>
    <s v="United States"/>
    <s v="Bryan"/>
    <x v="5"/>
    <n v="77803"/>
    <x v="2"/>
    <x v="1"/>
    <x v="8"/>
    <n v="1.4079999999999999"/>
    <n v="2"/>
    <n v="0.8"/>
    <n v="-2.3231999999999999"/>
  </r>
  <r>
    <s v="Same Day"/>
    <x v="2"/>
    <s v="United States"/>
    <s v="Bryan"/>
    <x v="5"/>
    <n v="77803"/>
    <x v="2"/>
    <x v="1"/>
    <x v="8"/>
    <n v="4.1440000000000001"/>
    <n v="4"/>
    <n v="0.8"/>
    <n v="-6.4231999999999996"/>
  </r>
  <r>
    <s v="Same Day"/>
    <x v="2"/>
    <s v="United States"/>
    <s v="Bryan"/>
    <x v="5"/>
    <n v="77803"/>
    <x v="2"/>
    <x v="1"/>
    <x v="4"/>
    <n v="52.752000000000002"/>
    <n v="3"/>
    <n v="0.2"/>
    <n v="-12.528600000000001"/>
  </r>
  <r>
    <s v="Standard Class"/>
    <x v="1"/>
    <s v="United States"/>
    <s v="Los Angeles"/>
    <x v="1"/>
    <n v="90008"/>
    <x v="1"/>
    <x v="1"/>
    <x v="9"/>
    <n v="381.36"/>
    <n v="7"/>
    <n v="0"/>
    <n v="106.7808"/>
  </r>
  <r>
    <s v="Same Day"/>
    <x v="2"/>
    <s v="United States"/>
    <s v="Los Angeles"/>
    <x v="1"/>
    <n v="90049"/>
    <x v="1"/>
    <x v="1"/>
    <x v="6"/>
    <n v="6.72"/>
    <n v="4"/>
    <n v="0"/>
    <n v="3.36"/>
  </r>
  <r>
    <s v="First Class"/>
    <x v="0"/>
    <s v="United States"/>
    <s v="Los Angeles"/>
    <x v="1"/>
    <n v="90045"/>
    <x v="1"/>
    <x v="1"/>
    <x v="8"/>
    <n v="15.192"/>
    <n v="3"/>
    <n v="0.2"/>
    <n v="5.5071000000000003"/>
  </r>
  <r>
    <s v="First Class"/>
    <x v="0"/>
    <s v="United States"/>
    <s v="Los Angeles"/>
    <x v="1"/>
    <n v="90045"/>
    <x v="1"/>
    <x v="1"/>
    <x v="10"/>
    <n v="58.32"/>
    <n v="9"/>
    <n v="0"/>
    <n v="27.993600000000001"/>
  </r>
  <r>
    <s v="Standard Class"/>
    <x v="0"/>
    <s v="United States"/>
    <s v="Phoenix"/>
    <x v="16"/>
    <n v="85023"/>
    <x v="1"/>
    <x v="1"/>
    <x v="8"/>
    <n v="946.76400000000001"/>
    <n v="6"/>
    <n v="0.7"/>
    <n v="-694.29359999999997"/>
  </r>
  <r>
    <s v="Standard Class"/>
    <x v="0"/>
    <s v="United States"/>
    <s v="Los Angeles"/>
    <x v="1"/>
    <n v="90036"/>
    <x v="1"/>
    <x v="0"/>
    <x v="5"/>
    <n v="94.68"/>
    <n v="9"/>
    <n v="0"/>
    <n v="31.244399999999999"/>
  </r>
  <r>
    <s v="Standard Class"/>
    <x v="0"/>
    <s v="United States"/>
    <s v="Los Angeles"/>
    <x v="1"/>
    <n v="90036"/>
    <x v="1"/>
    <x v="1"/>
    <x v="4"/>
    <n v="23.67"/>
    <n v="3"/>
    <n v="0"/>
    <n v="0.94679999999999997"/>
  </r>
  <r>
    <s v="Standard Class"/>
    <x v="0"/>
    <s v="United States"/>
    <s v="Los Angeles"/>
    <x v="1"/>
    <n v="90036"/>
    <x v="1"/>
    <x v="2"/>
    <x v="7"/>
    <n v="1091.1679999999999"/>
    <n v="4"/>
    <n v="0.2"/>
    <n v="68.197999999999993"/>
  </r>
  <r>
    <s v="Standard Class"/>
    <x v="0"/>
    <s v="United States"/>
    <s v="Los Angeles"/>
    <x v="1"/>
    <n v="90036"/>
    <x v="1"/>
    <x v="1"/>
    <x v="6"/>
    <n v="18.690000000000001"/>
    <n v="7"/>
    <n v="0"/>
    <n v="5.2332000000000001"/>
  </r>
  <r>
    <s v="Standard Class"/>
    <x v="0"/>
    <s v="United States"/>
    <s v="Los Angeles"/>
    <x v="1"/>
    <n v="90036"/>
    <x v="1"/>
    <x v="0"/>
    <x v="3"/>
    <n v="568.72799999999995"/>
    <n v="3"/>
    <n v="0.2"/>
    <n v="28.436399999999999"/>
  </r>
  <r>
    <s v="Standard Class"/>
    <x v="0"/>
    <s v="United States"/>
    <s v="Los Angeles"/>
    <x v="1"/>
    <n v="90036"/>
    <x v="1"/>
    <x v="1"/>
    <x v="8"/>
    <n v="7.3120000000000003"/>
    <n v="1"/>
    <n v="0.2"/>
    <n v="2.5592000000000001"/>
  </r>
  <r>
    <s v="First Class"/>
    <x v="0"/>
    <s v="United States"/>
    <s v="Columbus"/>
    <x v="24"/>
    <n v="43229"/>
    <x v="3"/>
    <x v="0"/>
    <x v="5"/>
    <n v="147.56800000000001"/>
    <n v="2"/>
    <n v="0.2"/>
    <n v="-3.6892"/>
  </r>
  <r>
    <s v="Standard Class"/>
    <x v="1"/>
    <s v="United States"/>
    <s v="Tallahassee"/>
    <x v="2"/>
    <n v="32303"/>
    <x v="0"/>
    <x v="1"/>
    <x v="10"/>
    <n v="56.783999999999999"/>
    <n v="7"/>
    <n v="0.2"/>
    <n v="20.584199999999999"/>
  </r>
  <r>
    <s v="Standard Class"/>
    <x v="1"/>
    <s v="United States"/>
    <s v="Tallahassee"/>
    <x v="2"/>
    <n v="32303"/>
    <x v="0"/>
    <x v="1"/>
    <x v="8"/>
    <n v="5.6070000000000002"/>
    <n v="3"/>
    <n v="0.7"/>
    <n v="-3.9249000000000001"/>
  </r>
  <r>
    <s v="Standard Class"/>
    <x v="1"/>
    <s v="United States"/>
    <s v="Tallahassee"/>
    <x v="2"/>
    <n v="32303"/>
    <x v="0"/>
    <x v="1"/>
    <x v="6"/>
    <n v="6.5759999999999996"/>
    <n v="3"/>
    <n v="0.2"/>
    <n v="0.57540000000000002"/>
  </r>
  <r>
    <s v="Standard Class"/>
    <x v="2"/>
    <s v="United States"/>
    <s v="San Francisco"/>
    <x v="1"/>
    <n v="94122"/>
    <x v="1"/>
    <x v="1"/>
    <x v="8"/>
    <n v="14.304"/>
    <n v="6"/>
    <n v="0.2"/>
    <n v="4.6487999999999996"/>
  </r>
  <r>
    <s v="Standard Class"/>
    <x v="2"/>
    <s v="United States"/>
    <s v="San Francisco"/>
    <x v="1"/>
    <n v="94122"/>
    <x v="1"/>
    <x v="0"/>
    <x v="0"/>
    <n v="119.833"/>
    <n v="1"/>
    <n v="0.15"/>
    <n v="7.0490000000000004"/>
  </r>
  <r>
    <s v="Standard Class"/>
    <x v="2"/>
    <s v="United States"/>
    <s v="San Francisco"/>
    <x v="1"/>
    <n v="94122"/>
    <x v="1"/>
    <x v="1"/>
    <x v="6"/>
    <n v="5.56"/>
    <n v="2"/>
    <n v="0"/>
    <n v="2.2240000000000002"/>
  </r>
  <r>
    <s v="Standard Class"/>
    <x v="2"/>
    <s v="United States"/>
    <s v="San Francisco"/>
    <x v="1"/>
    <n v="94122"/>
    <x v="1"/>
    <x v="1"/>
    <x v="10"/>
    <n v="32.4"/>
    <n v="5"/>
    <n v="0"/>
    <n v="15.552"/>
  </r>
  <r>
    <s v="Standard Class"/>
    <x v="2"/>
    <s v="United States"/>
    <s v="San Francisco"/>
    <x v="1"/>
    <n v="94109"/>
    <x v="1"/>
    <x v="1"/>
    <x v="6"/>
    <n v="9.84"/>
    <n v="3"/>
    <n v="0"/>
    <n v="2.8536000000000001"/>
  </r>
  <r>
    <s v="Standard Class"/>
    <x v="2"/>
    <s v="United States"/>
    <s v="San Francisco"/>
    <x v="1"/>
    <n v="94109"/>
    <x v="1"/>
    <x v="1"/>
    <x v="6"/>
    <n v="2.78"/>
    <n v="1"/>
    <n v="0"/>
    <n v="0.7228"/>
  </r>
  <r>
    <s v="Standard Class"/>
    <x v="0"/>
    <s v="United States"/>
    <s v="New York City"/>
    <x v="15"/>
    <n v="10009"/>
    <x v="3"/>
    <x v="1"/>
    <x v="8"/>
    <n v="3.64"/>
    <n v="1"/>
    <n v="0.2"/>
    <n v="1.365"/>
  </r>
  <r>
    <s v="Standard Class"/>
    <x v="0"/>
    <s v="United States"/>
    <s v="New York City"/>
    <x v="15"/>
    <n v="10009"/>
    <x v="3"/>
    <x v="2"/>
    <x v="7"/>
    <n v="881.93"/>
    <n v="7"/>
    <n v="0"/>
    <n v="220.48249999999999"/>
  </r>
  <r>
    <s v="Standard Class"/>
    <x v="1"/>
    <s v="United States"/>
    <s v="Marion"/>
    <x v="23"/>
    <n v="52302"/>
    <x v="2"/>
    <x v="1"/>
    <x v="8"/>
    <n v="115.84"/>
    <n v="8"/>
    <n v="0"/>
    <n v="54.444800000000001"/>
  </r>
  <r>
    <s v="Standard Class"/>
    <x v="1"/>
    <s v="United States"/>
    <s v="Los Angeles"/>
    <x v="1"/>
    <n v="90008"/>
    <x v="1"/>
    <x v="1"/>
    <x v="8"/>
    <n v="107.648"/>
    <n v="2"/>
    <n v="0.2"/>
    <n v="33.64"/>
  </r>
  <r>
    <s v="Second Class"/>
    <x v="0"/>
    <s v="United States"/>
    <s v="Pine Bluff"/>
    <x v="36"/>
    <n v="71603"/>
    <x v="0"/>
    <x v="2"/>
    <x v="11"/>
    <n v="199.95"/>
    <n v="5"/>
    <n v="0"/>
    <n v="63.984000000000002"/>
  </r>
  <r>
    <s v="Second Class"/>
    <x v="0"/>
    <s v="United States"/>
    <s v="Pine Bluff"/>
    <x v="36"/>
    <n v="71603"/>
    <x v="0"/>
    <x v="1"/>
    <x v="10"/>
    <n v="12.96"/>
    <n v="2"/>
    <n v="0"/>
    <n v="6.2207999999999997"/>
  </r>
  <r>
    <s v="Second Class"/>
    <x v="0"/>
    <s v="United States"/>
    <s v="Columbia"/>
    <x v="25"/>
    <n v="65203"/>
    <x v="2"/>
    <x v="0"/>
    <x v="1"/>
    <n v="60.89"/>
    <n v="1"/>
    <n v="0"/>
    <n v="15.2225"/>
  </r>
  <r>
    <s v="Second Class"/>
    <x v="0"/>
    <s v="United States"/>
    <s v="Columbia"/>
    <x v="25"/>
    <n v="65203"/>
    <x v="2"/>
    <x v="1"/>
    <x v="2"/>
    <n v="14.94"/>
    <n v="3"/>
    <n v="0"/>
    <n v="6.8723999999999998"/>
  </r>
  <r>
    <s v="Second Class"/>
    <x v="0"/>
    <s v="United States"/>
    <s v="Columbia"/>
    <x v="25"/>
    <n v="65203"/>
    <x v="2"/>
    <x v="1"/>
    <x v="8"/>
    <n v="9.64"/>
    <n v="2"/>
    <n v="0"/>
    <n v="4.4344000000000001"/>
  </r>
  <r>
    <s v="Second Class"/>
    <x v="0"/>
    <s v="United States"/>
    <s v="Columbia"/>
    <x v="25"/>
    <n v="65203"/>
    <x v="2"/>
    <x v="0"/>
    <x v="5"/>
    <n v="332.94"/>
    <n v="3"/>
    <n v="0"/>
    <n v="53.270400000000002"/>
  </r>
  <r>
    <s v="Second Class"/>
    <x v="0"/>
    <s v="United States"/>
    <s v="Columbia"/>
    <x v="25"/>
    <n v="65203"/>
    <x v="2"/>
    <x v="1"/>
    <x v="8"/>
    <n v="51.9"/>
    <n v="3"/>
    <n v="0"/>
    <n v="24.393000000000001"/>
  </r>
  <r>
    <s v="Second Class"/>
    <x v="0"/>
    <s v="United States"/>
    <s v="Columbia"/>
    <x v="25"/>
    <n v="65203"/>
    <x v="2"/>
    <x v="1"/>
    <x v="4"/>
    <n v="64.959999999999994"/>
    <n v="2"/>
    <n v="0"/>
    <n v="2.5983999999999998"/>
  </r>
  <r>
    <s v="Second Class"/>
    <x v="0"/>
    <s v="United States"/>
    <s v="Aberdeen"/>
    <x v="44"/>
    <n v="57401"/>
    <x v="2"/>
    <x v="1"/>
    <x v="14"/>
    <n v="25.5"/>
    <n v="3"/>
    <n v="0"/>
    <n v="6.63"/>
  </r>
  <r>
    <s v="Same Day"/>
    <x v="2"/>
    <s v="United States"/>
    <s v="Seattle"/>
    <x v="4"/>
    <n v="98103"/>
    <x v="1"/>
    <x v="0"/>
    <x v="1"/>
    <n v="215.976"/>
    <n v="3"/>
    <n v="0.2"/>
    <n v="-2.6997"/>
  </r>
  <r>
    <s v="Standard Class"/>
    <x v="0"/>
    <s v="United States"/>
    <s v="Detroit"/>
    <x v="12"/>
    <n v="48227"/>
    <x v="2"/>
    <x v="0"/>
    <x v="1"/>
    <n v="389.97"/>
    <n v="3"/>
    <n v="0"/>
    <n v="35.097299999999997"/>
  </r>
  <r>
    <s v="Standard Class"/>
    <x v="0"/>
    <s v="United States"/>
    <s v="Detroit"/>
    <x v="12"/>
    <n v="48227"/>
    <x v="2"/>
    <x v="1"/>
    <x v="9"/>
    <n v="269.91000000000003"/>
    <n v="5"/>
    <n v="0.1"/>
    <n v="53.981999999999999"/>
  </r>
  <r>
    <s v="Standard Class"/>
    <x v="1"/>
    <s v="United States"/>
    <s v="Memphis"/>
    <x v="18"/>
    <n v="38109"/>
    <x v="0"/>
    <x v="1"/>
    <x v="8"/>
    <n v="11.673"/>
    <n v="3"/>
    <n v="0.7"/>
    <n v="-7.782"/>
  </r>
  <r>
    <s v="Standard Class"/>
    <x v="1"/>
    <s v="United States"/>
    <s v="Memphis"/>
    <x v="18"/>
    <n v="38109"/>
    <x v="0"/>
    <x v="1"/>
    <x v="12"/>
    <n v="64.847999999999999"/>
    <n v="7"/>
    <n v="0.2"/>
    <n v="24.318000000000001"/>
  </r>
  <r>
    <s v="First Class"/>
    <x v="2"/>
    <s v="United States"/>
    <s v="North Las Vegas"/>
    <x v="33"/>
    <n v="89031"/>
    <x v="1"/>
    <x v="0"/>
    <x v="5"/>
    <n v="14.56"/>
    <n v="2"/>
    <n v="0"/>
    <n v="5.5327999999999999"/>
  </r>
  <r>
    <s v="Same Day"/>
    <x v="0"/>
    <s v="United States"/>
    <s v="Freeport"/>
    <x v="15"/>
    <n v="11520"/>
    <x v="3"/>
    <x v="0"/>
    <x v="1"/>
    <n v="102.58199999999999"/>
    <n v="1"/>
    <n v="0.1"/>
    <n v="6.8388"/>
  </r>
  <r>
    <s v="Same Day"/>
    <x v="0"/>
    <s v="United States"/>
    <s v="Freeport"/>
    <x v="15"/>
    <n v="11520"/>
    <x v="3"/>
    <x v="1"/>
    <x v="10"/>
    <n v="20.04"/>
    <n v="3"/>
    <n v="0"/>
    <n v="9.6191999999999993"/>
  </r>
  <r>
    <s v="Standard Class"/>
    <x v="0"/>
    <s v="United States"/>
    <s v="New York City"/>
    <x v="15"/>
    <n v="10035"/>
    <x v="3"/>
    <x v="1"/>
    <x v="8"/>
    <n v="32.088000000000001"/>
    <n v="7"/>
    <n v="0.2"/>
    <n v="11.2308"/>
  </r>
  <r>
    <s v="Standard Class"/>
    <x v="0"/>
    <s v="United States"/>
    <s v="New York City"/>
    <x v="15"/>
    <n v="10035"/>
    <x v="3"/>
    <x v="1"/>
    <x v="8"/>
    <n v="4305.5519999999997"/>
    <n v="6"/>
    <n v="0.2"/>
    <n v="1453.1238000000001"/>
  </r>
  <r>
    <s v="Standard Class"/>
    <x v="1"/>
    <s v="United States"/>
    <s v="New York City"/>
    <x v="15"/>
    <n v="10024"/>
    <x v="3"/>
    <x v="0"/>
    <x v="5"/>
    <n v="10.02"/>
    <n v="3"/>
    <n v="0"/>
    <n v="4.4088000000000003"/>
  </r>
  <r>
    <s v="Standard Class"/>
    <x v="1"/>
    <s v="United States"/>
    <s v="New York City"/>
    <x v="15"/>
    <n v="10024"/>
    <x v="3"/>
    <x v="2"/>
    <x v="7"/>
    <n v="631.96"/>
    <n v="4"/>
    <n v="0"/>
    <n v="303.3408"/>
  </r>
  <r>
    <s v="Standard Class"/>
    <x v="0"/>
    <s v="United States"/>
    <s v="Henderson"/>
    <x v="0"/>
    <n v="42420"/>
    <x v="0"/>
    <x v="1"/>
    <x v="8"/>
    <n v="1577.94"/>
    <n v="3"/>
    <n v="0"/>
    <n v="757.41120000000001"/>
  </r>
  <r>
    <s v="Same Day"/>
    <x v="1"/>
    <s v="United States"/>
    <s v="Albuquerque"/>
    <x v="27"/>
    <n v="87105"/>
    <x v="1"/>
    <x v="1"/>
    <x v="6"/>
    <n v="255.85"/>
    <n v="7"/>
    <n v="0"/>
    <n v="112.574"/>
  </r>
  <r>
    <s v="Second Class"/>
    <x v="1"/>
    <s v="United States"/>
    <s v="Delray Beach"/>
    <x v="2"/>
    <n v="33445"/>
    <x v="0"/>
    <x v="1"/>
    <x v="4"/>
    <n v="184.70400000000001"/>
    <n v="6"/>
    <n v="0.2"/>
    <n v="13.8528"/>
  </r>
  <r>
    <s v="Second Class"/>
    <x v="1"/>
    <s v="United States"/>
    <s v="Delray Beach"/>
    <x v="2"/>
    <n v="33445"/>
    <x v="0"/>
    <x v="2"/>
    <x v="11"/>
    <n v="47.92"/>
    <n v="2"/>
    <n v="0.2"/>
    <n v="11.98"/>
  </r>
  <r>
    <s v="Standard Class"/>
    <x v="0"/>
    <s v="United States"/>
    <s v="Philadelphia"/>
    <x v="9"/>
    <n v="19140"/>
    <x v="3"/>
    <x v="1"/>
    <x v="2"/>
    <n v="15.936"/>
    <n v="4"/>
    <n v="0.2"/>
    <n v="5.1791999999999998"/>
  </r>
  <r>
    <s v="Standard Class"/>
    <x v="0"/>
    <s v="United States"/>
    <s v="Philadelphia"/>
    <x v="9"/>
    <n v="19140"/>
    <x v="3"/>
    <x v="1"/>
    <x v="8"/>
    <n v="8.0009999999999994"/>
    <n v="7"/>
    <n v="0.7"/>
    <n v="-5.6006999999999998"/>
  </r>
  <r>
    <s v="Standard Class"/>
    <x v="0"/>
    <s v="United States"/>
    <s v="Philadelphia"/>
    <x v="9"/>
    <n v="19140"/>
    <x v="3"/>
    <x v="0"/>
    <x v="1"/>
    <n v="398.97199999999998"/>
    <n v="2"/>
    <n v="0.3"/>
    <n v="-28.498000000000001"/>
  </r>
  <r>
    <s v="Standard Class"/>
    <x v="2"/>
    <s v="United States"/>
    <s v="Seattle"/>
    <x v="4"/>
    <n v="98105"/>
    <x v="1"/>
    <x v="0"/>
    <x v="0"/>
    <n v="163.88"/>
    <n v="2"/>
    <n v="0"/>
    <n v="40.97"/>
  </r>
  <r>
    <s v="Standard Class"/>
    <x v="0"/>
    <s v="United States"/>
    <s v="Richmond"/>
    <x v="17"/>
    <n v="23223"/>
    <x v="0"/>
    <x v="1"/>
    <x v="9"/>
    <n v="67.900000000000006"/>
    <n v="5"/>
    <n v="0"/>
    <n v="20.37"/>
  </r>
  <r>
    <s v="Standard Class"/>
    <x v="0"/>
    <s v="United States"/>
    <s v="West Palm Beach"/>
    <x v="2"/>
    <n v="33407"/>
    <x v="0"/>
    <x v="1"/>
    <x v="10"/>
    <n v="72.224000000000004"/>
    <n v="4"/>
    <n v="0.2"/>
    <n v="25.278400000000001"/>
  </r>
  <r>
    <s v="Second Class"/>
    <x v="0"/>
    <s v="United States"/>
    <s v="Fort Collins"/>
    <x v="22"/>
    <n v="80525"/>
    <x v="1"/>
    <x v="1"/>
    <x v="2"/>
    <n v="11.696"/>
    <n v="2"/>
    <n v="0.2"/>
    <n v="3.9474"/>
  </r>
  <r>
    <s v="Standard Class"/>
    <x v="1"/>
    <s v="United States"/>
    <s v="Franklin"/>
    <x v="6"/>
    <n v="53132"/>
    <x v="2"/>
    <x v="0"/>
    <x v="1"/>
    <n v="392.94"/>
    <n v="3"/>
    <n v="0"/>
    <n v="43.223399999999998"/>
  </r>
  <r>
    <s v="First Class"/>
    <x v="0"/>
    <s v="United States"/>
    <s v="Monroe"/>
    <x v="3"/>
    <n v="28110"/>
    <x v="0"/>
    <x v="0"/>
    <x v="5"/>
    <n v="18.175999999999998"/>
    <n v="1"/>
    <n v="0.2"/>
    <n v="4.7712000000000003"/>
  </r>
  <r>
    <s v="Standard Class"/>
    <x v="2"/>
    <s v="United States"/>
    <s v="Dallas"/>
    <x v="5"/>
    <n v="75081"/>
    <x v="2"/>
    <x v="1"/>
    <x v="8"/>
    <n v="6.8879999999999999"/>
    <n v="3"/>
    <n v="0.8"/>
    <n v="-11.020799999999999"/>
  </r>
  <r>
    <s v="Standard Class"/>
    <x v="2"/>
    <s v="United States"/>
    <s v="Dallas"/>
    <x v="5"/>
    <n v="75081"/>
    <x v="2"/>
    <x v="0"/>
    <x v="3"/>
    <n v="457.48500000000001"/>
    <n v="3"/>
    <n v="0.3"/>
    <n v="-84.961500000000001"/>
  </r>
  <r>
    <s v="First Class"/>
    <x v="0"/>
    <s v="United States"/>
    <s v="Philadelphia"/>
    <x v="9"/>
    <n v="19134"/>
    <x v="3"/>
    <x v="0"/>
    <x v="1"/>
    <n v="1079.316"/>
    <n v="6"/>
    <n v="0.3"/>
    <n v="-15.418799999999999"/>
  </r>
  <r>
    <s v="Second Class"/>
    <x v="2"/>
    <s v="United States"/>
    <s v="San Francisco"/>
    <x v="1"/>
    <n v="94109"/>
    <x v="1"/>
    <x v="1"/>
    <x v="10"/>
    <n v="48.91"/>
    <n v="1"/>
    <n v="0"/>
    <n v="22.9877"/>
  </r>
  <r>
    <s v="First Class"/>
    <x v="0"/>
    <s v="United States"/>
    <s v="Dover"/>
    <x v="13"/>
    <n v="19901"/>
    <x v="3"/>
    <x v="1"/>
    <x v="6"/>
    <n v="9.84"/>
    <n v="3"/>
    <n v="0"/>
    <n v="2.8536000000000001"/>
  </r>
  <r>
    <s v="First Class"/>
    <x v="0"/>
    <s v="United States"/>
    <s v="Dover"/>
    <x v="13"/>
    <n v="19901"/>
    <x v="3"/>
    <x v="1"/>
    <x v="8"/>
    <n v="34.5"/>
    <n v="3"/>
    <n v="0"/>
    <n v="15.525"/>
  </r>
  <r>
    <s v="Same Day"/>
    <x v="1"/>
    <s v="United States"/>
    <s v="Waco"/>
    <x v="5"/>
    <n v="76706"/>
    <x v="2"/>
    <x v="1"/>
    <x v="8"/>
    <n v="0.55600000000000005"/>
    <n v="1"/>
    <n v="0.8"/>
    <n v="-0.94520000000000004"/>
  </r>
  <r>
    <s v="Second Class"/>
    <x v="0"/>
    <s v="United States"/>
    <s v="Hagerstown"/>
    <x v="39"/>
    <n v="21740"/>
    <x v="3"/>
    <x v="1"/>
    <x v="8"/>
    <n v="43.8"/>
    <n v="6"/>
    <n v="0"/>
    <n v="20.585999999999999"/>
  </r>
  <r>
    <s v="Standard Class"/>
    <x v="1"/>
    <s v="United States"/>
    <s v="Cleveland"/>
    <x v="24"/>
    <n v="44105"/>
    <x v="3"/>
    <x v="1"/>
    <x v="10"/>
    <n v="13.872"/>
    <n v="3"/>
    <n v="0.2"/>
    <n v="5.0286"/>
  </r>
  <r>
    <s v="Standard Class"/>
    <x v="1"/>
    <s v="United States"/>
    <s v="Cleveland"/>
    <x v="24"/>
    <n v="44105"/>
    <x v="3"/>
    <x v="0"/>
    <x v="0"/>
    <n v="115.96"/>
    <n v="4"/>
    <n v="0.5"/>
    <n v="-64.937600000000003"/>
  </r>
  <r>
    <s v="Second Class"/>
    <x v="1"/>
    <s v="United States"/>
    <s v="Mcallen"/>
    <x v="5"/>
    <n v="78501"/>
    <x v="2"/>
    <x v="2"/>
    <x v="11"/>
    <n v="41.423999999999999"/>
    <n v="2"/>
    <n v="0.2"/>
    <n v="8.2848000000000006"/>
  </r>
  <r>
    <s v="Second Class"/>
    <x v="1"/>
    <s v="United States"/>
    <s v="Mcallen"/>
    <x v="5"/>
    <n v="78501"/>
    <x v="2"/>
    <x v="2"/>
    <x v="7"/>
    <n v="244.768"/>
    <n v="4"/>
    <n v="0.2"/>
    <n v="24.476800000000001"/>
  </r>
  <r>
    <s v="Second Class"/>
    <x v="1"/>
    <s v="United States"/>
    <s v="Mcallen"/>
    <x v="5"/>
    <n v="78501"/>
    <x v="2"/>
    <x v="1"/>
    <x v="6"/>
    <n v="74.352000000000004"/>
    <n v="3"/>
    <n v="0.2"/>
    <n v="6.5057999999999998"/>
  </r>
  <r>
    <s v="Second Class"/>
    <x v="1"/>
    <s v="United States"/>
    <s v="Mcallen"/>
    <x v="5"/>
    <n v="78501"/>
    <x v="2"/>
    <x v="1"/>
    <x v="8"/>
    <n v="4.3120000000000003"/>
    <n v="2"/>
    <n v="0.8"/>
    <n v="-6.8992000000000004"/>
  </r>
  <r>
    <s v="Second Class"/>
    <x v="1"/>
    <s v="United States"/>
    <s v="Mcallen"/>
    <x v="5"/>
    <n v="78501"/>
    <x v="2"/>
    <x v="0"/>
    <x v="1"/>
    <n v="56.686"/>
    <n v="1"/>
    <n v="0.3"/>
    <n v="-20.245000000000001"/>
  </r>
  <r>
    <s v="Second Class"/>
    <x v="1"/>
    <s v="United States"/>
    <s v="Mcallen"/>
    <x v="5"/>
    <n v="78501"/>
    <x v="2"/>
    <x v="2"/>
    <x v="7"/>
    <n v="97.968000000000004"/>
    <n v="2"/>
    <n v="0.2"/>
    <n v="6.1230000000000002"/>
  </r>
  <r>
    <s v="Second Class"/>
    <x v="1"/>
    <s v="United States"/>
    <s v="Mcallen"/>
    <x v="5"/>
    <n v="78501"/>
    <x v="2"/>
    <x v="1"/>
    <x v="6"/>
    <n v="7.8719999999999999"/>
    <n v="3"/>
    <n v="0.2"/>
    <n v="0.88560000000000005"/>
  </r>
  <r>
    <s v="Second Class"/>
    <x v="1"/>
    <s v="United States"/>
    <s v="Mcallen"/>
    <x v="5"/>
    <n v="78501"/>
    <x v="2"/>
    <x v="1"/>
    <x v="10"/>
    <n v="15.552"/>
    <n v="3"/>
    <n v="0.2"/>
    <n v="5.4432"/>
  </r>
  <r>
    <s v="Second Class"/>
    <x v="1"/>
    <s v="United States"/>
    <s v="Mcallen"/>
    <x v="5"/>
    <n v="78501"/>
    <x v="2"/>
    <x v="1"/>
    <x v="8"/>
    <n v="1.476"/>
    <n v="1"/>
    <n v="0.8"/>
    <n v="-2.2877999999999998"/>
  </r>
  <r>
    <s v="Standard Class"/>
    <x v="2"/>
    <s v="United States"/>
    <s v="Santa Fe"/>
    <x v="27"/>
    <n v="87505"/>
    <x v="1"/>
    <x v="1"/>
    <x v="6"/>
    <n v="8.4"/>
    <n v="5"/>
    <n v="0"/>
    <n v="2.1840000000000002"/>
  </r>
  <r>
    <s v="Standard Class"/>
    <x v="0"/>
    <s v="United States"/>
    <s v="San Francisco"/>
    <x v="1"/>
    <n v="94110"/>
    <x v="1"/>
    <x v="1"/>
    <x v="6"/>
    <n v="6.56"/>
    <n v="2"/>
    <n v="0"/>
    <n v="1.9024000000000001"/>
  </r>
  <r>
    <s v="Standard Class"/>
    <x v="0"/>
    <s v="United States"/>
    <s v="San Francisco"/>
    <x v="1"/>
    <n v="94110"/>
    <x v="1"/>
    <x v="1"/>
    <x v="6"/>
    <n v="14.88"/>
    <n v="2"/>
    <n v="0"/>
    <n v="3.72"/>
  </r>
  <r>
    <s v="Standard Class"/>
    <x v="0"/>
    <s v="United States"/>
    <s v="San Francisco"/>
    <x v="1"/>
    <n v="94110"/>
    <x v="1"/>
    <x v="2"/>
    <x v="11"/>
    <n v="45.48"/>
    <n v="4"/>
    <n v="0"/>
    <n v="15.917999999999999"/>
  </r>
  <r>
    <s v="Standard Class"/>
    <x v="0"/>
    <s v="United States"/>
    <s v="San Francisco"/>
    <x v="1"/>
    <n v="94110"/>
    <x v="1"/>
    <x v="1"/>
    <x v="6"/>
    <n v="25.44"/>
    <n v="6"/>
    <n v="0"/>
    <n v="9.9215999999999998"/>
  </r>
  <r>
    <s v="Standard Class"/>
    <x v="1"/>
    <s v="United States"/>
    <s v="New York City"/>
    <x v="15"/>
    <n v="10024"/>
    <x v="3"/>
    <x v="1"/>
    <x v="8"/>
    <n v="146.68799999999999"/>
    <n v="8"/>
    <n v="0.2"/>
    <n v="45.84"/>
  </r>
  <r>
    <s v="Standard Class"/>
    <x v="0"/>
    <s v="United States"/>
    <s v="Dallas"/>
    <x v="5"/>
    <n v="75220"/>
    <x v="2"/>
    <x v="1"/>
    <x v="2"/>
    <n v="4.9279999999999999"/>
    <n v="2"/>
    <n v="0.2"/>
    <n v="1.7248000000000001"/>
  </r>
  <r>
    <s v="Standard Class"/>
    <x v="0"/>
    <s v="United States"/>
    <s v="Dallas"/>
    <x v="5"/>
    <n v="75220"/>
    <x v="2"/>
    <x v="1"/>
    <x v="6"/>
    <n v="63.488"/>
    <n v="4"/>
    <n v="0.2"/>
    <n v="4.7615999999999996"/>
  </r>
  <r>
    <s v="Same Day"/>
    <x v="1"/>
    <s v="United States"/>
    <s v="Detroit"/>
    <x v="12"/>
    <n v="48234"/>
    <x v="2"/>
    <x v="1"/>
    <x v="4"/>
    <n v="418.32"/>
    <n v="7"/>
    <n v="0"/>
    <n v="117.1296"/>
  </r>
  <r>
    <s v="Same Day"/>
    <x v="1"/>
    <s v="United States"/>
    <s v="Detroit"/>
    <x v="12"/>
    <n v="48234"/>
    <x v="2"/>
    <x v="1"/>
    <x v="9"/>
    <n v="123.858"/>
    <n v="2"/>
    <n v="0.1"/>
    <n v="46.790799999999997"/>
  </r>
  <r>
    <s v="Standard Class"/>
    <x v="0"/>
    <s v="United States"/>
    <s v="Philadelphia"/>
    <x v="9"/>
    <n v="19140"/>
    <x v="3"/>
    <x v="2"/>
    <x v="7"/>
    <n v="118.782"/>
    <n v="3"/>
    <n v="0.4"/>
    <n v="-27.715800000000002"/>
  </r>
  <r>
    <s v="Standard Class"/>
    <x v="0"/>
    <s v="United States"/>
    <s v="Philadelphia"/>
    <x v="9"/>
    <n v="19140"/>
    <x v="3"/>
    <x v="1"/>
    <x v="14"/>
    <n v="769.18399999999997"/>
    <n v="4"/>
    <n v="0.2"/>
    <n v="-163.45160000000001"/>
  </r>
  <r>
    <s v="Standard Class"/>
    <x v="0"/>
    <s v="United States"/>
    <s v="Carrollton"/>
    <x v="5"/>
    <n v="75007"/>
    <x v="2"/>
    <x v="2"/>
    <x v="11"/>
    <n v="47.904000000000003"/>
    <n v="1"/>
    <n v="0.2"/>
    <n v="-2.9940000000000002"/>
  </r>
  <r>
    <s v="Standard Class"/>
    <x v="1"/>
    <s v="United States"/>
    <s v="New York City"/>
    <x v="15"/>
    <n v="10009"/>
    <x v="3"/>
    <x v="1"/>
    <x v="10"/>
    <n v="13.36"/>
    <n v="2"/>
    <n v="0"/>
    <n v="6.4127999999999998"/>
  </r>
  <r>
    <s v="Standard Class"/>
    <x v="1"/>
    <s v="United States"/>
    <s v="New York City"/>
    <x v="15"/>
    <n v="10009"/>
    <x v="3"/>
    <x v="0"/>
    <x v="1"/>
    <n v="163.76400000000001"/>
    <n v="2"/>
    <n v="0.1"/>
    <n v="25.474399999999999"/>
  </r>
  <r>
    <s v="Standard Class"/>
    <x v="1"/>
    <s v="United States"/>
    <s v="New York City"/>
    <x v="15"/>
    <n v="10009"/>
    <x v="3"/>
    <x v="0"/>
    <x v="5"/>
    <n v="183.92"/>
    <n v="4"/>
    <n v="0"/>
    <n v="31.266400000000001"/>
  </r>
  <r>
    <s v="Standard Class"/>
    <x v="0"/>
    <s v="United States"/>
    <s v="Houston"/>
    <x v="5"/>
    <n v="77041"/>
    <x v="2"/>
    <x v="0"/>
    <x v="5"/>
    <n v="11.375999999999999"/>
    <n v="3"/>
    <n v="0.6"/>
    <n v="-5.6879999999999997"/>
  </r>
  <r>
    <s v="Standard Class"/>
    <x v="0"/>
    <s v="United States"/>
    <s v="Houston"/>
    <x v="5"/>
    <n v="77041"/>
    <x v="2"/>
    <x v="0"/>
    <x v="5"/>
    <n v="66.111999999999995"/>
    <n v="4"/>
    <n v="0.6"/>
    <n v="-84.2928"/>
  </r>
  <r>
    <s v="Standard Class"/>
    <x v="0"/>
    <s v="United States"/>
    <s v="Los Angeles"/>
    <x v="1"/>
    <n v="90036"/>
    <x v="1"/>
    <x v="1"/>
    <x v="10"/>
    <n v="211.04"/>
    <n v="8"/>
    <n v="0"/>
    <n v="97.078400000000002"/>
  </r>
  <r>
    <s v="Standard Class"/>
    <x v="0"/>
    <s v="United States"/>
    <s v="Los Angeles"/>
    <x v="1"/>
    <n v="90036"/>
    <x v="1"/>
    <x v="0"/>
    <x v="1"/>
    <n v="594.81600000000003"/>
    <n v="2"/>
    <n v="0.2"/>
    <n v="59.4816"/>
  </r>
  <r>
    <s v="Standard Class"/>
    <x v="0"/>
    <s v="United States"/>
    <s v="Los Angeles"/>
    <x v="1"/>
    <n v="90036"/>
    <x v="1"/>
    <x v="1"/>
    <x v="8"/>
    <n v="72.959999999999994"/>
    <n v="3"/>
    <n v="0.2"/>
    <n v="23.712"/>
  </r>
  <r>
    <s v="First Class"/>
    <x v="0"/>
    <s v="United States"/>
    <s v="Edmonds"/>
    <x v="4"/>
    <n v="98026"/>
    <x v="1"/>
    <x v="0"/>
    <x v="5"/>
    <n v="80.959999999999994"/>
    <n v="4"/>
    <n v="0"/>
    <n v="34.812800000000003"/>
  </r>
  <r>
    <s v="First Class"/>
    <x v="0"/>
    <s v="United States"/>
    <s v="Edmonds"/>
    <x v="4"/>
    <n v="98026"/>
    <x v="1"/>
    <x v="2"/>
    <x v="7"/>
    <n v="455.71199999999999"/>
    <n v="2"/>
    <n v="0.2"/>
    <n v="34.178400000000003"/>
  </r>
  <r>
    <s v="First Class"/>
    <x v="0"/>
    <s v="United States"/>
    <s v="Edmonds"/>
    <x v="4"/>
    <n v="98026"/>
    <x v="1"/>
    <x v="1"/>
    <x v="6"/>
    <n v="25.98"/>
    <n v="1"/>
    <n v="0"/>
    <n v="7.2744"/>
  </r>
  <r>
    <s v="First Class"/>
    <x v="0"/>
    <s v="United States"/>
    <s v="San Francisco"/>
    <x v="1"/>
    <n v="94110"/>
    <x v="1"/>
    <x v="1"/>
    <x v="9"/>
    <n v="45.28"/>
    <n v="4"/>
    <n v="0"/>
    <n v="15.395200000000001"/>
  </r>
  <r>
    <s v="Standard Class"/>
    <x v="0"/>
    <s v="United States"/>
    <s v="New York City"/>
    <x v="15"/>
    <n v="10035"/>
    <x v="3"/>
    <x v="1"/>
    <x v="12"/>
    <n v="15.56"/>
    <n v="2"/>
    <n v="0"/>
    <n v="7.3132000000000001"/>
  </r>
  <r>
    <s v="Standard Class"/>
    <x v="1"/>
    <s v="United States"/>
    <s v="Springfield"/>
    <x v="21"/>
    <n v="97477"/>
    <x v="1"/>
    <x v="2"/>
    <x v="7"/>
    <n v="859.2"/>
    <n v="3"/>
    <n v="0.2"/>
    <n v="75.180000000000007"/>
  </r>
  <r>
    <s v="Second Class"/>
    <x v="0"/>
    <s v="United States"/>
    <s v="Georgetown"/>
    <x v="0"/>
    <n v="40324"/>
    <x v="0"/>
    <x v="1"/>
    <x v="9"/>
    <n v="195.68"/>
    <n v="4"/>
    <n v="0"/>
    <n v="50.876800000000003"/>
  </r>
  <r>
    <s v="Second Class"/>
    <x v="0"/>
    <s v="United States"/>
    <s v="Georgetown"/>
    <x v="0"/>
    <n v="40324"/>
    <x v="0"/>
    <x v="1"/>
    <x v="13"/>
    <n v="14.2"/>
    <n v="4"/>
    <n v="0"/>
    <n v="6.6740000000000004"/>
  </r>
  <r>
    <s v="First Class"/>
    <x v="0"/>
    <s v="United States"/>
    <s v="Coral Springs"/>
    <x v="2"/>
    <n v="33065"/>
    <x v="0"/>
    <x v="0"/>
    <x v="0"/>
    <n v="314.35199999999998"/>
    <n v="3"/>
    <n v="0.2"/>
    <n v="-15.717599999999999"/>
  </r>
  <r>
    <s v="First Class"/>
    <x v="0"/>
    <s v="United States"/>
    <s v="Coral Springs"/>
    <x v="2"/>
    <n v="33065"/>
    <x v="0"/>
    <x v="1"/>
    <x v="2"/>
    <n v="4.6079999999999997"/>
    <n v="2"/>
    <n v="0.2"/>
    <n v="1.4976"/>
  </r>
  <r>
    <s v="Standard Class"/>
    <x v="1"/>
    <s v="United States"/>
    <s v="San Francisco"/>
    <x v="1"/>
    <n v="94110"/>
    <x v="1"/>
    <x v="1"/>
    <x v="13"/>
    <n v="17.899999999999999"/>
    <n v="5"/>
    <n v="0"/>
    <n v="8.7710000000000008"/>
  </r>
  <r>
    <s v="Second Class"/>
    <x v="1"/>
    <s v="United States"/>
    <s v="San Francisco"/>
    <x v="1"/>
    <n v="94110"/>
    <x v="1"/>
    <x v="1"/>
    <x v="8"/>
    <n v="2.992"/>
    <n v="1"/>
    <n v="0.2"/>
    <n v="1.1220000000000001"/>
  </r>
  <r>
    <s v="Second Class"/>
    <x v="1"/>
    <s v="United States"/>
    <s v="San Francisco"/>
    <x v="1"/>
    <n v="94110"/>
    <x v="1"/>
    <x v="1"/>
    <x v="8"/>
    <n v="20.064"/>
    <n v="6"/>
    <n v="0.2"/>
    <n v="7.0224000000000002"/>
  </r>
  <r>
    <s v="Second Class"/>
    <x v="1"/>
    <s v="United States"/>
    <s v="San Francisco"/>
    <x v="1"/>
    <n v="94110"/>
    <x v="1"/>
    <x v="1"/>
    <x v="10"/>
    <n v="146.72999999999999"/>
    <n v="3"/>
    <n v="0"/>
    <n v="68.963099999999997"/>
  </r>
  <r>
    <s v="Second Class"/>
    <x v="1"/>
    <s v="United States"/>
    <s v="San Francisco"/>
    <x v="1"/>
    <n v="94110"/>
    <x v="1"/>
    <x v="1"/>
    <x v="2"/>
    <n v="18.75"/>
    <n v="5"/>
    <n v="0"/>
    <n v="9"/>
  </r>
  <r>
    <s v="Second Class"/>
    <x v="1"/>
    <s v="United States"/>
    <s v="San Francisco"/>
    <x v="1"/>
    <n v="94110"/>
    <x v="1"/>
    <x v="2"/>
    <x v="7"/>
    <n v="117.57599999999999"/>
    <n v="3"/>
    <n v="0.2"/>
    <n v="11.7576"/>
  </r>
  <r>
    <s v="Standard Class"/>
    <x v="2"/>
    <s v="United States"/>
    <s v="Riverside"/>
    <x v="1"/>
    <n v="92503"/>
    <x v="1"/>
    <x v="1"/>
    <x v="8"/>
    <n v="51.183999999999997"/>
    <n v="7"/>
    <n v="0.2"/>
    <n v="19.193999999999999"/>
  </r>
  <r>
    <s v="First Class"/>
    <x v="2"/>
    <s v="United States"/>
    <s v="Troy"/>
    <x v="24"/>
    <n v="45373"/>
    <x v="3"/>
    <x v="0"/>
    <x v="3"/>
    <n v="455.97"/>
    <n v="5"/>
    <n v="0.4"/>
    <n v="-106.393"/>
  </r>
  <r>
    <s v="First Class"/>
    <x v="2"/>
    <s v="United States"/>
    <s v="Troy"/>
    <x v="24"/>
    <n v="45373"/>
    <x v="3"/>
    <x v="1"/>
    <x v="8"/>
    <n v="5.7149999999999999"/>
    <n v="5"/>
    <n v="0.7"/>
    <n v="-4.7625000000000002"/>
  </r>
  <r>
    <s v="First Class"/>
    <x v="2"/>
    <s v="United States"/>
    <s v="Troy"/>
    <x v="24"/>
    <n v="45373"/>
    <x v="3"/>
    <x v="2"/>
    <x v="7"/>
    <n v="57.594000000000001"/>
    <n v="1"/>
    <n v="0.4"/>
    <n v="-11.518800000000001"/>
  </r>
  <r>
    <s v="First Class"/>
    <x v="2"/>
    <s v="United States"/>
    <s v="Troy"/>
    <x v="24"/>
    <n v="45373"/>
    <x v="3"/>
    <x v="0"/>
    <x v="5"/>
    <n v="30.143999999999998"/>
    <n v="2"/>
    <n v="0.2"/>
    <n v="8.2896000000000001"/>
  </r>
  <r>
    <s v="First Class"/>
    <x v="2"/>
    <s v="United States"/>
    <s v="Troy"/>
    <x v="24"/>
    <n v="45373"/>
    <x v="3"/>
    <x v="0"/>
    <x v="1"/>
    <n v="899.43"/>
    <n v="5"/>
    <n v="0.3"/>
    <n v="-12.849"/>
  </r>
  <r>
    <s v="Standard Class"/>
    <x v="0"/>
    <s v="United States"/>
    <s v="Moreno Valley"/>
    <x v="1"/>
    <n v="92553"/>
    <x v="1"/>
    <x v="0"/>
    <x v="5"/>
    <n v="842.72"/>
    <n v="8"/>
    <n v="0"/>
    <n v="202.25280000000001"/>
  </r>
  <r>
    <s v="Standard Class"/>
    <x v="0"/>
    <s v="United States"/>
    <s v="Moreno Valley"/>
    <x v="1"/>
    <n v="92553"/>
    <x v="1"/>
    <x v="0"/>
    <x v="5"/>
    <n v="41.96"/>
    <n v="2"/>
    <n v="0"/>
    <n v="10.909599999999999"/>
  </r>
  <r>
    <s v="Standard Class"/>
    <x v="1"/>
    <s v="United States"/>
    <s v="Seattle"/>
    <x v="4"/>
    <n v="98115"/>
    <x v="1"/>
    <x v="1"/>
    <x v="8"/>
    <n v="13.215999999999999"/>
    <n v="4"/>
    <n v="0.2"/>
    <n v="4.4603999999999999"/>
  </r>
  <r>
    <s v="Standard Class"/>
    <x v="1"/>
    <s v="United States"/>
    <s v="Seattle"/>
    <x v="4"/>
    <n v="98115"/>
    <x v="1"/>
    <x v="0"/>
    <x v="1"/>
    <n v="184.75200000000001"/>
    <n v="3"/>
    <n v="0.2"/>
    <n v="-20.784600000000001"/>
  </r>
  <r>
    <s v="First Class"/>
    <x v="0"/>
    <s v="United States"/>
    <s v="Chicago"/>
    <x v="10"/>
    <n v="60623"/>
    <x v="2"/>
    <x v="0"/>
    <x v="1"/>
    <n v="520.46400000000006"/>
    <n v="2"/>
    <n v="0.3"/>
    <n v="-14.8704"/>
  </r>
  <r>
    <s v="First Class"/>
    <x v="0"/>
    <s v="United States"/>
    <s v="Chicago"/>
    <x v="10"/>
    <n v="60623"/>
    <x v="2"/>
    <x v="1"/>
    <x v="10"/>
    <n v="11.423999999999999"/>
    <n v="3"/>
    <n v="0.2"/>
    <n v="3.7128000000000001"/>
  </r>
  <r>
    <s v="Standard Class"/>
    <x v="2"/>
    <s v="United States"/>
    <s v="Jackson"/>
    <x v="12"/>
    <n v="49201"/>
    <x v="2"/>
    <x v="1"/>
    <x v="10"/>
    <n v="19.440000000000001"/>
    <n v="3"/>
    <n v="0"/>
    <n v="9.3312000000000008"/>
  </r>
  <r>
    <s v="Standard Class"/>
    <x v="2"/>
    <s v="United States"/>
    <s v="Jackson"/>
    <x v="12"/>
    <n v="49201"/>
    <x v="2"/>
    <x v="1"/>
    <x v="6"/>
    <n v="3.64"/>
    <n v="2"/>
    <n v="0"/>
    <n v="1.0192000000000001"/>
  </r>
  <r>
    <s v="Standard Class"/>
    <x v="2"/>
    <s v="United States"/>
    <s v="Jackson"/>
    <x v="12"/>
    <n v="49201"/>
    <x v="2"/>
    <x v="1"/>
    <x v="10"/>
    <n v="18.54"/>
    <n v="2"/>
    <n v="0"/>
    <n v="8.7138000000000009"/>
  </r>
  <r>
    <s v="Second Class"/>
    <x v="1"/>
    <s v="United States"/>
    <s v="New York City"/>
    <x v="15"/>
    <n v="10024"/>
    <x v="3"/>
    <x v="1"/>
    <x v="8"/>
    <n v="43.12"/>
    <n v="5"/>
    <n v="0.2"/>
    <n v="15.092000000000001"/>
  </r>
  <r>
    <s v="Second Class"/>
    <x v="1"/>
    <s v="United States"/>
    <s v="New York City"/>
    <x v="15"/>
    <n v="10024"/>
    <x v="3"/>
    <x v="0"/>
    <x v="3"/>
    <n v="313.72199999999998"/>
    <n v="3"/>
    <n v="0.4"/>
    <n v="-99.345299999999995"/>
  </r>
  <r>
    <s v="Second Class"/>
    <x v="1"/>
    <s v="United States"/>
    <s v="New York City"/>
    <x v="15"/>
    <n v="10024"/>
    <x v="3"/>
    <x v="0"/>
    <x v="5"/>
    <n v="45.98"/>
    <n v="1"/>
    <n v="0"/>
    <n v="7.8166000000000002"/>
  </r>
  <r>
    <s v="Second Class"/>
    <x v="1"/>
    <s v="United States"/>
    <s v="New York City"/>
    <x v="15"/>
    <n v="10024"/>
    <x v="3"/>
    <x v="1"/>
    <x v="4"/>
    <n v="428.68"/>
    <n v="7"/>
    <n v="0"/>
    <n v="0"/>
  </r>
  <r>
    <s v="Standard Class"/>
    <x v="2"/>
    <s v="United States"/>
    <s v="Seattle"/>
    <x v="4"/>
    <n v="98105"/>
    <x v="1"/>
    <x v="1"/>
    <x v="8"/>
    <n v="30.576000000000001"/>
    <n v="6"/>
    <n v="0.2"/>
    <n v="10.3194"/>
  </r>
  <r>
    <s v="Standard Class"/>
    <x v="2"/>
    <s v="United States"/>
    <s v="Seattle"/>
    <x v="4"/>
    <n v="98105"/>
    <x v="1"/>
    <x v="1"/>
    <x v="13"/>
    <n v="13.02"/>
    <n v="7"/>
    <n v="0"/>
    <n v="0.3906"/>
  </r>
  <r>
    <s v="Standard Class"/>
    <x v="2"/>
    <s v="United States"/>
    <s v="Seattle"/>
    <x v="4"/>
    <n v="98105"/>
    <x v="1"/>
    <x v="0"/>
    <x v="5"/>
    <n v="22.14"/>
    <n v="3"/>
    <n v="0"/>
    <n v="6.4206000000000003"/>
  </r>
  <r>
    <s v="Standard Class"/>
    <x v="2"/>
    <s v="United States"/>
    <s v="Seattle"/>
    <x v="4"/>
    <n v="98105"/>
    <x v="1"/>
    <x v="1"/>
    <x v="4"/>
    <n v="359.32"/>
    <n v="4"/>
    <n v="0"/>
    <n v="7.1863999999999999"/>
  </r>
  <r>
    <s v="First Class"/>
    <x v="0"/>
    <s v="United States"/>
    <s v="Saint Charles"/>
    <x v="25"/>
    <n v="63301"/>
    <x v="2"/>
    <x v="1"/>
    <x v="10"/>
    <n v="11.56"/>
    <n v="2"/>
    <n v="0"/>
    <n v="5.6643999999999997"/>
  </r>
  <r>
    <s v="Standard Class"/>
    <x v="0"/>
    <s v="United States"/>
    <s v="Long Beach"/>
    <x v="15"/>
    <n v="11561"/>
    <x v="3"/>
    <x v="1"/>
    <x v="8"/>
    <n v="68.48"/>
    <n v="2"/>
    <n v="0.2"/>
    <n v="25.68"/>
  </r>
  <r>
    <s v="Standard Class"/>
    <x v="0"/>
    <s v="United States"/>
    <s v="Long Beach"/>
    <x v="15"/>
    <n v="11561"/>
    <x v="3"/>
    <x v="1"/>
    <x v="4"/>
    <n v="1676.88"/>
    <n v="6"/>
    <n v="0"/>
    <n v="83.843999999999994"/>
  </r>
  <r>
    <s v="First Class"/>
    <x v="1"/>
    <s v="United States"/>
    <s v="Lakewood"/>
    <x v="30"/>
    <n v="8701"/>
    <x v="3"/>
    <x v="1"/>
    <x v="10"/>
    <n v="37.94"/>
    <n v="2"/>
    <n v="0"/>
    <n v="18.211200000000002"/>
  </r>
  <r>
    <s v="Second Class"/>
    <x v="1"/>
    <s v="United States"/>
    <s v="Clinton"/>
    <x v="39"/>
    <n v="20735"/>
    <x v="3"/>
    <x v="0"/>
    <x v="1"/>
    <n v="272.97000000000003"/>
    <n v="3"/>
    <n v="0"/>
    <n v="43.675199999999997"/>
  </r>
  <r>
    <s v="First Class"/>
    <x v="1"/>
    <s v="United States"/>
    <s v="Columbus"/>
    <x v="24"/>
    <n v="43229"/>
    <x v="3"/>
    <x v="0"/>
    <x v="5"/>
    <n v="41.567999999999998"/>
    <n v="4"/>
    <n v="0.2"/>
    <n v="-4.1567999999999996"/>
  </r>
  <r>
    <s v="First Class"/>
    <x v="1"/>
    <s v="United States"/>
    <s v="Columbus"/>
    <x v="24"/>
    <n v="43229"/>
    <x v="3"/>
    <x v="0"/>
    <x v="1"/>
    <n v="317.05799999999999"/>
    <n v="3"/>
    <n v="0.3"/>
    <n v="-86.058599999999998"/>
  </r>
  <r>
    <s v="First Class"/>
    <x v="1"/>
    <s v="United States"/>
    <s v="Columbus"/>
    <x v="24"/>
    <n v="43229"/>
    <x v="3"/>
    <x v="1"/>
    <x v="13"/>
    <n v="8.0399999999999991"/>
    <n v="5"/>
    <n v="0.2"/>
    <n v="2.9144999999999999"/>
  </r>
  <r>
    <s v="Standard Class"/>
    <x v="0"/>
    <s v="United States"/>
    <s v="Pasadena"/>
    <x v="1"/>
    <n v="91104"/>
    <x v="1"/>
    <x v="2"/>
    <x v="7"/>
    <n v="419.94400000000002"/>
    <n v="7"/>
    <n v="0.2"/>
    <n v="52.493000000000002"/>
  </r>
  <r>
    <s v="Standard Class"/>
    <x v="1"/>
    <s v="United States"/>
    <s v="Seattle"/>
    <x v="4"/>
    <n v="98105"/>
    <x v="1"/>
    <x v="1"/>
    <x v="14"/>
    <n v="61.38"/>
    <n v="6"/>
    <n v="0"/>
    <n v="15.9588"/>
  </r>
  <r>
    <s v="Second Class"/>
    <x v="0"/>
    <s v="United States"/>
    <s v="Los Angeles"/>
    <x v="1"/>
    <n v="90045"/>
    <x v="1"/>
    <x v="2"/>
    <x v="11"/>
    <n v="50"/>
    <n v="2"/>
    <n v="0"/>
    <n v="10.5"/>
  </r>
  <r>
    <s v="Standard Class"/>
    <x v="0"/>
    <s v="United States"/>
    <s v="East Orange"/>
    <x v="30"/>
    <n v="7017"/>
    <x v="3"/>
    <x v="2"/>
    <x v="11"/>
    <n v="31.8"/>
    <n v="3"/>
    <n v="0"/>
    <n v="13.673999999999999"/>
  </r>
  <r>
    <s v="Standard Class"/>
    <x v="1"/>
    <s v="United States"/>
    <s v="Eau Claire"/>
    <x v="6"/>
    <n v="54703"/>
    <x v="2"/>
    <x v="1"/>
    <x v="4"/>
    <n v="32.56"/>
    <n v="2"/>
    <n v="0"/>
    <n v="8.4656000000000002"/>
  </r>
  <r>
    <s v="Standard Class"/>
    <x v="0"/>
    <s v="United States"/>
    <s v="Chicago"/>
    <x v="10"/>
    <n v="60610"/>
    <x v="2"/>
    <x v="1"/>
    <x v="12"/>
    <n v="7.0720000000000001"/>
    <n v="2"/>
    <n v="0.2"/>
    <n v="2.3868"/>
  </r>
  <r>
    <s v="Second Class"/>
    <x v="0"/>
    <s v="United States"/>
    <s v="Tampa"/>
    <x v="2"/>
    <n v="33614"/>
    <x v="0"/>
    <x v="1"/>
    <x v="10"/>
    <n v="45.527999999999999"/>
    <n v="3"/>
    <n v="0.2"/>
    <n v="15.934799999999999"/>
  </r>
  <r>
    <s v="Second Class"/>
    <x v="0"/>
    <s v="United States"/>
    <s v="Tampa"/>
    <x v="2"/>
    <n v="33614"/>
    <x v="0"/>
    <x v="0"/>
    <x v="1"/>
    <n v="64.784000000000006"/>
    <n v="1"/>
    <n v="0.2"/>
    <n v="6.4783999999999997"/>
  </r>
  <r>
    <s v="Second Class"/>
    <x v="0"/>
    <s v="United States"/>
    <s v="Tampa"/>
    <x v="2"/>
    <n v="33614"/>
    <x v="0"/>
    <x v="1"/>
    <x v="4"/>
    <n v="424.27199999999999"/>
    <n v="2"/>
    <n v="0.2"/>
    <n v="-10.6068"/>
  </r>
  <r>
    <s v="Second Class"/>
    <x v="0"/>
    <s v="United States"/>
    <s v="Tampa"/>
    <x v="2"/>
    <n v="33614"/>
    <x v="0"/>
    <x v="1"/>
    <x v="6"/>
    <n v="1.3440000000000001"/>
    <n v="1"/>
    <n v="0.2"/>
    <n v="0.504"/>
  </r>
  <r>
    <s v="Second Class"/>
    <x v="0"/>
    <s v="United States"/>
    <s v="Tampa"/>
    <x v="2"/>
    <n v="33614"/>
    <x v="0"/>
    <x v="1"/>
    <x v="4"/>
    <n v="83.92"/>
    <n v="5"/>
    <n v="0.2"/>
    <n v="-1.0489999999999999"/>
  </r>
  <r>
    <s v="Standard Class"/>
    <x v="2"/>
    <s v="United States"/>
    <s v="New York City"/>
    <x v="15"/>
    <n v="10009"/>
    <x v="3"/>
    <x v="1"/>
    <x v="10"/>
    <n v="25.92"/>
    <n v="4"/>
    <n v="0"/>
    <n v="12.441599999999999"/>
  </r>
  <r>
    <s v="Standard Class"/>
    <x v="0"/>
    <s v="United States"/>
    <s v="Mesa"/>
    <x v="16"/>
    <n v="85204"/>
    <x v="1"/>
    <x v="0"/>
    <x v="5"/>
    <n v="120.57599999999999"/>
    <n v="8"/>
    <n v="0.2"/>
    <n v="33.1584"/>
  </r>
  <r>
    <s v="Standard Class"/>
    <x v="0"/>
    <s v="United States"/>
    <s v="Burlington"/>
    <x v="42"/>
    <n v="5408"/>
    <x v="3"/>
    <x v="1"/>
    <x v="10"/>
    <n v="79.92"/>
    <n v="4"/>
    <n v="0"/>
    <n v="37.562399999999997"/>
  </r>
  <r>
    <s v="Standard Class"/>
    <x v="0"/>
    <s v="United States"/>
    <s v="Burlington"/>
    <x v="42"/>
    <n v="5408"/>
    <x v="3"/>
    <x v="1"/>
    <x v="10"/>
    <n v="12.28"/>
    <n v="1"/>
    <n v="0"/>
    <n v="5.7716000000000003"/>
  </r>
  <r>
    <s v="Standard Class"/>
    <x v="0"/>
    <s v="United States"/>
    <s v="Burlington"/>
    <x v="42"/>
    <n v="5408"/>
    <x v="3"/>
    <x v="1"/>
    <x v="9"/>
    <n v="542.94000000000005"/>
    <n v="3"/>
    <n v="0"/>
    <n v="152.0232"/>
  </r>
  <r>
    <s v="Standard Class"/>
    <x v="0"/>
    <s v="United States"/>
    <s v="Burlington"/>
    <x v="42"/>
    <n v="5408"/>
    <x v="3"/>
    <x v="1"/>
    <x v="12"/>
    <n v="2.04"/>
    <n v="1"/>
    <n v="0"/>
    <n v="0.95879999999999999"/>
  </r>
  <r>
    <s v="Standard Class"/>
    <x v="2"/>
    <s v="United States"/>
    <s v="Houston"/>
    <x v="5"/>
    <n v="77070"/>
    <x v="2"/>
    <x v="1"/>
    <x v="4"/>
    <n v="228.92"/>
    <n v="5"/>
    <n v="0.2"/>
    <n v="14.307499999999999"/>
  </r>
  <r>
    <s v="First Class"/>
    <x v="1"/>
    <s v="United States"/>
    <s v="Aurora"/>
    <x v="10"/>
    <n v="60505"/>
    <x v="2"/>
    <x v="2"/>
    <x v="7"/>
    <n v="7.992"/>
    <n v="1"/>
    <n v="0.2"/>
    <n v="2.5973999999999999"/>
  </r>
  <r>
    <s v="Same Day"/>
    <x v="1"/>
    <s v="United States"/>
    <s v="Denver"/>
    <x v="22"/>
    <n v="80219"/>
    <x v="1"/>
    <x v="0"/>
    <x v="1"/>
    <n v="582.33600000000001"/>
    <n v="8"/>
    <n v="0.2"/>
    <n v="-29.116800000000001"/>
  </r>
  <r>
    <s v="First Class"/>
    <x v="0"/>
    <s v="United States"/>
    <s v="New York City"/>
    <x v="15"/>
    <n v="10011"/>
    <x v="3"/>
    <x v="2"/>
    <x v="7"/>
    <n v="629.95000000000005"/>
    <n v="5"/>
    <n v="0"/>
    <n v="157.48750000000001"/>
  </r>
  <r>
    <s v="First Class"/>
    <x v="0"/>
    <s v="United States"/>
    <s v="New York City"/>
    <x v="15"/>
    <n v="10011"/>
    <x v="3"/>
    <x v="0"/>
    <x v="1"/>
    <n v="631.78200000000004"/>
    <n v="2"/>
    <n v="0.1"/>
    <n v="140.39599999999999"/>
  </r>
  <r>
    <s v="First Class"/>
    <x v="0"/>
    <s v="United States"/>
    <s v="New York City"/>
    <x v="15"/>
    <n v="10011"/>
    <x v="3"/>
    <x v="0"/>
    <x v="0"/>
    <n v="801.56799999999998"/>
    <n v="2"/>
    <n v="0.2"/>
    <n v="-10.019600000000001"/>
  </r>
  <r>
    <s v="First Class"/>
    <x v="0"/>
    <s v="United States"/>
    <s v="New York City"/>
    <x v="15"/>
    <n v="10011"/>
    <x v="3"/>
    <x v="1"/>
    <x v="2"/>
    <n v="75.180000000000007"/>
    <n v="6"/>
    <n v="0"/>
    <n v="35.334600000000002"/>
  </r>
  <r>
    <s v="First Class"/>
    <x v="0"/>
    <s v="United States"/>
    <s v="New York City"/>
    <x v="15"/>
    <n v="10011"/>
    <x v="3"/>
    <x v="1"/>
    <x v="9"/>
    <n v="30.98"/>
    <n v="1"/>
    <n v="0"/>
    <n v="8.0548000000000002"/>
  </r>
  <r>
    <s v="First Class"/>
    <x v="0"/>
    <s v="United States"/>
    <s v="New York City"/>
    <x v="15"/>
    <n v="10011"/>
    <x v="3"/>
    <x v="2"/>
    <x v="7"/>
    <n v="1349.91"/>
    <n v="9"/>
    <n v="0"/>
    <n v="661.45590000000004"/>
  </r>
  <r>
    <s v="Standard Class"/>
    <x v="0"/>
    <s v="United States"/>
    <s v="Arlington Heights"/>
    <x v="10"/>
    <n v="60004"/>
    <x v="2"/>
    <x v="1"/>
    <x v="6"/>
    <n v="14.112"/>
    <n v="6"/>
    <n v="0.2"/>
    <n v="1.2347999999999999"/>
  </r>
  <r>
    <s v="Standard Class"/>
    <x v="0"/>
    <s v="United States"/>
    <s v="Newport News"/>
    <x v="17"/>
    <n v="23602"/>
    <x v="0"/>
    <x v="1"/>
    <x v="12"/>
    <n v="31.12"/>
    <n v="4"/>
    <n v="0"/>
    <n v="14.6264"/>
  </r>
  <r>
    <s v="Standard Class"/>
    <x v="0"/>
    <s v="United States"/>
    <s v="Tucson"/>
    <x v="16"/>
    <n v="85705"/>
    <x v="1"/>
    <x v="0"/>
    <x v="5"/>
    <n v="4.2720000000000002"/>
    <n v="2"/>
    <n v="0.2"/>
    <n v="0.96120000000000005"/>
  </r>
  <r>
    <s v="Second Class"/>
    <x v="0"/>
    <s v="United States"/>
    <s v="New York City"/>
    <x v="15"/>
    <n v="10024"/>
    <x v="3"/>
    <x v="0"/>
    <x v="3"/>
    <n v="209.148"/>
    <n v="2"/>
    <n v="0.4"/>
    <n v="-66.230199999999996"/>
  </r>
  <r>
    <s v="Second Class"/>
    <x v="0"/>
    <s v="United States"/>
    <s v="New York City"/>
    <x v="15"/>
    <n v="10024"/>
    <x v="3"/>
    <x v="1"/>
    <x v="4"/>
    <n v="1591.02"/>
    <n v="6"/>
    <n v="0"/>
    <n v="286.3836"/>
  </r>
  <r>
    <s v="Standard Class"/>
    <x v="1"/>
    <s v="United States"/>
    <s v="Philadelphia"/>
    <x v="9"/>
    <n v="19134"/>
    <x v="3"/>
    <x v="1"/>
    <x v="13"/>
    <n v="7.92"/>
    <n v="5"/>
    <n v="0.2"/>
    <n v="1.6830000000000001"/>
  </r>
  <r>
    <s v="First Class"/>
    <x v="2"/>
    <s v="United States"/>
    <s v="Chicago"/>
    <x v="10"/>
    <n v="60653"/>
    <x v="2"/>
    <x v="2"/>
    <x v="15"/>
    <n v="574.91"/>
    <n v="2"/>
    <n v="0.3"/>
    <n v="156.047"/>
  </r>
  <r>
    <s v="First Class"/>
    <x v="2"/>
    <s v="United States"/>
    <s v="Chicago"/>
    <x v="10"/>
    <n v="60653"/>
    <x v="2"/>
    <x v="1"/>
    <x v="10"/>
    <n v="8.4480000000000004"/>
    <n v="2"/>
    <n v="0.2"/>
    <n v="2.64"/>
  </r>
  <r>
    <s v="Second Class"/>
    <x v="0"/>
    <s v="United States"/>
    <s v="New York City"/>
    <x v="15"/>
    <n v="10035"/>
    <x v="3"/>
    <x v="2"/>
    <x v="11"/>
    <n v="1071"/>
    <n v="9"/>
    <n v="0"/>
    <n v="171.36"/>
  </r>
  <r>
    <s v="Second Class"/>
    <x v="0"/>
    <s v="United States"/>
    <s v="New York City"/>
    <x v="15"/>
    <n v="10035"/>
    <x v="3"/>
    <x v="0"/>
    <x v="5"/>
    <n v="12.07"/>
    <n v="1"/>
    <n v="0"/>
    <n v="3.9830999999999999"/>
  </r>
  <r>
    <s v="First Class"/>
    <x v="0"/>
    <s v="United States"/>
    <s v="Philadelphia"/>
    <x v="9"/>
    <n v="19143"/>
    <x v="3"/>
    <x v="1"/>
    <x v="8"/>
    <n v="3.2730000000000001"/>
    <n v="1"/>
    <n v="0.7"/>
    <n v="-2.5093000000000001"/>
  </r>
  <r>
    <s v="First Class"/>
    <x v="0"/>
    <s v="United States"/>
    <s v="Philadelphia"/>
    <x v="9"/>
    <n v="19143"/>
    <x v="3"/>
    <x v="0"/>
    <x v="5"/>
    <n v="87.92"/>
    <n v="5"/>
    <n v="0.2"/>
    <n v="15.385999999999999"/>
  </r>
  <r>
    <s v="Second Class"/>
    <x v="1"/>
    <s v="United States"/>
    <s v="Glendale"/>
    <x v="16"/>
    <n v="85301"/>
    <x v="1"/>
    <x v="1"/>
    <x v="4"/>
    <n v="104.696"/>
    <n v="1"/>
    <n v="0.2"/>
    <n v="6.5434999999999999"/>
  </r>
  <r>
    <s v="First Class"/>
    <x v="0"/>
    <s v="United States"/>
    <s v="Los Angeles"/>
    <x v="1"/>
    <n v="90036"/>
    <x v="1"/>
    <x v="0"/>
    <x v="1"/>
    <n v="2803.92"/>
    <n v="5"/>
    <n v="0.2"/>
    <n v="0"/>
  </r>
  <r>
    <s v="First Class"/>
    <x v="1"/>
    <s v="United States"/>
    <s v="Houston"/>
    <x v="5"/>
    <n v="77041"/>
    <x v="2"/>
    <x v="1"/>
    <x v="8"/>
    <n v="6.8159999999999998"/>
    <n v="2"/>
    <n v="0.8"/>
    <n v="-11.587199999999999"/>
  </r>
  <r>
    <s v="Standard Class"/>
    <x v="0"/>
    <s v="United States"/>
    <s v="Seattle"/>
    <x v="4"/>
    <n v="98115"/>
    <x v="1"/>
    <x v="2"/>
    <x v="7"/>
    <n v="249.584"/>
    <n v="2"/>
    <n v="0.2"/>
    <n v="15.599"/>
  </r>
  <r>
    <s v="Standard Class"/>
    <x v="0"/>
    <s v="United States"/>
    <s v="Seattle"/>
    <x v="4"/>
    <n v="98115"/>
    <x v="1"/>
    <x v="1"/>
    <x v="10"/>
    <n v="17.940000000000001"/>
    <n v="3"/>
    <n v="0"/>
    <n v="8.7905999999999995"/>
  </r>
  <r>
    <s v="Standard Class"/>
    <x v="0"/>
    <s v="United States"/>
    <s v="Seattle"/>
    <x v="4"/>
    <n v="98115"/>
    <x v="1"/>
    <x v="0"/>
    <x v="5"/>
    <n v="10.11"/>
    <n v="3"/>
    <n v="0"/>
    <n v="3.2351999999999999"/>
  </r>
  <r>
    <s v="Standard Class"/>
    <x v="2"/>
    <s v="United States"/>
    <s v="Fayetteville"/>
    <x v="3"/>
    <n v="28314"/>
    <x v="0"/>
    <x v="1"/>
    <x v="10"/>
    <n v="10.368"/>
    <n v="2"/>
    <n v="0.2"/>
    <n v="3.6288"/>
  </r>
  <r>
    <s v="Standard Class"/>
    <x v="2"/>
    <s v="United States"/>
    <s v="Fayetteville"/>
    <x v="3"/>
    <n v="28314"/>
    <x v="0"/>
    <x v="1"/>
    <x v="10"/>
    <n v="11.952"/>
    <n v="3"/>
    <n v="0.2"/>
    <n v="4.0338000000000003"/>
  </r>
  <r>
    <s v="Second Class"/>
    <x v="1"/>
    <s v="United States"/>
    <s v="Houston"/>
    <x v="5"/>
    <n v="77041"/>
    <x v="2"/>
    <x v="1"/>
    <x v="9"/>
    <n v="15.224"/>
    <n v="2"/>
    <n v="0.8"/>
    <n v="-38.821199999999997"/>
  </r>
  <r>
    <s v="Second Class"/>
    <x v="1"/>
    <s v="United States"/>
    <s v="Houston"/>
    <x v="5"/>
    <n v="77041"/>
    <x v="2"/>
    <x v="1"/>
    <x v="9"/>
    <n v="21.984000000000002"/>
    <n v="6"/>
    <n v="0.8"/>
    <n v="-56.059199999999997"/>
  </r>
  <r>
    <s v="Standard Class"/>
    <x v="1"/>
    <s v="United States"/>
    <s v="San Francisco"/>
    <x v="1"/>
    <n v="94122"/>
    <x v="1"/>
    <x v="2"/>
    <x v="7"/>
    <n v="604.75199999999995"/>
    <n v="6"/>
    <n v="0.2"/>
    <n v="60.475200000000001"/>
  </r>
  <r>
    <s v="Standard Class"/>
    <x v="1"/>
    <s v="United States"/>
    <s v="San Francisco"/>
    <x v="1"/>
    <n v="94122"/>
    <x v="1"/>
    <x v="1"/>
    <x v="14"/>
    <n v="40.700000000000003"/>
    <n v="5"/>
    <n v="0"/>
    <n v="11.803000000000001"/>
  </r>
  <r>
    <s v="Standard Class"/>
    <x v="1"/>
    <s v="United States"/>
    <s v="San Francisco"/>
    <x v="1"/>
    <n v="94122"/>
    <x v="1"/>
    <x v="2"/>
    <x v="7"/>
    <n v="302.37599999999998"/>
    <n v="3"/>
    <n v="0.2"/>
    <n v="37.796999999999997"/>
  </r>
  <r>
    <s v="Standard Class"/>
    <x v="1"/>
    <s v="United States"/>
    <s v="San Francisco"/>
    <x v="1"/>
    <n v="94122"/>
    <x v="1"/>
    <x v="2"/>
    <x v="11"/>
    <n v="45"/>
    <n v="3"/>
    <n v="0"/>
    <n v="4.95"/>
  </r>
  <r>
    <s v="Second Class"/>
    <x v="0"/>
    <s v="United States"/>
    <s v="New York City"/>
    <x v="15"/>
    <n v="10035"/>
    <x v="3"/>
    <x v="0"/>
    <x v="1"/>
    <n v="3785.2919999999999"/>
    <n v="6"/>
    <n v="0.1"/>
    <n v="420.58800000000002"/>
  </r>
  <r>
    <s v="Standard Class"/>
    <x v="0"/>
    <s v="United States"/>
    <s v="Seattle"/>
    <x v="4"/>
    <n v="98105"/>
    <x v="1"/>
    <x v="1"/>
    <x v="6"/>
    <n v="35.4"/>
    <n v="5"/>
    <n v="0"/>
    <n v="13.452"/>
  </r>
  <r>
    <s v="Standard Class"/>
    <x v="1"/>
    <s v="United States"/>
    <s v="Buffalo"/>
    <x v="15"/>
    <n v="14215"/>
    <x v="3"/>
    <x v="0"/>
    <x v="5"/>
    <n v="199.9"/>
    <n v="5"/>
    <n v="0"/>
    <n v="39.979999999999997"/>
  </r>
  <r>
    <s v="Standard Class"/>
    <x v="1"/>
    <s v="United States"/>
    <s v="Huntsville"/>
    <x v="5"/>
    <n v="77340"/>
    <x v="2"/>
    <x v="0"/>
    <x v="1"/>
    <n v="1212.96"/>
    <n v="8"/>
    <n v="0.3"/>
    <n v="-69.311999999999998"/>
  </r>
  <r>
    <s v="Standard Class"/>
    <x v="1"/>
    <s v="United States"/>
    <s v="Dallas"/>
    <x v="5"/>
    <n v="75081"/>
    <x v="2"/>
    <x v="2"/>
    <x v="7"/>
    <n v="1099.96"/>
    <n v="5"/>
    <n v="0.2"/>
    <n v="82.497"/>
  </r>
  <r>
    <s v="Standard Class"/>
    <x v="1"/>
    <s v="United States"/>
    <s v="Dallas"/>
    <x v="5"/>
    <n v="75081"/>
    <x v="2"/>
    <x v="0"/>
    <x v="3"/>
    <n v="103.48099999999999"/>
    <n v="1"/>
    <n v="0.3"/>
    <n v="-16.261299999999999"/>
  </r>
  <r>
    <s v="Same Day"/>
    <x v="2"/>
    <s v="United States"/>
    <s v="Philadelphia"/>
    <x v="9"/>
    <n v="19134"/>
    <x v="3"/>
    <x v="1"/>
    <x v="2"/>
    <n v="5.9039999999999999"/>
    <n v="2"/>
    <n v="0.2"/>
    <n v="1.9925999999999999"/>
  </r>
  <r>
    <s v="Standard Class"/>
    <x v="0"/>
    <s v="United States"/>
    <s v="Peoria"/>
    <x v="16"/>
    <n v="85345"/>
    <x v="1"/>
    <x v="2"/>
    <x v="11"/>
    <n v="30.08"/>
    <n v="2"/>
    <n v="0.2"/>
    <n v="-5.2640000000000002"/>
  </r>
  <r>
    <s v="Standard Class"/>
    <x v="0"/>
    <s v="United States"/>
    <s v="Peoria"/>
    <x v="16"/>
    <n v="85345"/>
    <x v="1"/>
    <x v="1"/>
    <x v="10"/>
    <n v="36.287999999999997"/>
    <n v="7"/>
    <n v="0.2"/>
    <n v="12.700799999999999"/>
  </r>
  <r>
    <s v="Standard Class"/>
    <x v="0"/>
    <s v="United States"/>
    <s v="Peoria"/>
    <x v="16"/>
    <n v="85345"/>
    <x v="1"/>
    <x v="1"/>
    <x v="6"/>
    <n v="10.272"/>
    <n v="3"/>
    <n v="0.2"/>
    <n v="1.1556"/>
  </r>
  <r>
    <s v="Standard Class"/>
    <x v="0"/>
    <s v="United States"/>
    <s v="Peoria"/>
    <x v="16"/>
    <n v="85345"/>
    <x v="1"/>
    <x v="2"/>
    <x v="11"/>
    <n v="252.8"/>
    <n v="4"/>
    <n v="0.2"/>
    <n v="-31.6"/>
  </r>
  <r>
    <s v="Same Day"/>
    <x v="0"/>
    <s v="United States"/>
    <s v="Philadelphia"/>
    <x v="9"/>
    <n v="19143"/>
    <x v="3"/>
    <x v="1"/>
    <x v="8"/>
    <n v="2.9460000000000002"/>
    <n v="2"/>
    <n v="0.7"/>
    <n v="-2.0621999999999998"/>
  </r>
  <r>
    <s v="Standard Class"/>
    <x v="0"/>
    <s v="United States"/>
    <s v="Oceanside"/>
    <x v="1"/>
    <n v="92054"/>
    <x v="1"/>
    <x v="1"/>
    <x v="10"/>
    <n v="12.96"/>
    <n v="2"/>
    <n v="0"/>
    <n v="6.2207999999999997"/>
  </r>
  <r>
    <s v="Standard Class"/>
    <x v="0"/>
    <s v="United States"/>
    <s v="Philadelphia"/>
    <x v="9"/>
    <n v="19134"/>
    <x v="3"/>
    <x v="2"/>
    <x v="7"/>
    <n v="285.57600000000002"/>
    <n v="4"/>
    <n v="0.4"/>
    <n v="-57.115200000000002"/>
  </r>
  <r>
    <s v="Standard Class"/>
    <x v="1"/>
    <s v="United States"/>
    <s v="Chicago"/>
    <x v="10"/>
    <n v="60623"/>
    <x v="2"/>
    <x v="1"/>
    <x v="14"/>
    <n v="22.24"/>
    <n v="2"/>
    <n v="0.2"/>
    <n v="2.5019999999999998"/>
  </r>
  <r>
    <s v="Standard Class"/>
    <x v="0"/>
    <s v="United States"/>
    <s v="New York City"/>
    <x v="15"/>
    <n v="10035"/>
    <x v="3"/>
    <x v="1"/>
    <x v="10"/>
    <n v="14.62"/>
    <n v="2"/>
    <n v="0"/>
    <n v="6.7252000000000001"/>
  </r>
  <r>
    <s v="Second Class"/>
    <x v="0"/>
    <s v="United States"/>
    <s v="Kent"/>
    <x v="24"/>
    <n v="44240"/>
    <x v="3"/>
    <x v="1"/>
    <x v="9"/>
    <n v="48.36"/>
    <n v="5"/>
    <n v="0.2"/>
    <n v="6.0449999999999999"/>
  </r>
  <r>
    <s v="Standard Class"/>
    <x v="2"/>
    <s v="United States"/>
    <s v="Jacksonville"/>
    <x v="2"/>
    <n v="32216"/>
    <x v="0"/>
    <x v="1"/>
    <x v="6"/>
    <n v="16.256"/>
    <n v="2"/>
    <n v="0.2"/>
    <n v="1.2192000000000001"/>
  </r>
  <r>
    <s v="Standard Class"/>
    <x v="2"/>
    <s v="United States"/>
    <s v="Jacksonville"/>
    <x v="2"/>
    <n v="32216"/>
    <x v="0"/>
    <x v="2"/>
    <x v="7"/>
    <n v="219.184"/>
    <n v="2"/>
    <n v="0.2"/>
    <n v="19.178599999999999"/>
  </r>
  <r>
    <s v="First Class"/>
    <x v="1"/>
    <s v="United States"/>
    <s v="Coppell"/>
    <x v="5"/>
    <n v="75019"/>
    <x v="2"/>
    <x v="2"/>
    <x v="7"/>
    <n v="95.84"/>
    <n v="4"/>
    <n v="0.2"/>
    <n v="34.741999999999997"/>
  </r>
  <r>
    <s v="Standard Class"/>
    <x v="0"/>
    <s v="United States"/>
    <s v="Indianapolis"/>
    <x v="14"/>
    <n v="46203"/>
    <x v="2"/>
    <x v="1"/>
    <x v="2"/>
    <n v="12.39"/>
    <n v="3"/>
    <n v="0"/>
    <n v="5.6993999999999998"/>
  </r>
  <r>
    <s v="Standard Class"/>
    <x v="0"/>
    <s v="United States"/>
    <s v="Lawrence"/>
    <x v="14"/>
    <n v="46226"/>
    <x v="2"/>
    <x v="1"/>
    <x v="10"/>
    <n v="35.880000000000003"/>
    <n v="6"/>
    <n v="0"/>
    <n v="16.146000000000001"/>
  </r>
  <r>
    <s v="Standard Class"/>
    <x v="0"/>
    <s v="United States"/>
    <s v="Tulsa"/>
    <x v="26"/>
    <n v="74133"/>
    <x v="2"/>
    <x v="0"/>
    <x v="5"/>
    <n v="477.3"/>
    <n v="5"/>
    <n v="0"/>
    <n v="138.417"/>
  </r>
  <r>
    <s v="Standard Class"/>
    <x v="2"/>
    <s v="United States"/>
    <s v="Redmond"/>
    <x v="4"/>
    <n v="98052"/>
    <x v="1"/>
    <x v="1"/>
    <x v="2"/>
    <n v="12.32"/>
    <n v="4"/>
    <n v="0"/>
    <n v="5.9135999999999997"/>
  </r>
  <r>
    <s v="Standard Class"/>
    <x v="0"/>
    <s v="United States"/>
    <s v="San Francisco"/>
    <x v="1"/>
    <n v="94109"/>
    <x v="1"/>
    <x v="1"/>
    <x v="8"/>
    <n v="8.6080000000000005"/>
    <n v="2"/>
    <n v="0.2"/>
    <n v="3.0127999999999999"/>
  </r>
  <r>
    <s v="Standard Class"/>
    <x v="2"/>
    <s v="United States"/>
    <s v="Spokane"/>
    <x v="4"/>
    <n v="99207"/>
    <x v="1"/>
    <x v="1"/>
    <x v="4"/>
    <n v="136.26"/>
    <n v="9"/>
    <n v="0"/>
    <n v="5.4504000000000001"/>
  </r>
  <r>
    <s v="Standard Class"/>
    <x v="1"/>
    <s v="United States"/>
    <s v="Los Angeles"/>
    <x v="1"/>
    <n v="90032"/>
    <x v="1"/>
    <x v="1"/>
    <x v="9"/>
    <n v="186.15"/>
    <n v="3"/>
    <n v="0"/>
    <n v="55.844999999999999"/>
  </r>
  <r>
    <s v="Standard Class"/>
    <x v="1"/>
    <s v="United States"/>
    <s v="Los Angeles"/>
    <x v="1"/>
    <n v="90032"/>
    <x v="1"/>
    <x v="1"/>
    <x v="8"/>
    <n v="81.792000000000002"/>
    <n v="6"/>
    <n v="0.2"/>
    <n v="26.5824"/>
  </r>
  <r>
    <s v="Standard Class"/>
    <x v="1"/>
    <s v="United States"/>
    <s v="Los Angeles"/>
    <x v="1"/>
    <n v="90032"/>
    <x v="1"/>
    <x v="1"/>
    <x v="14"/>
    <n v="47.19"/>
    <n v="3"/>
    <n v="0"/>
    <n v="13.6851"/>
  </r>
  <r>
    <s v="Standard Class"/>
    <x v="1"/>
    <s v="United States"/>
    <s v="Los Angeles"/>
    <x v="1"/>
    <n v="90032"/>
    <x v="1"/>
    <x v="2"/>
    <x v="7"/>
    <n v="36.783999999999999"/>
    <n v="2"/>
    <n v="0.2"/>
    <n v="-8.2764000000000006"/>
  </r>
  <r>
    <s v="Second Class"/>
    <x v="2"/>
    <s v="United States"/>
    <s v="Chattanooga"/>
    <x v="18"/>
    <n v="37421"/>
    <x v="0"/>
    <x v="2"/>
    <x v="15"/>
    <n v="91.474999999999994"/>
    <n v="1"/>
    <n v="0.5"/>
    <n v="-1.8294999999999999"/>
  </r>
  <r>
    <s v="Standard Class"/>
    <x v="1"/>
    <s v="United States"/>
    <s v="Greensboro"/>
    <x v="3"/>
    <n v="27405"/>
    <x v="0"/>
    <x v="2"/>
    <x v="11"/>
    <n v="27.192"/>
    <n v="3"/>
    <n v="0.2"/>
    <n v="0.33989999999999998"/>
  </r>
  <r>
    <s v="Standard Class"/>
    <x v="1"/>
    <s v="United States"/>
    <s v="Greensboro"/>
    <x v="3"/>
    <n v="27405"/>
    <x v="0"/>
    <x v="1"/>
    <x v="8"/>
    <n v="12.06"/>
    <n v="5"/>
    <n v="0.7"/>
    <n v="-10.050000000000001"/>
  </r>
  <r>
    <s v="Standard Class"/>
    <x v="0"/>
    <s v="United States"/>
    <s v="San Francisco"/>
    <x v="1"/>
    <n v="94122"/>
    <x v="1"/>
    <x v="1"/>
    <x v="6"/>
    <n v="144.6"/>
    <n v="3"/>
    <n v="0"/>
    <n v="41.933999999999997"/>
  </r>
  <r>
    <s v="Standard Class"/>
    <x v="0"/>
    <s v="United States"/>
    <s v="San Francisco"/>
    <x v="1"/>
    <n v="94122"/>
    <x v="1"/>
    <x v="2"/>
    <x v="7"/>
    <n v="15.992000000000001"/>
    <n v="1"/>
    <n v="0.2"/>
    <n v="-2.9984999999999999"/>
  </r>
  <r>
    <s v="Second Class"/>
    <x v="2"/>
    <s v="United States"/>
    <s v="New York City"/>
    <x v="15"/>
    <n v="10024"/>
    <x v="3"/>
    <x v="1"/>
    <x v="10"/>
    <n v="34.44"/>
    <n v="3"/>
    <n v="0"/>
    <n v="17.22"/>
  </r>
  <r>
    <s v="Standard Class"/>
    <x v="2"/>
    <s v="United States"/>
    <s v="Lakewood"/>
    <x v="1"/>
    <n v="90712"/>
    <x v="1"/>
    <x v="2"/>
    <x v="7"/>
    <n v="321.55200000000002"/>
    <n v="6"/>
    <n v="0.2"/>
    <n v="20.097000000000001"/>
  </r>
  <r>
    <s v="Second Class"/>
    <x v="1"/>
    <s v="United States"/>
    <s v="Louisville"/>
    <x v="0"/>
    <n v="40214"/>
    <x v="0"/>
    <x v="0"/>
    <x v="1"/>
    <n v="701.96"/>
    <n v="2"/>
    <n v="0"/>
    <n v="168.47040000000001"/>
  </r>
  <r>
    <s v="First Class"/>
    <x v="0"/>
    <s v="United States"/>
    <s v="Columbus"/>
    <x v="24"/>
    <n v="43229"/>
    <x v="3"/>
    <x v="1"/>
    <x v="6"/>
    <n v="19.456"/>
    <n v="4"/>
    <n v="0.2"/>
    <n v="3.4047999999999998"/>
  </r>
  <r>
    <s v="Standard Class"/>
    <x v="0"/>
    <s v="United States"/>
    <s v="Newark"/>
    <x v="13"/>
    <n v="19711"/>
    <x v="3"/>
    <x v="1"/>
    <x v="2"/>
    <n v="17.28"/>
    <n v="6"/>
    <n v="0"/>
    <n v="7.9488000000000003"/>
  </r>
  <r>
    <s v="Standard Class"/>
    <x v="1"/>
    <s v="United States"/>
    <s v="Seattle"/>
    <x v="4"/>
    <n v="98115"/>
    <x v="1"/>
    <x v="0"/>
    <x v="5"/>
    <n v="31.96"/>
    <n v="2"/>
    <n v="0"/>
    <n v="1.5980000000000001"/>
  </r>
  <r>
    <s v="Second Class"/>
    <x v="0"/>
    <s v="United States"/>
    <s v="New York City"/>
    <x v="15"/>
    <n v="10024"/>
    <x v="3"/>
    <x v="1"/>
    <x v="8"/>
    <n v="164.68799999999999"/>
    <n v="6"/>
    <n v="0.2"/>
    <n v="55.5822"/>
  </r>
  <r>
    <s v="Second Class"/>
    <x v="0"/>
    <s v="United States"/>
    <s v="New York City"/>
    <x v="15"/>
    <n v="10024"/>
    <x v="3"/>
    <x v="0"/>
    <x v="3"/>
    <n v="166.5"/>
    <n v="2"/>
    <n v="0.4"/>
    <n v="-66.599999999999994"/>
  </r>
  <r>
    <s v="Second Class"/>
    <x v="0"/>
    <s v="United States"/>
    <s v="New York City"/>
    <x v="15"/>
    <n v="10024"/>
    <x v="3"/>
    <x v="1"/>
    <x v="10"/>
    <n v="12.96"/>
    <n v="2"/>
    <n v="0"/>
    <n v="6.2207999999999997"/>
  </r>
  <r>
    <s v="Second Class"/>
    <x v="0"/>
    <s v="United States"/>
    <s v="New York City"/>
    <x v="15"/>
    <n v="10024"/>
    <x v="3"/>
    <x v="1"/>
    <x v="10"/>
    <n v="110.96"/>
    <n v="2"/>
    <n v="0"/>
    <n v="53.260800000000003"/>
  </r>
  <r>
    <s v="Second Class"/>
    <x v="0"/>
    <s v="United States"/>
    <s v="New York City"/>
    <x v="15"/>
    <n v="10024"/>
    <x v="3"/>
    <x v="2"/>
    <x v="7"/>
    <n v="99.98"/>
    <n v="2"/>
    <n v="0"/>
    <n v="3.9992000000000001"/>
  </r>
  <r>
    <s v="Second Class"/>
    <x v="0"/>
    <s v="United States"/>
    <s v="New York City"/>
    <x v="15"/>
    <n v="10024"/>
    <x v="3"/>
    <x v="1"/>
    <x v="8"/>
    <n v="11.423999999999999"/>
    <n v="1"/>
    <n v="0.2"/>
    <n v="3.7128000000000001"/>
  </r>
  <r>
    <s v="Second Class"/>
    <x v="0"/>
    <s v="United States"/>
    <s v="New York City"/>
    <x v="15"/>
    <n v="10024"/>
    <x v="3"/>
    <x v="0"/>
    <x v="1"/>
    <n v="128.124"/>
    <n v="2"/>
    <n v="0.1"/>
    <n v="24.2012"/>
  </r>
  <r>
    <s v="Second Class"/>
    <x v="0"/>
    <s v="United States"/>
    <s v="New York City"/>
    <x v="15"/>
    <n v="10024"/>
    <x v="3"/>
    <x v="0"/>
    <x v="5"/>
    <n v="101.4"/>
    <n v="5"/>
    <n v="0"/>
    <n v="38.531999999999996"/>
  </r>
  <r>
    <s v="Second Class"/>
    <x v="1"/>
    <s v="United States"/>
    <s v="Chicago"/>
    <x v="10"/>
    <n v="60653"/>
    <x v="2"/>
    <x v="1"/>
    <x v="2"/>
    <n v="5.9039999999999999"/>
    <n v="2"/>
    <n v="0.2"/>
    <n v="1.9925999999999999"/>
  </r>
  <r>
    <s v="Second Class"/>
    <x v="1"/>
    <s v="United States"/>
    <s v="Chicago"/>
    <x v="10"/>
    <n v="60653"/>
    <x v="2"/>
    <x v="1"/>
    <x v="10"/>
    <n v="173.488"/>
    <n v="7"/>
    <n v="0.2"/>
    <n v="54.215000000000003"/>
  </r>
  <r>
    <s v="Second Class"/>
    <x v="1"/>
    <s v="United States"/>
    <s v="Chicago"/>
    <x v="10"/>
    <n v="60653"/>
    <x v="2"/>
    <x v="0"/>
    <x v="5"/>
    <n v="51.56"/>
    <n v="2"/>
    <n v="0.6"/>
    <n v="-61.872"/>
  </r>
  <r>
    <s v="Second Class"/>
    <x v="1"/>
    <s v="United States"/>
    <s v="Chicago"/>
    <x v="10"/>
    <n v="60653"/>
    <x v="2"/>
    <x v="1"/>
    <x v="8"/>
    <n v="3.5640000000000001"/>
    <n v="3"/>
    <n v="0.8"/>
    <n v="-6.2370000000000001"/>
  </r>
  <r>
    <s v="Standard Class"/>
    <x v="0"/>
    <s v="United States"/>
    <s v="Oswego"/>
    <x v="10"/>
    <n v="60543"/>
    <x v="2"/>
    <x v="1"/>
    <x v="13"/>
    <n v="13.16"/>
    <n v="5"/>
    <n v="0.2"/>
    <n v="4.1124999999999998"/>
  </r>
  <r>
    <s v="Standard Class"/>
    <x v="0"/>
    <s v="United States"/>
    <s v="Oswego"/>
    <x v="10"/>
    <n v="60543"/>
    <x v="2"/>
    <x v="1"/>
    <x v="8"/>
    <n v="3.8279999999999998"/>
    <n v="3"/>
    <n v="0.8"/>
    <n v="-6.5076000000000001"/>
  </r>
  <r>
    <s v="Standard Class"/>
    <x v="0"/>
    <s v="United States"/>
    <s v="Oswego"/>
    <x v="10"/>
    <n v="60543"/>
    <x v="2"/>
    <x v="1"/>
    <x v="8"/>
    <n v="304.99"/>
    <n v="5"/>
    <n v="0.8"/>
    <n v="-533.73249999999996"/>
  </r>
  <r>
    <s v="Standard Class"/>
    <x v="0"/>
    <s v="United States"/>
    <s v="Dallas"/>
    <x v="5"/>
    <n v="75220"/>
    <x v="2"/>
    <x v="1"/>
    <x v="4"/>
    <n v="18.16"/>
    <n v="2"/>
    <n v="0.2"/>
    <n v="1.8160000000000001"/>
  </r>
  <r>
    <s v="Second Class"/>
    <x v="2"/>
    <s v="United States"/>
    <s v="Philadelphia"/>
    <x v="9"/>
    <n v="19134"/>
    <x v="3"/>
    <x v="2"/>
    <x v="11"/>
    <n v="319.98399999999998"/>
    <n v="2"/>
    <n v="0.2"/>
    <n v="91.995400000000004"/>
  </r>
  <r>
    <s v="Standard Class"/>
    <x v="2"/>
    <s v="United States"/>
    <s v="Los Angeles"/>
    <x v="1"/>
    <n v="90008"/>
    <x v="1"/>
    <x v="1"/>
    <x v="6"/>
    <n v="19.68"/>
    <n v="6"/>
    <n v="0"/>
    <n v="6.4943999999999997"/>
  </r>
  <r>
    <s v="Second Class"/>
    <x v="1"/>
    <s v="United States"/>
    <s v="Houston"/>
    <x v="5"/>
    <n v="77036"/>
    <x v="2"/>
    <x v="0"/>
    <x v="0"/>
    <n v="781.86400000000003"/>
    <n v="10"/>
    <n v="0.32"/>
    <n v="-137.976"/>
  </r>
  <r>
    <s v="Second Class"/>
    <x v="1"/>
    <s v="United States"/>
    <s v="Houston"/>
    <x v="5"/>
    <n v="77036"/>
    <x v="2"/>
    <x v="1"/>
    <x v="10"/>
    <n v="30.815999999999999"/>
    <n v="9"/>
    <n v="0.2"/>
    <n v="9.6300000000000008"/>
  </r>
  <r>
    <s v="Same Day"/>
    <x v="0"/>
    <s v="United States"/>
    <s v="Wheeling"/>
    <x v="48"/>
    <n v="26003"/>
    <x v="3"/>
    <x v="0"/>
    <x v="3"/>
    <n v="673.34400000000005"/>
    <n v="3"/>
    <n v="0.3"/>
    <n v="-76.953599999999994"/>
  </r>
  <r>
    <s v="First Class"/>
    <x v="1"/>
    <s v="United States"/>
    <s v="Paterson"/>
    <x v="30"/>
    <n v="7501"/>
    <x v="3"/>
    <x v="1"/>
    <x v="13"/>
    <n v="6.54"/>
    <n v="3"/>
    <n v="0"/>
    <n v="2.1581999999999999"/>
  </r>
  <r>
    <s v="First Class"/>
    <x v="0"/>
    <s v="United States"/>
    <s v="Portland"/>
    <x v="21"/>
    <n v="97206"/>
    <x v="1"/>
    <x v="2"/>
    <x v="7"/>
    <n v="572.79999999999995"/>
    <n v="2"/>
    <n v="0.2"/>
    <n v="50.12"/>
  </r>
  <r>
    <s v="Standard Class"/>
    <x v="1"/>
    <s v="United States"/>
    <s v="Huntsville"/>
    <x v="19"/>
    <n v="35810"/>
    <x v="0"/>
    <x v="1"/>
    <x v="6"/>
    <n v="197.05"/>
    <n v="7"/>
    <n v="0"/>
    <n v="59.115000000000002"/>
  </r>
  <r>
    <s v="Standard Class"/>
    <x v="0"/>
    <s v="United States"/>
    <s v="San Francisco"/>
    <x v="1"/>
    <n v="94110"/>
    <x v="1"/>
    <x v="1"/>
    <x v="8"/>
    <n v="2022.2719999999999"/>
    <n v="8"/>
    <n v="0.2"/>
    <n v="682.51679999999999"/>
  </r>
  <r>
    <s v="Standard Class"/>
    <x v="0"/>
    <s v="United States"/>
    <s v="San Francisco"/>
    <x v="1"/>
    <n v="94110"/>
    <x v="1"/>
    <x v="1"/>
    <x v="6"/>
    <n v="9.1199999999999992"/>
    <n v="3"/>
    <n v="0"/>
    <n v="3.1008"/>
  </r>
  <r>
    <s v="Same Day"/>
    <x v="0"/>
    <s v="United States"/>
    <s v="Oklahoma City"/>
    <x v="26"/>
    <n v="73120"/>
    <x v="2"/>
    <x v="1"/>
    <x v="8"/>
    <n v="38.159999999999997"/>
    <n v="9"/>
    <n v="0"/>
    <n v="19.079999999999998"/>
  </r>
  <r>
    <s v="Standard Class"/>
    <x v="1"/>
    <s v="United States"/>
    <s v="Broken Arrow"/>
    <x v="26"/>
    <n v="74012"/>
    <x v="2"/>
    <x v="0"/>
    <x v="3"/>
    <n v="1592.85"/>
    <n v="7"/>
    <n v="0"/>
    <n v="350.42700000000002"/>
  </r>
  <r>
    <s v="Standard Class"/>
    <x v="1"/>
    <s v="United States"/>
    <s v="Broken Arrow"/>
    <x v="26"/>
    <n v="74012"/>
    <x v="2"/>
    <x v="1"/>
    <x v="8"/>
    <n v="11.88"/>
    <n v="2"/>
    <n v="0"/>
    <n v="5.3460000000000001"/>
  </r>
  <r>
    <s v="Standard Class"/>
    <x v="0"/>
    <s v="United States"/>
    <s v="Mission Viejo"/>
    <x v="1"/>
    <n v="92691"/>
    <x v="1"/>
    <x v="2"/>
    <x v="11"/>
    <n v="120"/>
    <n v="6"/>
    <n v="0"/>
    <n v="46.8"/>
  </r>
  <r>
    <s v="Standard Class"/>
    <x v="0"/>
    <s v="United States"/>
    <s v="Mission Viejo"/>
    <x v="1"/>
    <n v="92691"/>
    <x v="1"/>
    <x v="1"/>
    <x v="9"/>
    <n v="8.67"/>
    <n v="1"/>
    <n v="0"/>
    <n v="2.3409"/>
  </r>
  <r>
    <s v="First Class"/>
    <x v="2"/>
    <s v="United States"/>
    <s v="Greenwood"/>
    <x v="14"/>
    <n v="46142"/>
    <x v="2"/>
    <x v="1"/>
    <x v="10"/>
    <n v="4.41"/>
    <n v="1"/>
    <n v="0"/>
    <n v="2.0286"/>
  </r>
  <r>
    <s v="First Class"/>
    <x v="2"/>
    <s v="United States"/>
    <s v="Greenwood"/>
    <x v="14"/>
    <n v="46142"/>
    <x v="2"/>
    <x v="1"/>
    <x v="10"/>
    <n v="167.94"/>
    <n v="3"/>
    <n v="0"/>
    <n v="82.290599999999998"/>
  </r>
  <r>
    <s v="First Class"/>
    <x v="2"/>
    <s v="United States"/>
    <s v="Greenwood"/>
    <x v="14"/>
    <n v="46142"/>
    <x v="2"/>
    <x v="1"/>
    <x v="10"/>
    <n v="67.8"/>
    <n v="10"/>
    <n v="0"/>
    <n v="31.187999999999999"/>
  </r>
  <r>
    <s v="Standard Class"/>
    <x v="0"/>
    <s v="United States"/>
    <s v="Milwaukee"/>
    <x v="6"/>
    <n v="53209"/>
    <x v="2"/>
    <x v="0"/>
    <x v="5"/>
    <n v="26.94"/>
    <n v="3"/>
    <n v="0"/>
    <n v="11.3148"/>
  </r>
  <r>
    <s v="Standard Class"/>
    <x v="0"/>
    <s v="United States"/>
    <s v="San Francisco"/>
    <x v="1"/>
    <n v="94109"/>
    <x v="1"/>
    <x v="0"/>
    <x v="5"/>
    <n v="32.04"/>
    <n v="3"/>
    <n v="0"/>
    <n v="8.01"/>
  </r>
  <r>
    <s v="Standard Class"/>
    <x v="0"/>
    <s v="United States"/>
    <s v="Rome"/>
    <x v="15"/>
    <n v="13440"/>
    <x v="3"/>
    <x v="1"/>
    <x v="6"/>
    <n v="32.130000000000003"/>
    <n v="9"/>
    <n v="0"/>
    <n v="8.3537999999999997"/>
  </r>
  <r>
    <s v="Standard Class"/>
    <x v="0"/>
    <s v="United States"/>
    <s v="Rome"/>
    <x v="15"/>
    <n v="13440"/>
    <x v="3"/>
    <x v="1"/>
    <x v="6"/>
    <n v="2.88"/>
    <n v="1"/>
    <n v="0"/>
    <n v="0.80640000000000001"/>
  </r>
  <r>
    <s v="Standard Class"/>
    <x v="1"/>
    <s v="United States"/>
    <s v="New York City"/>
    <x v="15"/>
    <n v="10009"/>
    <x v="3"/>
    <x v="2"/>
    <x v="7"/>
    <n v="1091.93"/>
    <n v="7"/>
    <n v="0"/>
    <n v="272.98250000000002"/>
  </r>
  <r>
    <s v="Standard Class"/>
    <x v="1"/>
    <s v="United States"/>
    <s v="New York City"/>
    <x v="15"/>
    <n v="10009"/>
    <x v="3"/>
    <x v="1"/>
    <x v="10"/>
    <n v="111.96"/>
    <n v="2"/>
    <n v="0"/>
    <n v="54.860399999999998"/>
  </r>
  <r>
    <s v="Second Class"/>
    <x v="0"/>
    <s v="United States"/>
    <s v="Dearborn Heights"/>
    <x v="12"/>
    <n v="48127"/>
    <x v="2"/>
    <x v="1"/>
    <x v="6"/>
    <n v="26.7"/>
    <n v="2"/>
    <n v="0"/>
    <n v="7.476"/>
  </r>
  <r>
    <s v="Second Class"/>
    <x v="0"/>
    <s v="United States"/>
    <s v="Dearborn Heights"/>
    <x v="12"/>
    <n v="48127"/>
    <x v="2"/>
    <x v="1"/>
    <x v="8"/>
    <n v="40.200000000000003"/>
    <n v="5"/>
    <n v="0"/>
    <n v="18.09"/>
  </r>
  <r>
    <s v="Second Class"/>
    <x v="0"/>
    <s v="United States"/>
    <s v="Dearborn Heights"/>
    <x v="12"/>
    <n v="48127"/>
    <x v="2"/>
    <x v="1"/>
    <x v="6"/>
    <n v="13.89"/>
    <n v="3"/>
    <n v="0"/>
    <n v="4.5837000000000003"/>
  </r>
  <r>
    <s v="Second Class"/>
    <x v="0"/>
    <s v="United States"/>
    <s v="Dearborn Heights"/>
    <x v="12"/>
    <n v="48127"/>
    <x v="2"/>
    <x v="1"/>
    <x v="4"/>
    <n v="689.82"/>
    <n v="6"/>
    <n v="0"/>
    <n v="20.694600000000001"/>
  </r>
  <r>
    <s v="Standard Class"/>
    <x v="0"/>
    <s v="United States"/>
    <s v="New York City"/>
    <x v="15"/>
    <n v="10024"/>
    <x v="3"/>
    <x v="1"/>
    <x v="6"/>
    <n v="38.340000000000003"/>
    <n v="9"/>
    <n v="0"/>
    <n v="15.7194"/>
  </r>
  <r>
    <s v="First Class"/>
    <x v="1"/>
    <s v="United States"/>
    <s v="Chicago"/>
    <x v="10"/>
    <n v="60623"/>
    <x v="2"/>
    <x v="1"/>
    <x v="8"/>
    <n v="9.2639999999999993"/>
    <n v="3"/>
    <n v="0.8"/>
    <n v="-13.896000000000001"/>
  </r>
  <r>
    <s v="Second Class"/>
    <x v="0"/>
    <s v="United States"/>
    <s v="Dallas"/>
    <x v="5"/>
    <n v="75217"/>
    <x v="2"/>
    <x v="0"/>
    <x v="0"/>
    <n v="204.66640000000001"/>
    <n v="1"/>
    <n v="0.32"/>
    <n v="-6.0195999999999996"/>
  </r>
  <r>
    <s v="Standard Class"/>
    <x v="0"/>
    <s v="United States"/>
    <s v="Appleton"/>
    <x v="6"/>
    <n v="54915"/>
    <x v="2"/>
    <x v="2"/>
    <x v="11"/>
    <n v="1649.75"/>
    <n v="5"/>
    <n v="0"/>
    <n v="544.41750000000002"/>
  </r>
  <r>
    <s v="Standard Class"/>
    <x v="2"/>
    <s v="United States"/>
    <s v="Jacksonville"/>
    <x v="2"/>
    <n v="32216"/>
    <x v="0"/>
    <x v="1"/>
    <x v="10"/>
    <n v="91.055999999999997"/>
    <n v="6"/>
    <n v="0.2"/>
    <n v="31.869599999999998"/>
  </r>
  <r>
    <s v="Standard Class"/>
    <x v="0"/>
    <s v="United States"/>
    <s v="Chicago"/>
    <x v="10"/>
    <n v="60653"/>
    <x v="2"/>
    <x v="1"/>
    <x v="6"/>
    <n v="54.207999999999998"/>
    <n v="14"/>
    <n v="0.2"/>
    <n v="8.8087999999999997"/>
  </r>
  <r>
    <s v="Second Class"/>
    <x v="0"/>
    <s v="United States"/>
    <s v="Bowling Green"/>
    <x v="24"/>
    <n v="43402"/>
    <x v="3"/>
    <x v="2"/>
    <x v="7"/>
    <n v="26.981999999999999"/>
    <n v="3"/>
    <n v="0.4"/>
    <n v="4.0472999999999999"/>
  </r>
  <r>
    <s v="Second Class"/>
    <x v="0"/>
    <s v="United States"/>
    <s v="Bowling Green"/>
    <x v="24"/>
    <n v="43402"/>
    <x v="3"/>
    <x v="1"/>
    <x v="2"/>
    <n v="6.9119999999999999"/>
    <n v="3"/>
    <n v="0.2"/>
    <n v="2.5055999999999998"/>
  </r>
  <r>
    <s v="Second Class"/>
    <x v="0"/>
    <s v="United States"/>
    <s v="Bowling Green"/>
    <x v="24"/>
    <n v="43402"/>
    <x v="3"/>
    <x v="1"/>
    <x v="4"/>
    <n v="435.50400000000002"/>
    <n v="3"/>
    <n v="0.2"/>
    <n v="48.994199999999999"/>
  </r>
  <r>
    <s v="Second Class"/>
    <x v="0"/>
    <s v="United States"/>
    <s v="San Francisco"/>
    <x v="1"/>
    <n v="94110"/>
    <x v="1"/>
    <x v="1"/>
    <x v="9"/>
    <n v="81.08"/>
    <n v="4"/>
    <n v="0"/>
    <n v="22.702400000000001"/>
  </r>
  <r>
    <s v="Standard Class"/>
    <x v="1"/>
    <s v="United States"/>
    <s v="Los Angeles"/>
    <x v="1"/>
    <n v="90049"/>
    <x v="1"/>
    <x v="1"/>
    <x v="4"/>
    <n v="93.02"/>
    <n v="2"/>
    <n v="0"/>
    <n v="3.7208000000000001"/>
  </r>
  <r>
    <s v="Standard Class"/>
    <x v="0"/>
    <s v="United States"/>
    <s v="Chicago"/>
    <x v="10"/>
    <n v="60623"/>
    <x v="2"/>
    <x v="2"/>
    <x v="7"/>
    <n v="323.976"/>
    <n v="3"/>
    <n v="0.2"/>
    <n v="36.447299999999998"/>
  </r>
  <r>
    <s v="Standard Class"/>
    <x v="0"/>
    <s v="United States"/>
    <s v="Chicago"/>
    <x v="10"/>
    <n v="60623"/>
    <x v="2"/>
    <x v="1"/>
    <x v="10"/>
    <n v="15.552"/>
    <n v="3"/>
    <n v="0.2"/>
    <n v="5.4432"/>
  </r>
  <r>
    <s v="Standard Class"/>
    <x v="0"/>
    <s v="United States"/>
    <s v="Chicago"/>
    <x v="10"/>
    <n v="60623"/>
    <x v="2"/>
    <x v="1"/>
    <x v="4"/>
    <n v="32.591999999999999"/>
    <n v="3"/>
    <n v="0.2"/>
    <n v="-7.7405999999999997"/>
  </r>
  <r>
    <s v="First Class"/>
    <x v="2"/>
    <s v="United States"/>
    <s v="Seattle"/>
    <x v="4"/>
    <n v="98115"/>
    <x v="1"/>
    <x v="1"/>
    <x v="8"/>
    <n v="83.92"/>
    <n v="5"/>
    <n v="0.2"/>
    <n v="29.372"/>
  </r>
  <r>
    <s v="First Class"/>
    <x v="2"/>
    <s v="United States"/>
    <s v="Seattle"/>
    <x v="4"/>
    <n v="98115"/>
    <x v="1"/>
    <x v="0"/>
    <x v="5"/>
    <n v="199.9"/>
    <n v="5"/>
    <n v="0"/>
    <n v="39.979999999999997"/>
  </r>
  <r>
    <s v="First Class"/>
    <x v="2"/>
    <s v="United States"/>
    <s v="Seattle"/>
    <x v="4"/>
    <n v="98115"/>
    <x v="1"/>
    <x v="2"/>
    <x v="7"/>
    <n v="31.175999999999998"/>
    <n v="3"/>
    <n v="0.2"/>
    <n v="-7.0145999999999997"/>
  </r>
  <r>
    <s v="First Class"/>
    <x v="2"/>
    <s v="United States"/>
    <s v="Seattle"/>
    <x v="4"/>
    <n v="98115"/>
    <x v="1"/>
    <x v="1"/>
    <x v="8"/>
    <n v="172.75200000000001"/>
    <n v="6"/>
    <n v="0.2"/>
    <n v="60.463200000000001"/>
  </r>
  <r>
    <s v="First Class"/>
    <x v="2"/>
    <s v="United States"/>
    <s v="Seattle"/>
    <x v="4"/>
    <n v="98115"/>
    <x v="1"/>
    <x v="1"/>
    <x v="8"/>
    <n v="9.2959999999999994"/>
    <n v="2"/>
    <n v="0.2"/>
    <n v="3.0211999999999999"/>
  </r>
  <r>
    <s v="Same Day"/>
    <x v="1"/>
    <s v="United States"/>
    <s v="Beaumont"/>
    <x v="5"/>
    <n v="77705"/>
    <x v="2"/>
    <x v="1"/>
    <x v="4"/>
    <n v="12.768000000000001"/>
    <n v="2"/>
    <n v="0.2"/>
    <n v="0.95760000000000001"/>
  </r>
  <r>
    <s v="Standard Class"/>
    <x v="2"/>
    <s v="United States"/>
    <s v="Seattle"/>
    <x v="4"/>
    <n v="98103"/>
    <x v="1"/>
    <x v="1"/>
    <x v="10"/>
    <n v="52.76"/>
    <n v="2"/>
    <n v="0"/>
    <n v="24.269600000000001"/>
  </r>
  <r>
    <s v="Standard Class"/>
    <x v="2"/>
    <s v="United States"/>
    <s v="Dallas"/>
    <x v="5"/>
    <n v="75217"/>
    <x v="2"/>
    <x v="1"/>
    <x v="4"/>
    <n v="55.616"/>
    <n v="2"/>
    <n v="0.2"/>
    <n v="5.5616000000000003"/>
  </r>
  <r>
    <s v="Standard Class"/>
    <x v="0"/>
    <s v="United States"/>
    <s v="New York City"/>
    <x v="15"/>
    <n v="10011"/>
    <x v="3"/>
    <x v="0"/>
    <x v="1"/>
    <n v="427.64400000000001"/>
    <n v="14"/>
    <n v="0.1"/>
    <n v="80.777199999999993"/>
  </r>
  <r>
    <s v="Standard Class"/>
    <x v="0"/>
    <s v="United States"/>
    <s v="New York City"/>
    <x v="15"/>
    <n v="10011"/>
    <x v="3"/>
    <x v="1"/>
    <x v="13"/>
    <n v="40.67"/>
    <n v="7"/>
    <n v="0"/>
    <n v="12.607699999999999"/>
  </r>
  <r>
    <s v="Standard Class"/>
    <x v="0"/>
    <s v="United States"/>
    <s v="New York City"/>
    <x v="15"/>
    <n v="10011"/>
    <x v="3"/>
    <x v="1"/>
    <x v="4"/>
    <n v="33.479999999999997"/>
    <n v="2"/>
    <n v="0"/>
    <n v="1.3391999999999999"/>
  </r>
  <r>
    <s v="Standard Class"/>
    <x v="0"/>
    <s v="United States"/>
    <s v="New York City"/>
    <x v="15"/>
    <n v="10011"/>
    <x v="3"/>
    <x v="1"/>
    <x v="8"/>
    <n v="9.7279999999999998"/>
    <n v="2"/>
    <n v="0.2"/>
    <n v="3.2831999999999999"/>
  </r>
  <r>
    <s v="Second Class"/>
    <x v="0"/>
    <s v="United States"/>
    <s v="Chicago"/>
    <x v="10"/>
    <n v="60610"/>
    <x v="2"/>
    <x v="0"/>
    <x v="5"/>
    <n v="8.8559999999999999"/>
    <n v="3"/>
    <n v="0.6"/>
    <n v="-6.8634000000000004"/>
  </r>
  <r>
    <s v="First Class"/>
    <x v="1"/>
    <s v="United States"/>
    <s v="San Francisco"/>
    <x v="1"/>
    <n v="94110"/>
    <x v="1"/>
    <x v="0"/>
    <x v="0"/>
    <n v="477.666"/>
    <n v="2"/>
    <n v="0.15"/>
    <n v="84.293999999999997"/>
  </r>
  <r>
    <s v="First Class"/>
    <x v="0"/>
    <s v="United States"/>
    <s v="Providence"/>
    <x v="34"/>
    <n v="2908"/>
    <x v="3"/>
    <x v="1"/>
    <x v="10"/>
    <n v="16.899999999999999"/>
    <n v="5"/>
    <n v="0"/>
    <n v="7.774"/>
  </r>
  <r>
    <s v="First Class"/>
    <x v="0"/>
    <s v="United States"/>
    <s v="Providence"/>
    <x v="34"/>
    <n v="2908"/>
    <x v="3"/>
    <x v="1"/>
    <x v="10"/>
    <n v="39.96"/>
    <n v="2"/>
    <n v="0"/>
    <n v="18.781199999999998"/>
  </r>
  <r>
    <s v="Second Class"/>
    <x v="2"/>
    <s v="United States"/>
    <s v="Phoenix"/>
    <x v="16"/>
    <n v="85023"/>
    <x v="1"/>
    <x v="0"/>
    <x v="1"/>
    <n v="191.96799999999999"/>
    <n v="7"/>
    <n v="0.2"/>
    <n v="16.7972"/>
  </r>
  <r>
    <s v="Standard Class"/>
    <x v="1"/>
    <s v="United States"/>
    <s v="Houston"/>
    <x v="5"/>
    <n v="77095"/>
    <x v="2"/>
    <x v="1"/>
    <x v="2"/>
    <n v="35.520000000000003"/>
    <n v="3"/>
    <n v="0.2"/>
    <n v="13.32"/>
  </r>
  <r>
    <s v="Standard Class"/>
    <x v="1"/>
    <s v="United States"/>
    <s v="Houston"/>
    <x v="5"/>
    <n v="77095"/>
    <x v="2"/>
    <x v="1"/>
    <x v="8"/>
    <n v="6.23"/>
    <n v="5"/>
    <n v="0.8"/>
    <n v="-9.6564999999999994"/>
  </r>
  <r>
    <s v="Standard Class"/>
    <x v="1"/>
    <s v="United States"/>
    <s v="Houston"/>
    <x v="5"/>
    <n v="77095"/>
    <x v="2"/>
    <x v="1"/>
    <x v="10"/>
    <n v="56.704000000000001"/>
    <n v="2"/>
    <n v="0.2"/>
    <n v="19.137599999999999"/>
  </r>
  <r>
    <s v="Standard Class"/>
    <x v="1"/>
    <s v="United States"/>
    <s v="Houston"/>
    <x v="5"/>
    <n v="77095"/>
    <x v="2"/>
    <x v="0"/>
    <x v="0"/>
    <n v="369.19920000000002"/>
    <n v="3"/>
    <n v="0.32"/>
    <n v="-114.01739999999999"/>
  </r>
  <r>
    <s v="Standard Class"/>
    <x v="1"/>
    <s v="United States"/>
    <s v="Columbus"/>
    <x v="14"/>
    <n v="47201"/>
    <x v="2"/>
    <x v="2"/>
    <x v="11"/>
    <n v="1.98"/>
    <n v="2"/>
    <n v="0"/>
    <n v="0.89100000000000001"/>
  </r>
  <r>
    <s v="Standard Class"/>
    <x v="1"/>
    <s v="United States"/>
    <s v="Columbus"/>
    <x v="14"/>
    <n v="47201"/>
    <x v="2"/>
    <x v="1"/>
    <x v="10"/>
    <n v="75.88"/>
    <n v="2"/>
    <n v="0"/>
    <n v="35.663600000000002"/>
  </r>
  <r>
    <s v="Second Class"/>
    <x v="1"/>
    <s v="United States"/>
    <s v="Philadelphia"/>
    <x v="9"/>
    <n v="19134"/>
    <x v="3"/>
    <x v="1"/>
    <x v="10"/>
    <n v="6.8479999999999999"/>
    <n v="2"/>
    <n v="0.2"/>
    <n v="2.14"/>
  </r>
  <r>
    <s v="Second Class"/>
    <x v="1"/>
    <s v="United States"/>
    <s v="Philadelphia"/>
    <x v="9"/>
    <n v="19134"/>
    <x v="3"/>
    <x v="1"/>
    <x v="8"/>
    <n v="4.6260000000000003"/>
    <n v="2"/>
    <n v="0.7"/>
    <n v="-3.855"/>
  </r>
  <r>
    <s v="Second Class"/>
    <x v="1"/>
    <s v="United States"/>
    <s v="Philadelphia"/>
    <x v="9"/>
    <n v="19134"/>
    <x v="3"/>
    <x v="1"/>
    <x v="9"/>
    <n v="453.6"/>
    <n v="3"/>
    <n v="0.2"/>
    <n v="90.72"/>
  </r>
  <r>
    <s v="First Class"/>
    <x v="2"/>
    <s v="United States"/>
    <s v="San Jose"/>
    <x v="1"/>
    <n v="95123"/>
    <x v="1"/>
    <x v="1"/>
    <x v="8"/>
    <n v="13.848000000000001"/>
    <n v="3"/>
    <n v="0.2"/>
    <n v="5.1929999999999996"/>
  </r>
  <r>
    <s v="Standard Class"/>
    <x v="0"/>
    <s v="United States"/>
    <s v="Philadelphia"/>
    <x v="9"/>
    <n v="19140"/>
    <x v="3"/>
    <x v="1"/>
    <x v="4"/>
    <n v="577.58399999999995"/>
    <n v="6"/>
    <n v="0.2"/>
    <n v="43.318800000000003"/>
  </r>
  <r>
    <s v="Standard Class"/>
    <x v="2"/>
    <s v="United States"/>
    <s v="Springfield"/>
    <x v="17"/>
    <n v="22153"/>
    <x v="0"/>
    <x v="2"/>
    <x v="11"/>
    <n v="151.96"/>
    <n v="4"/>
    <n v="0"/>
    <n v="36.470399999999998"/>
  </r>
  <r>
    <s v="Standard Class"/>
    <x v="1"/>
    <s v="United States"/>
    <s v="Broomfield"/>
    <x v="22"/>
    <n v="80020"/>
    <x v="1"/>
    <x v="0"/>
    <x v="5"/>
    <n v="68.432000000000002"/>
    <n v="7"/>
    <n v="0.2"/>
    <n v="8.5540000000000003"/>
  </r>
  <r>
    <s v="Standard Class"/>
    <x v="0"/>
    <s v="United States"/>
    <s v="Columbus"/>
    <x v="24"/>
    <n v="43229"/>
    <x v="3"/>
    <x v="0"/>
    <x v="5"/>
    <n v="71.12"/>
    <n v="5"/>
    <n v="0.2"/>
    <n v="9.7789999999999999"/>
  </r>
  <r>
    <s v="Standard Class"/>
    <x v="0"/>
    <s v="United States"/>
    <s v="Columbus"/>
    <x v="24"/>
    <n v="43229"/>
    <x v="3"/>
    <x v="1"/>
    <x v="13"/>
    <n v="3.008"/>
    <n v="2"/>
    <n v="0.2"/>
    <n v="0.56399999999999995"/>
  </r>
  <r>
    <s v="Second Class"/>
    <x v="2"/>
    <s v="United States"/>
    <s v="Concord"/>
    <x v="38"/>
    <n v="3301"/>
    <x v="3"/>
    <x v="1"/>
    <x v="10"/>
    <n v="184.66"/>
    <n v="7"/>
    <n v="0"/>
    <n v="84.943600000000004"/>
  </r>
  <r>
    <s v="Second Class"/>
    <x v="0"/>
    <s v="United States"/>
    <s v="Houston"/>
    <x v="5"/>
    <n v="77095"/>
    <x v="2"/>
    <x v="0"/>
    <x v="5"/>
    <n v="5.3120000000000003"/>
    <n v="2"/>
    <n v="0.6"/>
    <n v="-1.5935999999999999"/>
  </r>
  <r>
    <s v="First Class"/>
    <x v="0"/>
    <s v="United States"/>
    <s v="Newark"/>
    <x v="24"/>
    <n v="43055"/>
    <x v="3"/>
    <x v="2"/>
    <x v="11"/>
    <n v="132.52000000000001"/>
    <n v="5"/>
    <n v="0.2"/>
    <n v="34.786499999999997"/>
  </r>
  <r>
    <s v="First Class"/>
    <x v="0"/>
    <s v="United States"/>
    <s v="Newark"/>
    <x v="24"/>
    <n v="43055"/>
    <x v="3"/>
    <x v="1"/>
    <x v="4"/>
    <n v="195.64"/>
    <n v="5"/>
    <n v="0.2"/>
    <n v="-44.018999999999998"/>
  </r>
  <r>
    <s v="First Class"/>
    <x v="0"/>
    <s v="United States"/>
    <s v="Newark"/>
    <x v="24"/>
    <n v="43055"/>
    <x v="3"/>
    <x v="0"/>
    <x v="5"/>
    <n v="51.968000000000004"/>
    <n v="2"/>
    <n v="0.2"/>
    <n v="10.393599999999999"/>
  </r>
  <r>
    <s v="First Class"/>
    <x v="0"/>
    <s v="United States"/>
    <s v="Newark"/>
    <x v="24"/>
    <n v="43055"/>
    <x v="3"/>
    <x v="2"/>
    <x v="11"/>
    <n v="431.976"/>
    <n v="3"/>
    <n v="0.2"/>
    <n v="-75.595799999999997"/>
  </r>
  <r>
    <s v="First Class"/>
    <x v="0"/>
    <s v="United States"/>
    <s v="Newark"/>
    <x v="24"/>
    <n v="43055"/>
    <x v="3"/>
    <x v="2"/>
    <x v="15"/>
    <n v="224.93700000000001"/>
    <n v="3"/>
    <n v="0.7"/>
    <n v="-164.9538"/>
  </r>
  <r>
    <s v="First Class"/>
    <x v="0"/>
    <s v="United States"/>
    <s v="Newark"/>
    <x v="24"/>
    <n v="43055"/>
    <x v="3"/>
    <x v="1"/>
    <x v="2"/>
    <n v="6"/>
    <n v="2"/>
    <n v="0.2"/>
    <n v="2.1"/>
  </r>
  <r>
    <s v="Standard Class"/>
    <x v="2"/>
    <s v="United States"/>
    <s v="Los Angeles"/>
    <x v="1"/>
    <n v="90045"/>
    <x v="1"/>
    <x v="1"/>
    <x v="10"/>
    <n v="11.76"/>
    <n v="2"/>
    <n v="0"/>
    <n v="5.7624000000000004"/>
  </r>
  <r>
    <s v="Same Day"/>
    <x v="0"/>
    <s v="United States"/>
    <s v="Tampa"/>
    <x v="2"/>
    <n v="33614"/>
    <x v="0"/>
    <x v="0"/>
    <x v="1"/>
    <n v="1125.4880000000001"/>
    <n v="7"/>
    <n v="0.2"/>
    <n v="98.480199999999996"/>
  </r>
  <r>
    <s v="Same Day"/>
    <x v="0"/>
    <s v="United States"/>
    <s v="Tampa"/>
    <x v="2"/>
    <n v="33614"/>
    <x v="0"/>
    <x v="1"/>
    <x v="8"/>
    <n v="12.645"/>
    <n v="5"/>
    <n v="0.7"/>
    <n v="-10.116"/>
  </r>
  <r>
    <s v="Same Day"/>
    <x v="0"/>
    <s v="United States"/>
    <s v="Tampa"/>
    <x v="2"/>
    <n v="33614"/>
    <x v="0"/>
    <x v="1"/>
    <x v="6"/>
    <n v="4.032"/>
    <n v="2"/>
    <n v="0.2"/>
    <n v="1.0584"/>
  </r>
  <r>
    <s v="First Class"/>
    <x v="1"/>
    <s v="United States"/>
    <s v="Fremont"/>
    <x v="8"/>
    <n v="68025"/>
    <x v="2"/>
    <x v="2"/>
    <x v="7"/>
    <n v="79.959999999999994"/>
    <n v="4"/>
    <n v="0"/>
    <n v="22.3888"/>
  </r>
  <r>
    <s v="Same Day"/>
    <x v="0"/>
    <s v="United States"/>
    <s v="Columbus"/>
    <x v="24"/>
    <n v="43229"/>
    <x v="3"/>
    <x v="1"/>
    <x v="8"/>
    <n v="6.7320000000000002"/>
    <n v="6"/>
    <n v="0.7"/>
    <n v="-4.4880000000000004"/>
  </r>
  <r>
    <s v="Same Day"/>
    <x v="0"/>
    <s v="United States"/>
    <s v="Columbus"/>
    <x v="24"/>
    <n v="43229"/>
    <x v="3"/>
    <x v="1"/>
    <x v="4"/>
    <n v="33.567999999999998"/>
    <n v="2"/>
    <n v="0.2"/>
    <n v="1.6783999999999999"/>
  </r>
  <r>
    <s v="Same Day"/>
    <x v="0"/>
    <s v="United States"/>
    <s v="Columbus"/>
    <x v="24"/>
    <n v="43229"/>
    <x v="3"/>
    <x v="1"/>
    <x v="12"/>
    <n v="15.84"/>
    <n v="2"/>
    <n v="0.2"/>
    <n v="5.5439999999999996"/>
  </r>
  <r>
    <s v="Same Day"/>
    <x v="0"/>
    <s v="United States"/>
    <s v="Columbus"/>
    <x v="24"/>
    <n v="43229"/>
    <x v="3"/>
    <x v="1"/>
    <x v="2"/>
    <n v="24.423999999999999"/>
    <n v="1"/>
    <n v="0.2"/>
    <n v="7.9378000000000002"/>
  </r>
  <r>
    <s v="Same Day"/>
    <x v="0"/>
    <s v="United States"/>
    <s v="Columbus"/>
    <x v="24"/>
    <n v="43229"/>
    <x v="3"/>
    <x v="1"/>
    <x v="6"/>
    <n v="17.12"/>
    <n v="5"/>
    <n v="0.2"/>
    <n v="1.9259999999999999"/>
  </r>
  <r>
    <s v="Same Day"/>
    <x v="0"/>
    <s v="United States"/>
    <s v="Pomona"/>
    <x v="1"/>
    <n v="91767"/>
    <x v="1"/>
    <x v="0"/>
    <x v="5"/>
    <n v="31.56"/>
    <n v="3"/>
    <n v="0"/>
    <n v="10.4148"/>
  </r>
  <r>
    <s v="Second Class"/>
    <x v="0"/>
    <s v="United States"/>
    <s v="San Antonio"/>
    <x v="5"/>
    <n v="78207"/>
    <x v="2"/>
    <x v="0"/>
    <x v="1"/>
    <n v="105.68600000000001"/>
    <n v="1"/>
    <n v="0.3"/>
    <n v="-28.686199999999999"/>
  </r>
  <r>
    <s v="Second Class"/>
    <x v="0"/>
    <s v="United States"/>
    <s v="San Antonio"/>
    <x v="5"/>
    <n v="78207"/>
    <x v="2"/>
    <x v="2"/>
    <x v="15"/>
    <n v="399.54"/>
    <n v="2"/>
    <n v="0.4"/>
    <n v="-79.908000000000001"/>
  </r>
  <r>
    <s v="Second Class"/>
    <x v="0"/>
    <s v="United States"/>
    <s v="San Antonio"/>
    <x v="5"/>
    <n v="78207"/>
    <x v="2"/>
    <x v="0"/>
    <x v="1"/>
    <n v="104.93"/>
    <n v="5"/>
    <n v="0.3"/>
    <n v="-4.4969999999999999"/>
  </r>
  <r>
    <s v="First Class"/>
    <x v="2"/>
    <s v="United States"/>
    <s v="New York City"/>
    <x v="15"/>
    <n v="10035"/>
    <x v="3"/>
    <x v="2"/>
    <x v="7"/>
    <n v="1079.8499999999999"/>
    <n v="3"/>
    <n v="0"/>
    <n v="323.95499999999998"/>
  </r>
  <r>
    <s v="First Class"/>
    <x v="2"/>
    <s v="United States"/>
    <s v="New York City"/>
    <x v="15"/>
    <n v="10035"/>
    <x v="3"/>
    <x v="1"/>
    <x v="4"/>
    <n v="70.98"/>
    <n v="1"/>
    <n v="0"/>
    <n v="3.5489999999999999"/>
  </r>
  <r>
    <s v="First Class"/>
    <x v="2"/>
    <s v="United States"/>
    <s v="New York City"/>
    <x v="15"/>
    <n v="10035"/>
    <x v="3"/>
    <x v="1"/>
    <x v="6"/>
    <n v="29.95"/>
    <n v="5"/>
    <n v="0"/>
    <n v="8.6854999999999993"/>
  </r>
  <r>
    <s v="First Class"/>
    <x v="2"/>
    <s v="United States"/>
    <s v="New York City"/>
    <x v="15"/>
    <n v="10035"/>
    <x v="3"/>
    <x v="0"/>
    <x v="1"/>
    <n v="589.41"/>
    <n v="5"/>
    <n v="0.1"/>
    <n v="-6.5490000000000004"/>
  </r>
  <r>
    <s v="Standard Class"/>
    <x v="2"/>
    <s v="United States"/>
    <s v="Philadelphia"/>
    <x v="9"/>
    <n v="19120"/>
    <x v="3"/>
    <x v="1"/>
    <x v="13"/>
    <n v="9.6479999999999997"/>
    <n v="6"/>
    <n v="0.2"/>
    <n v="3.4973999999999998"/>
  </r>
  <r>
    <s v="Second Class"/>
    <x v="0"/>
    <s v="United States"/>
    <s v="New York City"/>
    <x v="15"/>
    <n v="10024"/>
    <x v="3"/>
    <x v="0"/>
    <x v="0"/>
    <n v="400.78399999999999"/>
    <n v="1"/>
    <n v="0.2"/>
    <n v="-5.0098000000000003"/>
  </r>
  <r>
    <s v="First Class"/>
    <x v="2"/>
    <s v="United States"/>
    <s v="Detroit"/>
    <x v="12"/>
    <n v="48234"/>
    <x v="2"/>
    <x v="1"/>
    <x v="4"/>
    <n v="53.72"/>
    <n v="4"/>
    <n v="0"/>
    <n v="13.9672"/>
  </r>
  <r>
    <s v="First Class"/>
    <x v="1"/>
    <s v="United States"/>
    <s v="Miami"/>
    <x v="2"/>
    <n v="33142"/>
    <x v="0"/>
    <x v="1"/>
    <x v="10"/>
    <n v="31.007999999999999"/>
    <n v="1"/>
    <n v="0.2"/>
    <n v="11.240399999999999"/>
  </r>
  <r>
    <s v="Same Day"/>
    <x v="0"/>
    <s v="United States"/>
    <s v="Concord"/>
    <x v="1"/>
    <n v="94521"/>
    <x v="1"/>
    <x v="1"/>
    <x v="8"/>
    <n v="61.12"/>
    <n v="5"/>
    <n v="0.2"/>
    <n v="22.155999999999999"/>
  </r>
  <r>
    <s v="Standard Class"/>
    <x v="1"/>
    <s v="United States"/>
    <s v="Chicago"/>
    <x v="10"/>
    <n v="60653"/>
    <x v="2"/>
    <x v="1"/>
    <x v="4"/>
    <n v="195.136"/>
    <n v="4"/>
    <n v="0.2"/>
    <n v="-43.9056"/>
  </r>
  <r>
    <s v="Standard Class"/>
    <x v="0"/>
    <s v="United States"/>
    <s v="Wheeling"/>
    <x v="10"/>
    <n v="60090"/>
    <x v="2"/>
    <x v="1"/>
    <x v="6"/>
    <n v="121.536"/>
    <n v="4"/>
    <n v="0.2"/>
    <n v="15.192"/>
  </r>
  <r>
    <s v="Standard Class"/>
    <x v="2"/>
    <s v="United States"/>
    <s v="Chicago"/>
    <x v="10"/>
    <n v="60610"/>
    <x v="2"/>
    <x v="1"/>
    <x v="10"/>
    <n v="17.472000000000001"/>
    <n v="3"/>
    <n v="0.2"/>
    <n v="5.6783999999999999"/>
  </r>
  <r>
    <s v="Standard Class"/>
    <x v="2"/>
    <s v="United States"/>
    <s v="Chicago"/>
    <x v="10"/>
    <n v="60610"/>
    <x v="2"/>
    <x v="1"/>
    <x v="8"/>
    <n v="104.58"/>
    <n v="9"/>
    <n v="0.8"/>
    <n v="-172.55699999999999"/>
  </r>
  <r>
    <s v="Standard Class"/>
    <x v="2"/>
    <s v="United States"/>
    <s v="Pasadena"/>
    <x v="5"/>
    <n v="77506"/>
    <x v="2"/>
    <x v="0"/>
    <x v="5"/>
    <n v="24.7"/>
    <n v="5"/>
    <n v="0.6"/>
    <n v="-9.8800000000000008"/>
  </r>
  <r>
    <s v="Standard Class"/>
    <x v="2"/>
    <s v="United States"/>
    <s v="Pasadena"/>
    <x v="5"/>
    <n v="77506"/>
    <x v="2"/>
    <x v="0"/>
    <x v="5"/>
    <n v="302.72000000000003"/>
    <n v="5"/>
    <n v="0.6"/>
    <n v="-378.4"/>
  </r>
  <r>
    <s v="Standard Class"/>
    <x v="0"/>
    <s v="United States"/>
    <s v="New York City"/>
    <x v="15"/>
    <n v="10024"/>
    <x v="3"/>
    <x v="1"/>
    <x v="10"/>
    <n v="8.56"/>
    <n v="2"/>
    <n v="0"/>
    <n v="3.8519999999999999"/>
  </r>
  <r>
    <s v="Standard Class"/>
    <x v="0"/>
    <s v="United States"/>
    <s v="New York City"/>
    <x v="15"/>
    <n v="10024"/>
    <x v="3"/>
    <x v="1"/>
    <x v="10"/>
    <n v="11.56"/>
    <n v="2"/>
    <n v="0"/>
    <n v="5.6643999999999997"/>
  </r>
  <r>
    <s v="Standard Class"/>
    <x v="1"/>
    <s v="United States"/>
    <s v="San Jose"/>
    <x v="1"/>
    <n v="95123"/>
    <x v="1"/>
    <x v="1"/>
    <x v="9"/>
    <n v="25.86"/>
    <n v="3"/>
    <n v="0"/>
    <n v="6.7236000000000002"/>
  </r>
  <r>
    <s v="Standard Class"/>
    <x v="1"/>
    <s v="United States"/>
    <s v="San Jose"/>
    <x v="1"/>
    <n v="95123"/>
    <x v="1"/>
    <x v="1"/>
    <x v="8"/>
    <n v="276.78399999999999"/>
    <n v="2"/>
    <n v="0.2"/>
    <n v="89.954800000000006"/>
  </r>
  <r>
    <s v="Standard Class"/>
    <x v="1"/>
    <s v="United States"/>
    <s v="San Jose"/>
    <x v="1"/>
    <n v="95123"/>
    <x v="1"/>
    <x v="2"/>
    <x v="7"/>
    <n v="110.352"/>
    <n v="3"/>
    <n v="0.2"/>
    <n v="8.2764000000000006"/>
  </r>
  <r>
    <s v="Standard Class"/>
    <x v="2"/>
    <s v="United States"/>
    <s v="Sacramento"/>
    <x v="1"/>
    <n v="95823"/>
    <x v="1"/>
    <x v="0"/>
    <x v="5"/>
    <n v="60.84"/>
    <n v="3"/>
    <n v="0"/>
    <n v="19.468800000000002"/>
  </r>
  <r>
    <s v="Standard Class"/>
    <x v="0"/>
    <s v="United States"/>
    <s v="Springfield"/>
    <x v="21"/>
    <n v="97477"/>
    <x v="1"/>
    <x v="1"/>
    <x v="9"/>
    <n v="35.207999999999998"/>
    <n v="1"/>
    <n v="0.2"/>
    <n v="2.6406000000000001"/>
  </r>
  <r>
    <s v="Second Class"/>
    <x v="1"/>
    <s v="United States"/>
    <s v="Mansfield"/>
    <x v="5"/>
    <n v="76063"/>
    <x v="2"/>
    <x v="1"/>
    <x v="10"/>
    <n v="41.472000000000001"/>
    <n v="8"/>
    <n v="0.2"/>
    <n v="14.5152"/>
  </r>
  <r>
    <s v="Standard Class"/>
    <x v="0"/>
    <s v="United States"/>
    <s v="Jonesboro"/>
    <x v="36"/>
    <n v="72401"/>
    <x v="0"/>
    <x v="1"/>
    <x v="10"/>
    <n v="239.5"/>
    <n v="5"/>
    <n v="0"/>
    <n v="114.96"/>
  </r>
  <r>
    <s v="First Class"/>
    <x v="0"/>
    <s v="United States"/>
    <s v="Virginia Beach"/>
    <x v="17"/>
    <n v="23464"/>
    <x v="0"/>
    <x v="1"/>
    <x v="14"/>
    <n v="34.200000000000003"/>
    <n v="5"/>
    <n v="0"/>
    <n v="9.234"/>
  </r>
  <r>
    <s v="Standard Class"/>
    <x v="1"/>
    <s v="United States"/>
    <s v="Rochester"/>
    <x v="15"/>
    <n v="14609"/>
    <x v="3"/>
    <x v="0"/>
    <x v="3"/>
    <n v="376.86599999999999"/>
    <n v="3"/>
    <n v="0.4"/>
    <n v="-213.5574"/>
  </r>
  <r>
    <s v="First Class"/>
    <x v="0"/>
    <s v="United States"/>
    <s v="Chesapeake"/>
    <x v="17"/>
    <n v="23320"/>
    <x v="0"/>
    <x v="1"/>
    <x v="9"/>
    <n v="197.72"/>
    <n v="4"/>
    <n v="0"/>
    <n v="55.361600000000003"/>
  </r>
  <r>
    <s v="Standard Class"/>
    <x v="1"/>
    <s v="United States"/>
    <s v="Lancaster"/>
    <x v="24"/>
    <n v="43130"/>
    <x v="3"/>
    <x v="2"/>
    <x v="11"/>
    <n v="70.72"/>
    <n v="4"/>
    <n v="0.2"/>
    <n v="-6.1879999999999997"/>
  </r>
  <r>
    <s v="Standard Class"/>
    <x v="1"/>
    <s v="United States"/>
    <s v="Lancaster"/>
    <x v="24"/>
    <n v="43130"/>
    <x v="3"/>
    <x v="1"/>
    <x v="4"/>
    <n v="194.352"/>
    <n v="3"/>
    <n v="0.2"/>
    <n v="-43.729199999999999"/>
  </r>
  <r>
    <s v="Second Class"/>
    <x v="0"/>
    <s v="United States"/>
    <s v="New York City"/>
    <x v="15"/>
    <n v="10024"/>
    <x v="3"/>
    <x v="1"/>
    <x v="10"/>
    <n v="21.6"/>
    <n v="6"/>
    <n v="0"/>
    <n v="9.9359999999999999"/>
  </r>
  <r>
    <s v="Second Class"/>
    <x v="0"/>
    <s v="United States"/>
    <s v="New York City"/>
    <x v="15"/>
    <n v="10024"/>
    <x v="3"/>
    <x v="1"/>
    <x v="2"/>
    <n v="11.07"/>
    <n v="3"/>
    <n v="0"/>
    <n v="5.2028999999999996"/>
  </r>
  <r>
    <s v="Second Class"/>
    <x v="0"/>
    <s v="United States"/>
    <s v="Los Angeles"/>
    <x v="1"/>
    <n v="90045"/>
    <x v="1"/>
    <x v="0"/>
    <x v="5"/>
    <n v="282.83999999999997"/>
    <n v="4"/>
    <n v="0"/>
    <n v="19.7988"/>
  </r>
  <r>
    <s v="Second Class"/>
    <x v="0"/>
    <s v="United States"/>
    <s v="Los Angeles"/>
    <x v="1"/>
    <n v="90045"/>
    <x v="1"/>
    <x v="1"/>
    <x v="2"/>
    <n v="27.72"/>
    <n v="9"/>
    <n v="0"/>
    <n v="13.3056"/>
  </r>
  <r>
    <s v="Standard Class"/>
    <x v="0"/>
    <s v="United States"/>
    <s v="Jackson"/>
    <x v="35"/>
    <n v="39212"/>
    <x v="0"/>
    <x v="1"/>
    <x v="13"/>
    <n v="11.68"/>
    <n v="4"/>
    <n v="0"/>
    <n v="5.2560000000000002"/>
  </r>
  <r>
    <s v="Standard Class"/>
    <x v="0"/>
    <s v="United States"/>
    <s v="Woodland"/>
    <x v="1"/>
    <n v="95695"/>
    <x v="1"/>
    <x v="2"/>
    <x v="7"/>
    <n v="239.98400000000001"/>
    <n v="2"/>
    <n v="0.2"/>
    <n v="23.9984"/>
  </r>
  <r>
    <s v="First Class"/>
    <x v="1"/>
    <s v="United States"/>
    <s v="Seattle"/>
    <x v="4"/>
    <n v="98115"/>
    <x v="1"/>
    <x v="1"/>
    <x v="9"/>
    <n v="22.98"/>
    <n v="1"/>
    <n v="0"/>
    <n v="6.8940000000000001"/>
  </r>
  <r>
    <s v="First Class"/>
    <x v="1"/>
    <s v="United States"/>
    <s v="Seattle"/>
    <x v="4"/>
    <n v="98115"/>
    <x v="1"/>
    <x v="2"/>
    <x v="11"/>
    <n v="102.13"/>
    <n v="7"/>
    <n v="0"/>
    <n v="15.3195"/>
  </r>
  <r>
    <s v="First Class"/>
    <x v="1"/>
    <s v="United States"/>
    <s v="Seattle"/>
    <x v="4"/>
    <n v="98115"/>
    <x v="1"/>
    <x v="1"/>
    <x v="8"/>
    <n v="2033.5840000000001"/>
    <n v="2"/>
    <n v="0.2"/>
    <n v="762.59400000000005"/>
  </r>
  <r>
    <s v="Standard Class"/>
    <x v="1"/>
    <s v="United States"/>
    <s v="Los Angeles"/>
    <x v="1"/>
    <n v="90049"/>
    <x v="1"/>
    <x v="1"/>
    <x v="6"/>
    <n v="5.76"/>
    <n v="2"/>
    <n v="0"/>
    <n v="1.6704000000000001"/>
  </r>
  <r>
    <s v="Standard Class"/>
    <x v="1"/>
    <s v="United States"/>
    <s v="Bowling Green"/>
    <x v="24"/>
    <n v="43402"/>
    <x v="3"/>
    <x v="2"/>
    <x v="16"/>
    <n v="899.98199999999997"/>
    <n v="3"/>
    <n v="0.4"/>
    <n v="74.998500000000007"/>
  </r>
  <r>
    <s v="Standard Class"/>
    <x v="1"/>
    <s v="United States"/>
    <s v="Bowling Green"/>
    <x v="24"/>
    <n v="43402"/>
    <x v="3"/>
    <x v="1"/>
    <x v="6"/>
    <n v="86.352000000000004"/>
    <n v="3"/>
    <n v="0.2"/>
    <n v="5.3970000000000002"/>
  </r>
  <r>
    <s v="Standard Class"/>
    <x v="1"/>
    <s v="United States"/>
    <s v="Bowling Green"/>
    <x v="24"/>
    <n v="43402"/>
    <x v="3"/>
    <x v="2"/>
    <x v="11"/>
    <n v="139.96"/>
    <n v="5"/>
    <n v="0.2"/>
    <n v="-1.7495000000000001"/>
  </r>
  <r>
    <s v="Standard Class"/>
    <x v="2"/>
    <s v="United States"/>
    <s v="Lancaster"/>
    <x v="24"/>
    <n v="43130"/>
    <x v="3"/>
    <x v="1"/>
    <x v="9"/>
    <n v="16.704000000000001"/>
    <n v="6"/>
    <n v="0.2"/>
    <n v="1.2527999999999999"/>
  </r>
  <r>
    <s v="Standard Class"/>
    <x v="2"/>
    <s v="United States"/>
    <s v="Lancaster"/>
    <x v="24"/>
    <n v="43130"/>
    <x v="3"/>
    <x v="2"/>
    <x v="11"/>
    <n v="3.1520000000000001"/>
    <n v="2"/>
    <n v="0.2"/>
    <n v="0.4728"/>
  </r>
  <r>
    <s v="Standard Class"/>
    <x v="2"/>
    <s v="United States"/>
    <s v="Lancaster"/>
    <x v="24"/>
    <n v="43130"/>
    <x v="3"/>
    <x v="1"/>
    <x v="10"/>
    <n v="32.896000000000001"/>
    <n v="4"/>
    <n v="0.2"/>
    <n v="11.102399999999999"/>
  </r>
  <r>
    <s v="First Class"/>
    <x v="0"/>
    <s v="United States"/>
    <s v="Dallas"/>
    <x v="5"/>
    <n v="75220"/>
    <x v="2"/>
    <x v="1"/>
    <x v="9"/>
    <n v="21.391999999999999"/>
    <n v="2"/>
    <n v="0.8"/>
    <n v="-54.549599999999998"/>
  </r>
  <r>
    <s v="First Class"/>
    <x v="0"/>
    <s v="United States"/>
    <s v="Dallas"/>
    <x v="5"/>
    <n v="75220"/>
    <x v="2"/>
    <x v="0"/>
    <x v="3"/>
    <n v="307.31400000000002"/>
    <n v="3"/>
    <n v="0.3"/>
    <n v="-39.511800000000001"/>
  </r>
  <r>
    <s v="First Class"/>
    <x v="0"/>
    <s v="United States"/>
    <s v="Dallas"/>
    <x v="5"/>
    <n v="75220"/>
    <x v="2"/>
    <x v="0"/>
    <x v="0"/>
    <n v="409.99919999999997"/>
    <n v="3"/>
    <n v="0.32"/>
    <n v="-96.470399999999998"/>
  </r>
  <r>
    <s v="First Class"/>
    <x v="1"/>
    <s v="United States"/>
    <s v="Lubbock"/>
    <x v="5"/>
    <n v="79424"/>
    <x v="2"/>
    <x v="1"/>
    <x v="10"/>
    <n v="9.2479999999999993"/>
    <n v="2"/>
    <n v="0.2"/>
    <n v="3.3523999999999998"/>
  </r>
  <r>
    <s v="Standard Class"/>
    <x v="0"/>
    <s v="United States"/>
    <s v="Detroit"/>
    <x v="12"/>
    <n v="48227"/>
    <x v="2"/>
    <x v="1"/>
    <x v="8"/>
    <n v="14.67"/>
    <n v="3"/>
    <n v="0"/>
    <n v="6.7481999999999998"/>
  </r>
  <r>
    <s v="Standard Class"/>
    <x v="0"/>
    <s v="United States"/>
    <s v="Newark"/>
    <x v="24"/>
    <n v="43055"/>
    <x v="3"/>
    <x v="1"/>
    <x v="10"/>
    <n v="37.408000000000001"/>
    <n v="7"/>
    <n v="0.2"/>
    <n v="13.0928"/>
  </r>
  <r>
    <s v="Standard Class"/>
    <x v="0"/>
    <s v="United States"/>
    <s v="Newark"/>
    <x v="24"/>
    <n v="43055"/>
    <x v="3"/>
    <x v="1"/>
    <x v="8"/>
    <n v="3.4380000000000002"/>
    <n v="2"/>
    <n v="0.7"/>
    <n v="-2.5211999999999999"/>
  </r>
  <r>
    <s v="Standard Class"/>
    <x v="0"/>
    <s v="United States"/>
    <s v="New York City"/>
    <x v="15"/>
    <n v="10011"/>
    <x v="3"/>
    <x v="1"/>
    <x v="8"/>
    <n v="7.1520000000000001"/>
    <n v="3"/>
    <n v="0.2"/>
    <n v="2.3243999999999998"/>
  </r>
  <r>
    <s v="Standard Class"/>
    <x v="0"/>
    <s v="United States"/>
    <s v="New York City"/>
    <x v="15"/>
    <n v="10011"/>
    <x v="3"/>
    <x v="2"/>
    <x v="7"/>
    <n v="179.7"/>
    <n v="6"/>
    <n v="0"/>
    <n v="88.052999999999997"/>
  </r>
  <r>
    <s v="Standard Class"/>
    <x v="0"/>
    <s v="United States"/>
    <s v="Minneapolis"/>
    <x v="11"/>
    <n v="55407"/>
    <x v="2"/>
    <x v="1"/>
    <x v="9"/>
    <n v="90.64"/>
    <n v="8"/>
    <n v="0"/>
    <n v="38.975200000000001"/>
  </r>
  <r>
    <s v="First Class"/>
    <x v="0"/>
    <s v="United States"/>
    <s v="Everett"/>
    <x v="31"/>
    <n v="2149"/>
    <x v="3"/>
    <x v="2"/>
    <x v="11"/>
    <n v="177"/>
    <n v="3"/>
    <n v="0"/>
    <n v="30.09"/>
  </r>
  <r>
    <s v="First Class"/>
    <x v="0"/>
    <s v="United States"/>
    <s v="Everett"/>
    <x v="31"/>
    <n v="2149"/>
    <x v="3"/>
    <x v="1"/>
    <x v="4"/>
    <n v="79.45"/>
    <n v="7"/>
    <n v="0"/>
    <n v="22.245999999999999"/>
  </r>
  <r>
    <s v="First Class"/>
    <x v="0"/>
    <s v="United States"/>
    <s v="Everett"/>
    <x v="31"/>
    <n v="2149"/>
    <x v="3"/>
    <x v="0"/>
    <x v="1"/>
    <n v="1628.82"/>
    <n v="9"/>
    <n v="0"/>
    <n v="260.6112"/>
  </r>
  <r>
    <s v="Standard Class"/>
    <x v="1"/>
    <s v="United States"/>
    <s v="Seattle"/>
    <x v="4"/>
    <n v="98105"/>
    <x v="1"/>
    <x v="0"/>
    <x v="5"/>
    <n v="137.54"/>
    <n v="2"/>
    <n v="0"/>
    <n v="55.015999999999998"/>
  </r>
  <r>
    <s v="Standard Class"/>
    <x v="1"/>
    <s v="United States"/>
    <s v="Seattle"/>
    <x v="4"/>
    <n v="98105"/>
    <x v="1"/>
    <x v="0"/>
    <x v="3"/>
    <n v="730.2"/>
    <n v="4"/>
    <n v="0"/>
    <n v="94.926000000000002"/>
  </r>
  <r>
    <s v="Second Class"/>
    <x v="0"/>
    <s v="United States"/>
    <s v="Los Angeles"/>
    <x v="1"/>
    <n v="90032"/>
    <x v="1"/>
    <x v="1"/>
    <x v="10"/>
    <n v="11.56"/>
    <n v="2"/>
    <n v="0"/>
    <n v="5.6643999999999997"/>
  </r>
  <r>
    <s v="Second Class"/>
    <x v="0"/>
    <s v="United States"/>
    <s v="Concord"/>
    <x v="3"/>
    <n v="28027"/>
    <x v="0"/>
    <x v="0"/>
    <x v="3"/>
    <n v="4297.6440000000002"/>
    <n v="13"/>
    <n v="0.4"/>
    <n v="-1862.3124"/>
  </r>
  <r>
    <s v="Standard Class"/>
    <x v="1"/>
    <s v="United States"/>
    <s v="Seattle"/>
    <x v="4"/>
    <n v="98103"/>
    <x v="1"/>
    <x v="1"/>
    <x v="6"/>
    <n v="20.65"/>
    <n v="5"/>
    <n v="0"/>
    <n v="9.4990000000000006"/>
  </r>
  <r>
    <s v="Standard Class"/>
    <x v="1"/>
    <s v="United States"/>
    <s v="Seattle"/>
    <x v="4"/>
    <n v="98103"/>
    <x v="1"/>
    <x v="1"/>
    <x v="4"/>
    <n v="204.9"/>
    <n v="5"/>
    <n v="0"/>
    <n v="0"/>
  </r>
  <r>
    <s v="Standard Class"/>
    <x v="1"/>
    <s v="United States"/>
    <s v="Seattle"/>
    <x v="4"/>
    <n v="98103"/>
    <x v="1"/>
    <x v="0"/>
    <x v="1"/>
    <n v="436.70400000000001"/>
    <n v="6"/>
    <n v="0.2"/>
    <n v="21.8352"/>
  </r>
  <r>
    <s v="Standard Class"/>
    <x v="1"/>
    <s v="United States"/>
    <s v="Seattle"/>
    <x v="4"/>
    <n v="98103"/>
    <x v="1"/>
    <x v="0"/>
    <x v="1"/>
    <n v="481.56799999999998"/>
    <n v="2"/>
    <n v="0.2"/>
    <n v="54.176400000000001"/>
  </r>
  <r>
    <s v="Standard Class"/>
    <x v="0"/>
    <s v="United States"/>
    <s v="Glendale"/>
    <x v="16"/>
    <n v="85301"/>
    <x v="1"/>
    <x v="2"/>
    <x v="11"/>
    <n v="89.543999999999997"/>
    <n v="7"/>
    <n v="0.2"/>
    <n v="12.3123"/>
  </r>
  <r>
    <s v="Standard Class"/>
    <x v="0"/>
    <s v="United States"/>
    <s v="Glendale"/>
    <x v="16"/>
    <n v="85301"/>
    <x v="1"/>
    <x v="1"/>
    <x v="4"/>
    <n v="35.167999999999999"/>
    <n v="2"/>
    <n v="0.2"/>
    <n v="-8.3523999999999994"/>
  </r>
  <r>
    <s v="Standard Class"/>
    <x v="0"/>
    <s v="United States"/>
    <s v="Glendale"/>
    <x v="16"/>
    <n v="85301"/>
    <x v="1"/>
    <x v="1"/>
    <x v="8"/>
    <n v="72.587999999999994"/>
    <n v="2"/>
    <n v="0.7"/>
    <n v="-48.392000000000003"/>
  </r>
  <r>
    <s v="Standard Class"/>
    <x v="0"/>
    <s v="United States"/>
    <s v="Coon Rapids"/>
    <x v="11"/>
    <n v="55433"/>
    <x v="2"/>
    <x v="1"/>
    <x v="4"/>
    <n v="221.16"/>
    <n v="4"/>
    <n v="0"/>
    <n v="57.501600000000003"/>
  </r>
  <r>
    <s v="Standard Class"/>
    <x v="0"/>
    <s v="United States"/>
    <s v="Coon Rapids"/>
    <x v="11"/>
    <n v="55433"/>
    <x v="2"/>
    <x v="2"/>
    <x v="7"/>
    <n v="281.97000000000003"/>
    <n v="3"/>
    <n v="0"/>
    <n v="78.951599999999999"/>
  </r>
  <r>
    <s v="Standard Class"/>
    <x v="0"/>
    <s v="United States"/>
    <s v="Los Angeles"/>
    <x v="1"/>
    <n v="90045"/>
    <x v="1"/>
    <x v="0"/>
    <x v="0"/>
    <n v="3406.6640000000002"/>
    <n v="8"/>
    <n v="0.15"/>
    <n v="160.31360000000001"/>
  </r>
  <r>
    <s v="Standard Class"/>
    <x v="0"/>
    <s v="United States"/>
    <s v="Los Angeles"/>
    <x v="1"/>
    <n v="90045"/>
    <x v="1"/>
    <x v="1"/>
    <x v="6"/>
    <n v="37.17"/>
    <n v="9"/>
    <n v="0"/>
    <n v="10.4076"/>
  </r>
  <r>
    <s v="Standard Class"/>
    <x v="0"/>
    <s v="United States"/>
    <s v="Los Angeles"/>
    <x v="1"/>
    <n v="90045"/>
    <x v="1"/>
    <x v="1"/>
    <x v="9"/>
    <n v="64.959999999999994"/>
    <n v="2"/>
    <n v="0"/>
    <n v="19.488"/>
  </r>
  <r>
    <s v="Standard Class"/>
    <x v="0"/>
    <s v="United States"/>
    <s v="Los Angeles"/>
    <x v="1"/>
    <n v="90045"/>
    <x v="1"/>
    <x v="0"/>
    <x v="5"/>
    <n v="595.38"/>
    <n v="6"/>
    <n v="0"/>
    <n v="297.69"/>
  </r>
  <r>
    <s v="Standard Class"/>
    <x v="2"/>
    <s v="United States"/>
    <s v="Tucson"/>
    <x v="16"/>
    <n v="85705"/>
    <x v="1"/>
    <x v="2"/>
    <x v="11"/>
    <n v="95.983999999999995"/>
    <n v="2"/>
    <n v="0.2"/>
    <n v="11.997999999999999"/>
  </r>
  <r>
    <s v="Standard Class"/>
    <x v="2"/>
    <s v="United States"/>
    <s v="Tucson"/>
    <x v="16"/>
    <n v="85705"/>
    <x v="1"/>
    <x v="1"/>
    <x v="8"/>
    <n v="4.9379999999999997"/>
    <n v="2"/>
    <n v="0.7"/>
    <n v="-3.6212"/>
  </r>
  <r>
    <s v="Standard Class"/>
    <x v="0"/>
    <s v="United States"/>
    <s v="New York City"/>
    <x v="15"/>
    <n v="10035"/>
    <x v="3"/>
    <x v="0"/>
    <x v="5"/>
    <n v="97.44"/>
    <n v="3"/>
    <n v="0"/>
    <n v="35.078400000000002"/>
  </r>
  <r>
    <s v="Standard Class"/>
    <x v="0"/>
    <s v="United States"/>
    <s v="New York City"/>
    <x v="15"/>
    <n v="10035"/>
    <x v="3"/>
    <x v="1"/>
    <x v="8"/>
    <n v="3.984"/>
    <n v="1"/>
    <n v="0.2"/>
    <n v="1.3944000000000001"/>
  </r>
  <r>
    <s v="Standard Class"/>
    <x v="0"/>
    <s v="United States"/>
    <s v="New York City"/>
    <x v="15"/>
    <n v="10035"/>
    <x v="3"/>
    <x v="1"/>
    <x v="6"/>
    <n v="13.04"/>
    <n v="4"/>
    <n v="0"/>
    <n v="5.7375999999999996"/>
  </r>
  <r>
    <s v="Standard Class"/>
    <x v="0"/>
    <s v="United States"/>
    <s v="New York City"/>
    <x v="15"/>
    <n v="10035"/>
    <x v="3"/>
    <x v="0"/>
    <x v="1"/>
    <n v="579.52800000000002"/>
    <n v="4"/>
    <n v="0.1"/>
    <n v="83.709599999999995"/>
  </r>
  <r>
    <s v="Second Class"/>
    <x v="0"/>
    <s v="United States"/>
    <s v="Pomona"/>
    <x v="1"/>
    <n v="91767"/>
    <x v="1"/>
    <x v="1"/>
    <x v="2"/>
    <n v="18.75"/>
    <n v="5"/>
    <n v="0"/>
    <n v="9"/>
  </r>
  <r>
    <s v="Standard Class"/>
    <x v="2"/>
    <s v="United States"/>
    <s v="Santa Barbara"/>
    <x v="1"/>
    <n v="93101"/>
    <x v="1"/>
    <x v="2"/>
    <x v="7"/>
    <n v="3023.9279999999999"/>
    <n v="9"/>
    <n v="0.2"/>
    <n v="226.7946"/>
  </r>
  <r>
    <s v="Standard Class"/>
    <x v="2"/>
    <s v="United States"/>
    <s v="Santa Barbara"/>
    <x v="1"/>
    <n v="93101"/>
    <x v="1"/>
    <x v="2"/>
    <x v="11"/>
    <n v="26.96"/>
    <n v="2"/>
    <n v="0"/>
    <n v="3.7744"/>
  </r>
  <r>
    <s v="Standard Class"/>
    <x v="2"/>
    <s v="United States"/>
    <s v="Santa Barbara"/>
    <x v="1"/>
    <n v="93101"/>
    <x v="1"/>
    <x v="2"/>
    <x v="7"/>
    <n v="477.6"/>
    <n v="3"/>
    <n v="0.2"/>
    <n v="161.19"/>
  </r>
  <r>
    <s v="Standard Class"/>
    <x v="0"/>
    <s v="United States"/>
    <s v="San Francisco"/>
    <x v="1"/>
    <n v="94109"/>
    <x v="1"/>
    <x v="1"/>
    <x v="4"/>
    <n v="193.95"/>
    <n v="3"/>
    <n v="0"/>
    <n v="9.6974999999999998"/>
  </r>
  <r>
    <s v="Same Day"/>
    <x v="1"/>
    <s v="United States"/>
    <s v="Riverside"/>
    <x v="1"/>
    <n v="92503"/>
    <x v="1"/>
    <x v="1"/>
    <x v="10"/>
    <n v="12.96"/>
    <n v="2"/>
    <n v="0"/>
    <n v="6.2207999999999997"/>
  </r>
  <r>
    <s v="Standard Class"/>
    <x v="0"/>
    <s v="United States"/>
    <s v="Los Angeles"/>
    <x v="1"/>
    <n v="90049"/>
    <x v="1"/>
    <x v="0"/>
    <x v="5"/>
    <n v="119.94"/>
    <n v="3"/>
    <n v="0"/>
    <n v="23.988"/>
  </r>
  <r>
    <s v="Standard Class"/>
    <x v="0"/>
    <s v="United States"/>
    <s v="Los Angeles"/>
    <x v="1"/>
    <n v="90049"/>
    <x v="1"/>
    <x v="0"/>
    <x v="5"/>
    <n v="12.42"/>
    <n v="3"/>
    <n v="0"/>
    <n v="4.4711999999999996"/>
  </r>
  <r>
    <s v="Standard Class"/>
    <x v="0"/>
    <s v="United States"/>
    <s v="San Clemente"/>
    <x v="1"/>
    <n v="92672"/>
    <x v="1"/>
    <x v="1"/>
    <x v="8"/>
    <n v="18.088000000000001"/>
    <n v="7"/>
    <n v="0.2"/>
    <n v="6.5568999999999997"/>
  </r>
  <r>
    <s v="Standard Class"/>
    <x v="0"/>
    <s v="United States"/>
    <s v="San Clemente"/>
    <x v="1"/>
    <n v="92672"/>
    <x v="1"/>
    <x v="1"/>
    <x v="12"/>
    <n v="71.97"/>
    <n v="3"/>
    <n v="0"/>
    <n v="35.984999999999999"/>
  </r>
  <r>
    <s v="Standard Class"/>
    <x v="0"/>
    <s v="United States"/>
    <s v="Decatur"/>
    <x v="19"/>
    <n v="35601"/>
    <x v="0"/>
    <x v="1"/>
    <x v="2"/>
    <n v="14.94"/>
    <n v="3"/>
    <n v="0"/>
    <n v="6.8723999999999998"/>
  </r>
  <r>
    <s v="First Class"/>
    <x v="1"/>
    <s v="United States"/>
    <s v="Greensboro"/>
    <x v="3"/>
    <n v="27405"/>
    <x v="0"/>
    <x v="1"/>
    <x v="6"/>
    <n v="64.680000000000007"/>
    <n v="7"/>
    <n v="0.2"/>
    <n v="8.0850000000000009"/>
  </r>
  <r>
    <s v="Standard Class"/>
    <x v="0"/>
    <s v="United States"/>
    <s v="Dublin"/>
    <x v="1"/>
    <n v="94568"/>
    <x v="1"/>
    <x v="2"/>
    <x v="7"/>
    <n v="22"/>
    <n v="5"/>
    <n v="0.2"/>
    <n v="1.375"/>
  </r>
  <r>
    <s v="Standard Class"/>
    <x v="2"/>
    <s v="United States"/>
    <s v="Philadelphia"/>
    <x v="9"/>
    <n v="19143"/>
    <x v="3"/>
    <x v="1"/>
    <x v="10"/>
    <n v="7.968"/>
    <n v="2"/>
    <n v="0.2"/>
    <n v="2.6892"/>
  </r>
  <r>
    <s v="Standard Class"/>
    <x v="2"/>
    <s v="United States"/>
    <s v="Philadelphia"/>
    <x v="9"/>
    <n v="19143"/>
    <x v="3"/>
    <x v="2"/>
    <x v="7"/>
    <n v="1499.97"/>
    <n v="5"/>
    <n v="0.4"/>
    <n v="-374.99250000000001"/>
  </r>
  <r>
    <s v="Second Class"/>
    <x v="0"/>
    <s v="United States"/>
    <s v="Houston"/>
    <x v="5"/>
    <n v="77095"/>
    <x v="2"/>
    <x v="1"/>
    <x v="4"/>
    <n v="26.632000000000001"/>
    <n v="1"/>
    <n v="0.2"/>
    <n v="1.3315999999999999"/>
  </r>
  <r>
    <s v="Standard Class"/>
    <x v="0"/>
    <s v="United States"/>
    <s v="Bakersfield"/>
    <x v="1"/>
    <n v="93309"/>
    <x v="1"/>
    <x v="0"/>
    <x v="5"/>
    <n v="41.6"/>
    <n v="4"/>
    <n v="0"/>
    <n v="14.144"/>
  </r>
  <r>
    <s v="Standard Class"/>
    <x v="1"/>
    <s v="United States"/>
    <s v="Richmond"/>
    <x v="14"/>
    <n v="47374"/>
    <x v="2"/>
    <x v="1"/>
    <x v="12"/>
    <n v="64.02"/>
    <n v="6"/>
    <n v="0"/>
    <n v="29.449200000000001"/>
  </r>
  <r>
    <s v="Standard Class"/>
    <x v="1"/>
    <s v="United States"/>
    <s v="New York City"/>
    <x v="15"/>
    <n v="10009"/>
    <x v="3"/>
    <x v="1"/>
    <x v="6"/>
    <n v="6.99"/>
    <n v="3"/>
    <n v="0"/>
    <n v="2.0270999999999999"/>
  </r>
  <r>
    <s v="Standard Class"/>
    <x v="1"/>
    <s v="United States"/>
    <s v="New York City"/>
    <x v="15"/>
    <n v="10009"/>
    <x v="3"/>
    <x v="1"/>
    <x v="14"/>
    <n v="6.84"/>
    <n v="1"/>
    <n v="0"/>
    <n v="1.8468"/>
  </r>
  <r>
    <s v="Standard Class"/>
    <x v="1"/>
    <s v="United States"/>
    <s v="San Francisco"/>
    <x v="1"/>
    <n v="94122"/>
    <x v="1"/>
    <x v="1"/>
    <x v="4"/>
    <n v="323.10000000000002"/>
    <n v="2"/>
    <n v="0"/>
    <n v="61.389000000000003"/>
  </r>
  <r>
    <s v="Standard Class"/>
    <x v="1"/>
    <s v="United States"/>
    <s v="San Francisco"/>
    <x v="1"/>
    <n v="94122"/>
    <x v="1"/>
    <x v="2"/>
    <x v="7"/>
    <n v="668.16"/>
    <n v="9"/>
    <n v="0.2"/>
    <n v="75.168000000000006"/>
  </r>
  <r>
    <s v="Standard Class"/>
    <x v="0"/>
    <s v="United States"/>
    <s v="San Francisco"/>
    <x v="1"/>
    <n v="94122"/>
    <x v="1"/>
    <x v="1"/>
    <x v="2"/>
    <n v="8.64"/>
    <n v="3"/>
    <n v="0"/>
    <n v="4.2336"/>
  </r>
  <r>
    <s v="Standard Class"/>
    <x v="0"/>
    <s v="United States"/>
    <s v="San Francisco"/>
    <x v="1"/>
    <n v="94122"/>
    <x v="1"/>
    <x v="1"/>
    <x v="10"/>
    <n v="38.880000000000003"/>
    <n v="6"/>
    <n v="0"/>
    <n v="18.662400000000002"/>
  </r>
  <r>
    <s v="Standard Class"/>
    <x v="0"/>
    <s v="United States"/>
    <s v="San Francisco"/>
    <x v="1"/>
    <n v="94122"/>
    <x v="1"/>
    <x v="0"/>
    <x v="5"/>
    <n v="201.04"/>
    <n v="8"/>
    <n v="0"/>
    <n v="54.280799999999999"/>
  </r>
  <r>
    <s v="Standard Class"/>
    <x v="0"/>
    <s v="United States"/>
    <s v="San Francisco"/>
    <x v="1"/>
    <n v="94122"/>
    <x v="1"/>
    <x v="1"/>
    <x v="10"/>
    <n v="12.96"/>
    <n v="2"/>
    <n v="0"/>
    <n v="6.3503999999999996"/>
  </r>
  <r>
    <s v="Second Class"/>
    <x v="1"/>
    <s v="United States"/>
    <s v="Los Angeles"/>
    <x v="1"/>
    <n v="90032"/>
    <x v="1"/>
    <x v="2"/>
    <x v="11"/>
    <n v="16.59"/>
    <n v="1"/>
    <n v="0"/>
    <n v="5.8064999999999998"/>
  </r>
  <r>
    <s v="Standard Class"/>
    <x v="0"/>
    <s v="United States"/>
    <s v="San Diego"/>
    <x v="1"/>
    <n v="92037"/>
    <x v="1"/>
    <x v="1"/>
    <x v="6"/>
    <n v="35.1"/>
    <n v="6"/>
    <n v="0"/>
    <n v="10.179"/>
  </r>
  <r>
    <s v="Standard Class"/>
    <x v="2"/>
    <s v="United States"/>
    <s v="Arlington"/>
    <x v="5"/>
    <n v="76017"/>
    <x v="2"/>
    <x v="1"/>
    <x v="8"/>
    <n v="11.646000000000001"/>
    <n v="9"/>
    <n v="0.8"/>
    <n v="-17.469000000000001"/>
  </r>
  <r>
    <s v="Standard Class"/>
    <x v="0"/>
    <s v="United States"/>
    <s v="Richmond"/>
    <x v="17"/>
    <n v="23223"/>
    <x v="0"/>
    <x v="1"/>
    <x v="10"/>
    <n v="32.4"/>
    <n v="5"/>
    <n v="0"/>
    <n v="15.552"/>
  </r>
  <r>
    <s v="Standard Class"/>
    <x v="0"/>
    <s v="United States"/>
    <s v="Richmond"/>
    <x v="17"/>
    <n v="23223"/>
    <x v="0"/>
    <x v="2"/>
    <x v="7"/>
    <n v="503.96"/>
    <n v="4"/>
    <n v="0"/>
    <n v="125.99"/>
  </r>
  <r>
    <s v="First Class"/>
    <x v="2"/>
    <s v="United States"/>
    <s v="New York City"/>
    <x v="15"/>
    <n v="10035"/>
    <x v="3"/>
    <x v="1"/>
    <x v="6"/>
    <n v="7.04"/>
    <n v="4"/>
    <n v="0"/>
    <n v="2.0415999999999999"/>
  </r>
  <r>
    <s v="Standard Class"/>
    <x v="0"/>
    <s v="United States"/>
    <s v="Houston"/>
    <x v="5"/>
    <n v="77041"/>
    <x v="2"/>
    <x v="0"/>
    <x v="0"/>
    <n v="613.99919999999997"/>
    <n v="3"/>
    <n v="0.32"/>
    <n v="-18.058800000000002"/>
  </r>
  <r>
    <s v="Standard Class"/>
    <x v="1"/>
    <s v="United States"/>
    <s v="Fairfield"/>
    <x v="29"/>
    <n v="6824"/>
    <x v="3"/>
    <x v="1"/>
    <x v="4"/>
    <n v="470.36"/>
    <n v="11"/>
    <n v="0"/>
    <n v="122.2936"/>
  </r>
  <r>
    <s v="Second Class"/>
    <x v="2"/>
    <s v="United States"/>
    <s v="San Francisco"/>
    <x v="1"/>
    <n v="94110"/>
    <x v="1"/>
    <x v="1"/>
    <x v="10"/>
    <n v="31.08"/>
    <n v="6"/>
    <n v="0"/>
    <n v="15.229200000000001"/>
  </r>
  <r>
    <s v="Second Class"/>
    <x v="2"/>
    <s v="United States"/>
    <s v="San Francisco"/>
    <x v="1"/>
    <n v="94110"/>
    <x v="1"/>
    <x v="1"/>
    <x v="14"/>
    <n v="7.3"/>
    <n v="2"/>
    <n v="0"/>
    <n v="2.19"/>
  </r>
  <r>
    <s v="First Class"/>
    <x v="1"/>
    <s v="United States"/>
    <s v="Springfield"/>
    <x v="24"/>
    <n v="45503"/>
    <x v="3"/>
    <x v="1"/>
    <x v="9"/>
    <n v="73.536000000000001"/>
    <n v="4"/>
    <n v="0.2"/>
    <n v="9.1920000000000002"/>
  </r>
  <r>
    <s v="Second Class"/>
    <x v="1"/>
    <s v="United States"/>
    <s v="Detroit"/>
    <x v="12"/>
    <n v="48234"/>
    <x v="2"/>
    <x v="1"/>
    <x v="2"/>
    <n v="491.55"/>
    <n v="5"/>
    <n v="0"/>
    <n v="240.8595"/>
  </r>
  <r>
    <s v="Same Day"/>
    <x v="2"/>
    <s v="United States"/>
    <s v="Philadelphia"/>
    <x v="9"/>
    <n v="19140"/>
    <x v="3"/>
    <x v="0"/>
    <x v="5"/>
    <n v="30.335999999999999"/>
    <n v="4"/>
    <n v="0.2"/>
    <n v="9.48"/>
  </r>
  <r>
    <s v="Standard Class"/>
    <x v="0"/>
    <s v="United States"/>
    <s v="Inglewood"/>
    <x v="1"/>
    <n v="90301"/>
    <x v="1"/>
    <x v="1"/>
    <x v="10"/>
    <n v="22.83"/>
    <n v="3"/>
    <n v="0"/>
    <n v="10.7301"/>
  </r>
  <r>
    <s v="Standard Class"/>
    <x v="0"/>
    <s v="United States"/>
    <s v="Inglewood"/>
    <x v="1"/>
    <n v="90301"/>
    <x v="1"/>
    <x v="1"/>
    <x v="9"/>
    <n v="54.32"/>
    <n v="4"/>
    <n v="0"/>
    <n v="16.295999999999999"/>
  </r>
  <r>
    <s v="Standard Class"/>
    <x v="0"/>
    <s v="United States"/>
    <s v="Inglewood"/>
    <x v="1"/>
    <n v="90301"/>
    <x v="1"/>
    <x v="2"/>
    <x v="7"/>
    <n v="196.77600000000001"/>
    <n v="3"/>
    <n v="0.2"/>
    <n v="14.7582"/>
  </r>
  <r>
    <s v="Standard Class"/>
    <x v="0"/>
    <s v="United States"/>
    <s v="San Luis Obispo"/>
    <x v="1"/>
    <n v="93405"/>
    <x v="1"/>
    <x v="1"/>
    <x v="13"/>
    <n v="3.62"/>
    <n v="2"/>
    <n v="0"/>
    <n v="1.1946000000000001"/>
  </r>
  <r>
    <s v="Standard Class"/>
    <x v="2"/>
    <s v="United States"/>
    <s v="Wilmington"/>
    <x v="13"/>
    <n v="19805"/>
    <x v="3"/>
    <x v="1"/>
    <x v="10"/>
    <n v="11.54"/>
    <n v="1"/>
    <n v="0"/>
    <n v="5.5392000000000001"/>
  </r>
  <r>
    <s v="Standard Class"/>
    <x v="2"/>
    <s v="United States"/>
    <s v="Wilmington"/>
    <x v="13"/>
    <n v="19805"/>
    <x v="3"/>
    <x v="1"/>
    <x v="8"/>
    <n v="849.95"/>
    <n v="5"/>
    <n v="0"/>
    <n v="390.97699999999998"/>
  </r>
  <r>
    <s v="Standard Class"/>
    <x v="2"/>
    <s v="United States"/>
    <s v="Wilmington"/>
    <x v="13"/>
    <n v="19805"/>
    <x v="3"/>
    <x v="1"/>
    <x v="8"/>
    <n v="11.01"/>
    <n v="3"/>
    <n v="0"/>
    <n v="5.3948999999999998"/>
  </r>
  <r>
    <s v="Standard Class"/>
    <x v="0"/>
    <s v="United States"/>
    <s v="San Francisco"/>
    <x v="1"/>
    <n v="94122"/>
    <x v="1"/>
    <x v="1"/>
    <x v="8"/>
    <n v="39.624000000000002"/>
    <n v="3"/>
    <n v="0.2"/>
    <n v="13.868399999999999"/>
  </r>
  <r>
    <s v="Standard Class"/>
    <x v="0"/>
    <s v="United States"/>
    <s v="Los Angeles"/>
    <x v="1"/>
    <n v="90045"/>
    <x v="1"/>
    <x v="0"/>
    <x v="1"/>
    <n v="242.136"/>
    <n v="3"/>
    <n v="0.2"/>
    <n v="12.1068"/>
  </r>
  <r>
    <s v="Standard Class"/>
    <x v="0"/>
    <s v="United States"/>
    <s v="Los Angeles"/>
    <x v="1"/>
    <n v="90045"/>
    <x v="1"/>
    <x v="1"/>
    <x v="6"/>
    <n v="12.39"/>
    <n v="3"/>
    <n v="0"/>
    <n v="5.6993999999999998"/>
  </r>
  <r>
    <s v="Standard Class"/>
    <x v="0"/>
    <s v="United States"/>
    <s v="Los Angeles"/>
    <x v="1"/>
    <n v="90045"/>
    <x v="1"/>
    <x v="0"/>
    <x v="5"/>
    <n v="19.96"/>
    <n v="2"/>
    <n v="0"/>
    <n v="5.5888"/>
  </r>
  <r>
    <s v="Standard Class"/>
    <x v="0"/>
    <s v="United States"/>
    <s v="Los Angeles"/>
    <x v="1"/>
    <n v="90045"/>
    <x v="1"/>
    <x v="1"/>
    <x v="4"/>
    <n v="340.92"/>
    <n v="3"/>
    <n v="0"/>
    <n v="3.4091999999999998"/>
  </r>
  <r>
    <s v="Standard Class"/>
    <x v="0"/>
    <s v="United States"/>
    <s v="Philadelphia"/>
    <x v="9"/>
    <n v="19143"/>
    <x v="3"/>
    <x v="0"/>
    <x v="5"/>
    <n v="273.56799999999998"/>
    <n v="2"/>
    <n v="0.2"/>
    <n v="-34.195999999999998"/>
  </r>
  <r>
    <s v="Standard Class"/>
    <x v="0"/>
    <s v="United States"/>
    <s v="Philadelphia"/>
    <x v="9"/>
    <n v="19143"/>
    <x v="3"/>
    <x v="1"/>
    <x v="8"/>
    <n v="13.194000000000001"/>
    <n v="2"/>
    <n v="0.7"/>
    <n v="-8.7959999999999994"/>
  </r>
  <r>
    <s v="Standard Class"/>
    <x v="0"/>
    <s v="United States"/>
    <s v="Philadelphia"/>
    <x v="9"/>
    <n v="19143"/>
    <x v="3"/>
    <x v="1"/>
    <x v="4"/>
    <n v="1080.096"/>
    <n v="6"/>
    <n v="0.2"/>
    <n v="-94.508399999999995"/>
  </r>
  <r>
    <s v="Standard Class"/>
    <x v="0"/>
    <s v="United States"/>
    <s v="Philadelphia"/>
    <x v="9"/>
    <n v="19143"/>
    <x v="3"/>
    <x v="2"/>
    <x v="11"/>
    <n v="51.56"/>
    <n v="5"/>
    <n v="0.2"/>
    <n v="-6.4450000000000003"/>
  </r>
  <r>
    <s v="Standard Class"/>
    <x v="0"/>
    <s v="United States"/>
    <s v="Philadelphia"/>
    <x v="9"/>
    <n v="19143"/>
    <x v="3"/>
    <x v="2"/>
    <x v="11"/>
    <n v="58.415999999999997"/>
    <n v="2"/>
    <n v="0.2"/>
    <n v="16.794599999999999"/>
  </r>
  <r>
    <s v="Standard Class"/>
    <x v="0"/>
    <s v="United States"/>
    <s v="San Francisco"/>
    <x v="1"/>
    <n v="94122"/>
    <x v="1"/>
    <x v="1"/>
    <x v="8"/>
    <n v="57.584000000000003"/>
    <n v="2"/>
    <n v="0.2"/>
    <n v="20.154399999999999"/>
  </r>
  <r>
    <s v="Second Class"/>
    <x v="2"/>
    <s v="United States"/>
    <s v="Philadelphia"/>
    <x v="9"/>
    <n v="19134"/>
    <x v="3"/>
    <x v="1"/>
    <x v="6"/>
    <n v="37.311999999999998"/>
    <n v="4"/>
    <n v="0.2"/>
    <n v="2.7984"/>
  </r>
  <r>
    <s v="Same Day"/>
    <x v="0"/>
    <s v="United States"/>
    <s v="Houston"/>
    <x v="5"/>
    <n v="77041"/>
    <x v="2"/>
    <x v="2"/>
    <x v="7"/>
    <n v="79.959999999999994"/>
    <n v="5"/>
    <n v="0.2"/>
    <n v="7.9960000000000004"/>
  </r>
  <r>
    <s v="Same Day"/>
    <x v="0"/>
    <s v="United States"/>
    <s v="Houston"/>
    <x v="5"/>
    <n v="77041"/>
    <x v="2"/>
    <x v="2"/>
    <x v="11"/>
    <n v="223.96"/>
    <n v="5"/>
    <n v="0.2"/>
    <n v="11.198"/>
  </r>
  <r>
    <s v="Second Class"/>
    <x v="0"/>
    <s v="United States"/>
    <s v="Lancaster"/>
    <x v="9"/>
    <n v="17602"/>
    <x v="3"/>
    <x v="1"/>
    <x v="4"/>
    <n v="221.024"/>
    <n v="2"/>
    <n v="0.2"/>
    <n v="-55.256"/>
  </r>
  <r>
    <s v="Standard Class"/>
    <x v="1"/>
    <s v="United States"/>
    <s v="Green Bay"/>
    <x v="6"/>
    <n v="54302"/>
    <x v="2"/>
    <x v="0"/>
    <x v="5"/>
    <n v="18.96"/>
    <n v="2"/>
    <n v="0"/>
    <n v="7.5839999999999996"/>
  </r>
  <r>
    <s v="Standard Class"/>
    <x v="0"/>
    <s v="United States"/>
    <s v="New York City"/>
    <x v="15"/>
    <n v="10024"/>
    <x v="3"/>
    <x v="0"/>
    <x v="1"/>
    <n v="326.64600000000002"/>
    <n v="3"/>
    <n v="0.1"/>
    <n v="39.923400000000001"/>
  </r>
  <r>
    <s v="Standard Class"/>
    <x v="0"/>
    <s v="United States"/>
    <s v="New York City"/>
    <x v="15"/>
    <n v="10024"/>
    <x v="3"/>
    <x v="2"/>
    <x v="11"/>
    <n v="89.97"/>
    <n v="3"/>
    <n v="0"/>
    <n v="39.586799999999997"/>
  </r>
  <r>
    <s v="Standard Class"/>
    <x v="2"/>
    <s v="United States"/>
    <s v="New York City"/>
    <x v="15"/>
    <n v="10011"/>
    <x v="3"/>
    <x v="1"/>
    <x v="8"/>
    <n v="296.71199999999999"/>
    <n v="13"/>
    <n v="0.2"/>
    <n v="100.1403"/>
  </r>
  <r>
    <s v="Standard Class"/>
    <x v="0"/>
    <s v="United States"/>
    <s v="Bloomington"/>
    <x v="10"/>
    <n v="61701"/>
    <x v="2"/>
    <x v="1"/>
    <x v="12"/>
    <n v="12.224"/>
    <n v="2"/>
    <n v="0.2"/>
    <n v="4.4311999999999996"/>
  </r>
  <r>
    <s v="First Class"/>
    <x v="0"/>
    <s v="United States"/>
    <s v="Boise"/>
    <x v="45"/>
    <n v="83704"/>
    <x v="1"/>
    <x v="2"/>
    <x v="11"/>
    <n v="89.97"/>
    <n v="3"/>
    <n v="0"/>
    <n v="37.787399999999998"/>
  </r>
  <r>
    <s v="First Class"/>
    <x v="0"/>
    <s v="United States"/>
    <s v="Lowell"/>
    <x v="31"/>
    <n v="1852"/>
    <x v="3"/>
    <x v="1"/>
    <x v="9"/>
    <n v="286.86"/>
    <n v="7"/>
    <n v="0"/>
    <n v="80.320800000000006"/>
  </r>
  <r>
    <s v="First Class"/>
    <x v="0"/>
    <s v="United States"/>
    <s v="Lowell"/>
    <x v="31"/>
    <n v="1852"/>
    <x v="3"/>
    <x v="2"/>
    <x v="7"/>
    <n v="979.95"/>
    <n v="5"/>
    <n v="0"/>
    <n v="284.18549999999999"/>
  </r>
  <r>
    <s v="First Class"/>
    <x v="0"/>
    <s v="United States"/>
    <s v="Lowell"/>
    <x v="31"/>
    <n v="1852"/>
    <x v="3"/>
    <x v="1"/>
    <x v="14"/>
    <n v="4.3600000000000003"/>
    <n v="2"/>
    <n v="0"/>
    <n v="0.1744"/>
  </r>
  <r>
    <s v="Standard Class"/>
    <x v="0"/>
    <s v="United States"/>
    <s v="Seattle"/>
    <x v="4"/>
    <n v="98115"/>
    <x v="1"/>
    <x v="1"/>
    <x v="8"/>
    <n v="10.048"/>
    <n v="2"/>
    <n v="0.2"/>
    <n v="3.14"/>
  </r>
  <r>
    <s v="Standard Class"/>
    <x v="0"/>
    <s v="United States"/>
    <s v="Seattle"/>
    <x v="4"/>
    <n v="98115"/>
    <x v="1"/>
    <x v="1"/>
    <x v="4"/>
    <n v="807.75"/>
    <n v="5"/>
    <n v="0"/>
    <n v="153.4725"/>
  </r>
  <r>
    <s v="Standard Class"/>
    <x v="0"/>
    <s v="United States"/>
    <s v="Los Angeles"/>
    <x v="1"/>
    <n v="90049"/>
    <x v="1"/>
    <x v="1"/>
    <x v="6"/>
    <n v="34.24"/>
    <n v="8"/>
    <n v="0"/>
    <n v="9.9296000000000006"/>
  </r>
  <r>
    <s v="Standard Class"/>
    <x v="1"/>
    <s v="United States"/>
    <s v="Hampton"/>
    <x v="17"/>
    <n v="23666"/>
    <x v="0"/>
    <x v="0"/>
    <x v="1"/>
    <n v="500.24"/>
    <n v="13"/>
    <n v="0"/>
    <n v="145.06960000000001"/>
  </r>
  <r>
    <s v="Standard Class"/>
    <x v="1"/>
    <s v="United States"/>
    <s v="Hampton"/>
    <x v="17"/>
    <n v="23666"/>
    <x v="0"/>
    <x v="1"/>
    <x v="10"/>
    <n v="20.12"/>
    <n v="2"/>
    <n v="0"/>
    <n v="9.2552000000000003"/>
  </r>
  <r>
    <s v="Standard Class"/>
    <x v="1"/>
    <s v="United States"/>
    <s v="Hampton"/>
    <x v="17"/>
    <n v="23666"/>
    <x v="0"/>
    <x v="1"/>
    <x v="8"/>
    <n v="896.99"/>
    <n v="1"/>
    <n v="0"/>
    <n v="421.58530000000002"/>
  </r>
  <r>
    <s v="Second Class"/>
    <x v="2"/>
    <s v="United States"/>
    <s v="Philadelphia"/>
    <x v="9"/>
    <n v="19134"/>
    <x v="3"/>
    <x v="1"/>
    <x v="10"/>
    <n v="5.88"/>
    <n v="1"/>
    <n v="0.2"/>
    <n v="1.9844999999999999"/>
  </r>
  <r>
    <s v="Standard Class"/>
    <x v="2"/>
    <s v="United States"/>
    <s v="Omaha"/>
    <x v="8"/>
    <n v="68104"/>
    <x v="2"/>
    <x v="2"/>
    <x v="7"/>
    <n v="269.98"/>
    <n v="2"/>
    <n v="0"/>
    <n v="72.894599999999997"/>
  </r>
  <r>
    <s v="Standard Class"/>
    <x v="1"/>
    <s v="United States"/>
    <s v="Los Angeles"/>
    <x v="1"/>
    <n v="90032"/>
    <x v="1"/>
    <x v="1"/>
    <x v="4"/>
    <n v="310.12"/>
    <n v="2"/>
    <n v="0"/>
    <n v="80.631200000000007"/>
  </r>
  <r>
    <s v="Standard Class"/>
    <x v="1"/>
    <s v="United States"/>
    <s v="Los Angeles"/>
    <x v="1"/>
    <n v="90032"/>
    <x v="1"/>
    <x v="1"/>
    <x v="8"/>
    <n v="70.463999999999999"/>
    <n v="6"/>
    <n v="0.2"/>
    <n v="22.9008"/>
  </r>
  <r>
    <s v="Standard Class"/>
    <x v="1"/>
    <s v="United States"/>
    <s v="Los Angeles"/>
    <x v="1"/>
    <n v="90032"/>
    <x v="1"/>
    <x v="1"/>
    <x v="8"/>
    <n v="19.68"/>
    <n v="5"/>
    <n v="0.2"/>
    <n v="6.8879999999999999"/>
  </r>
  <r>
    <s v="Standard Class"/>
    <x v="1"/>
    <s v="United States"/>
    <s v="Los Angeles"/>
    <x v="1"/>
    <n v="90032"/>
    <x v="1"/>
    <x v="1"/>
    <x v="9"/>
    <n v="140.66999999999999"/>
    <n v="3"/>
    <n v="0"/>
    <n v="54.8613"/>
  </r>
  <r>
    <s v="Standard Class"/>
    <x v="1"/>
    <s v="United States"/>
    <s v="Burlington"/>
    <x v="42"/>
    <n v="5408"/>
    <x v="3"/>
    <x v="0"/>
    <x v="0"/>
    <n v="4404.8999999999996"/>
    <n v="5"/>
    <n v="0"/>
    <n v="1013.127"/>
  </r>
  <r>
    <s v="Standard Class"/>
    <x v="0"/>
    <s v="United States"/>
    <s v="San Diego"/>
    <x v="1"/>
    <n v="92037"/>
    <x v="1"/>
    <x v="1"/>
    <x v="2"/>
    <n v="62.65"/>
    <n v="5"/>
    <n v="0"/>
    <n v="29.445499999999999"/>
  </r>
  <r>
    <s v="Standard Class"/>
    <x v="0"/>
    <s v="United States"/>
    <s v="Newark"/>
    <x v="13"/>
    <n v="19711"/>
    <x v="3"/>
    <x v="1"/>
    <x v="2"/>
    <n v="9.4499999999999993"/>
    <n v="3"/>
    <n v="0"/>
    <n v="4.5359999999999996"/>
  </r>
  <r>
    <s v="Standard Class"/>
    <x v="0"/>
    <s v="United States"/>
    <s v="Aurora"/>
    <x v="10"/>
    <n v="60505"/>
    <x v="2"/>
    <x v="1"/>
    <x v="12"/>
    <n v="268.57600000000002"/>
    <n v="4"/>
    <n v="0.2"/>
    <n v="90.644400000000005"/>
  </r>
  <r>
    <s v="Same Day"/>
    <x v="0"/>
    <s v="United States"/>
    <s v="Los Angeles"/>
    <x v="1"/>
    <n v="90008"/>
    <x v="1"/>
    <x v="0"/>
    <x v="3"/>
    <n v="364.08"/>
    <n v="2"/>
    <n v="0.2"/>
    <n v="9.1020000000000003"/>
  </r>
  <r>
    <s v="Same Day"/>
    <x v="0"/>
    <s v="United States"/>
    <s v="Los Angeles"/>
    <x v="1"/>
    <n v="90008"/>
    <x v="1"/>
    <x v="0"/>
    <x v="3"/>
    <n v="71.087999999999994"/>
    <n v="2"/>
    <n v="0.2"/>
    <n v="-1.7771999999999999"/>
  </r>
  <r>
    <s v="Standard Class"/>
    <x v="0"/>
    <s v="United States"/>
    <s v="Chicago"/>
    <x v="10"/>
    <n v="60653"/>
    <x v="2"/>
    <x v="0"/>
    <x v="5"/>
    <n v="10.984"/>
    <n v="2"/>
    <n v="0.6"/>
    <n v="-7.9634"/>
  </r>
  <r>
    <s v="Standard Class"/>
    <x v="0"/>
    <s v="United States"/>
    <s v="Chicago"/>
    <x v="10"/>
    <n v="60653"/>
    <x v="2"/>
    <x v="0"/>
    <x v="1"/>
    <n v="797.94399999999996"/>
    <n v="4"/>
    <n v="0.3"/>
    <n v="-56.996000000000002"/>
  </r>
  <r>
    <s v="Standard Class"/>
    <x v="1"/>
    <s v="United States"/>
    <s v="Dover"/>
    <x v="38"/>
    <n v="3820"/>
    <x v="3"/>
    <x v="2"/>
    <x v="11"/>
    <n v="159.97999999999999"/>
    <n v="2"/>
    <n v="0"/>
    <n v="57.592799999999997"/>
  </r>
  <r>
    <s v="Standard Class"/>
    <x v="0"/>
    <s v="United States"/>
    <s v="Chicago"/>
    <x v="10"/>
    <n v="60610"/>
    <x v="2"/>
    <x v="1"/>
    <x v="6"/>
    <n v="5.3440000000000003"/>
    <n v="2"/>
    <n v="0.2"/>
    <n v="0.66800000000000004"/>
  </r>
  <r>
    <s v="Standard Class"/>
    <x v="0"/>
    <s v="United States"/>
    <s v="Chicago"/>
    <x v="10"/>
    <n v="60610"/>
    <x v="2"/>
    <x v="1"/>
    <x v="6"/>
    <n v="27.72"/>
    <n v="3"/>
    <n v="0.2"/>
    <n v="3.4649999999999999"/>
  </r>
  <r>
    <s v="First Class"/>
    <x v="2"/>
    <s v="United States"/>
    <s v="Seattle"/>
    <x v="4"/>
    <n v="98115"/>
    <x v="1"/>
    <x v="1"/>
    <x v="8"/>
    <n v="2.496"/>
    <n v="1"/>
    <n v="0.2"/>
    <n v="0.90480000000000005"/>
  </r>
  <r>
    <s v="Second Class"/>
    <x v="0"/>
    <s v="United States"/>
    <s v="Richmond"/>
    <x v="17"/>
    <n v="23223"/>
    <x v="0"/>
    <x v="1"/>
    <x v="2"/>
    <n v="8.26"/>
    <n v="2"/>
    <n v="0"/>
    <n v="3.7995999999999999"/>
  </r>
  <r>
    <s v="Second Class"/>
    <x v="0"/>
    <s v="United States"/>
    <s v="Richmond"/>
    <x v="17"/>
    <n v="23223"/>
    <x v="0"/>
    <x v="1"/>
    <x v="8"/>
    <n v="17.760000000000002"/>
    <n v="2"/>
    <n v="0"/>
    <n v="8.8800000000000008"/>
  </r>
  <r>
    <s v="Second Class"/>
    <x v="0"/>
    <s v="United States"/>
    <s v="Richmond"/>
    <x v="17"/>
    <n v="23223"/>
    <x v="0"/>
    <x v="1"/>
    <x v="4"/>
    <n v="332.94"/>
    <n v="3"/>
    <n v="0"/>
    <n v="9.9882000000000009"/>
  </r>
  <r>
    <s v="Second Class"/>
    <x v="0"/>
    <s v="United States"/>
    <s v="Richmond"/>
    <x v="17"/>
    <n v="23223"/>
    <x v="0"/>
    <x v="0"/>
    <x v="3"/>
    <n v="292.10000000000002"/>
    <n v="2"/>
    <n v="0"/>
    <n v="58.42"/>
  </r>
  <r>
    <s v="Second Class"/>
    <x v="0"/>
    <s v="United States"/>
    <s v="Richmond"/>
    <x v="17"/>
    <n v="23223"/>
    <x v="0"/>
    <x v="2"/>
    <x v="7"/>
    <n v="206.1"/>
    <n v="5"/>
    <n v="0"/>
    <n v="55.646999999999998"/>
  </r>
  <r>
    <s v="Second Class"/>
    <x v="0"/>
    <s v="United States"/>
    <s v="Richmond"/>
    <x v="17"/>
    <n v="23223"/>
    <x v="0"/>
    <x v="1"/>
    <x v="10"/>
    <n v="17.64"/>
    <n v="4"/>
    <n v="0"/>
    <n v="8.1143999999999998"/>
  </r>
  <r>
    <s v="Standard Class"/>
    <x v="1"/>
    <s v="United States"/>
    <s v="San Francisco"/>
    <x v="1"/>
    <n v="94109"/>
    <x v="1"/>
    <x v="0"/>
    <x v="1"/>
    <n v="1403.92"/>
    <n v="5"/>
    <n v="0.2"/>
    <n v="70.195999999999998"/>
  </r>
  <r>
    <s v="Standard Class"/>
    <x v="2"/>
    <s v="United States"/>
    <s v="Springdale"/>
    <x v="36"/>
    <n v="72762"/>
    <x v="0"/>
    <x v="1"/>
    <x v="6"/>
    <n v="4.3"/>
    <n v="2"/>
    <n v="0"/>
    <n v="1.419"/>
  </r>
  <r>
    <s v="Standard Class"/>
    <x v="1"/>
    <s v="United States"/>
    <s v="Seattle"/>
    <x v="4"/>
    <n v="98103"/>
    <x v="1"/>
    <x v="2"/>
    <x v="11"/>
    <n v="239.97"/>
    <n v="3"/>
    <n v="0"/>
    <n v="86.389200000000002"/>
  </r>
  <r>
    <s v="Standard Class"/>
    <x v="1"/>
    <s v="United States"/>
    <s v="Seattle"/>
    <x v="4"/>
    <n v="98103"/>
    <x v="1"/>
    <x v="1"/>
    <x v="9"/>
    <n v="81.96"/>
    <n v="2"/>
    <n v="0"/>
    <n v="22.948799999999999"/>
  </r>
  <r>
    <s v="Standard Class"/>
    <x v="1"/>
    <s v="United States"/>
    <s v="Seattle"/>
    <x v="4"/>
    <n v="98103"/>
    <x v="1"/>
    <x v="1"/>
    <x v="14"/>
    <n v="238.62"/>
    <n v="2"/>
    <n v="0"/>
    <n v="4.7724000000000002"/>
  </r>
  <r>
    <s v="Standard Class"/>
    <x v="0"/>
    <s v="United States"/>
    <s v="Los Angeles"/>
    <x v="1"/>
    <n v="90036"/>
    <x v="1"/>
    <x v="2"/>
    <x v="7"/>
    <n v="139.80000000000001"/>
    <n v="5"/>
    <n v="0.2"/>
    <n v="12.2325"/>
  </r>
  <r>
    <s v="Standard Class"/>
    <x v="0"/>
    <s v="United States"/>
    <s v="Middletown"/>
    <x v="29"/>
    <n v="6457"/>
    <x v="3"/>
    <x v="1"/>
    <x v="8"/>
    <n v="9.84"/>
    <n v="2"/>
    <n v="0"/>
    <n v="4.7232000000000003"/>
  </r>
  <r>
    <s v="Standard Class"/>
    <x v="0"/>
    <s v="United States"/>
    <s v="Middletown"/>
    <x v="29"/>
    <n v="6457"/>
    <x v="3"/>
    <x v="1"/>
    <x v="10"/>
    <n v="7.78"/>
    <n v="1"/>
    <n v="0"/>
    <n v="3.5009999999999999"/>
  </r>
  <r>
    <s v="Standard Class"/>
    <x v="0"/>
    <s v="United States"/>
    <s v="Grand Rapids"/>
    <x v="12"/>
    <n v="49505"/>
    <x v="2"/>
    <x v="1"/>
    <x v="8"/>
    <n v="54.9"/>
    <n v="5"/>
    <n v="0"/>
    <n v="26.901"/>
  </r>
  <r>
    <s v="Standard Class"/>
    <x v="2"/>
    <s v="United States"/>
    <s v="San Francisco"/>
    <x v="1"/>
    <n v="94122"/>
    <x v="1"/>
    <x v="1"/>
    <x v="10"/>
    <n v="50.04"/>
    <n v="6"/>
    <n v="0"/>
    <n v="25.02"/>
  </r>
  <r>
    <s v="Standard Class"/>
    <x v="2"/>
    <s v="United States"/>
    <s v="Hialeah"/>
    <x v="2"/>
    <n v="33012"/>
    <x v="0"/>
    <x v="0"/>
    <x v="0"/>
    <n v="339.92"/>
    <n v="5"/>
    <n v="0.2"/>
    <n v="8.4979999999999993"/>
  </r>
  <r>
    <s v="Standard Class"/>
    <x v="2"/>
    <s v="United States"/>
    <s v="Hialeah"/>
    <x v="2"/>
    <n v="33012"/>
    <x v="0"/>
    <x v="1"/>
    <x v="10"/>
    <n v="10.528"/>
    <n v="4"/>
    <n v="0.2"/>
    <n v="3.4216000000000002"/>
  </r>
  <r>
    <s v="Standard Class"/>
    <x v="2"/>
    <s v="United States"/>
    <s v="Hialeah"/>
    <x v="2"/>
    <n v="33012"/>
    <x v="0"/>
    <x v="1"/>
    <x v="9"/>
    <n v="42.384"/>
    <n v="2"/>
    <n v="0.2"/>
    <n v="4.2384000000000004"/>
  </r>
  <r>
    <s v="Same Day"/>
    <x v="1"/>
    <s v="United States"/>
    <s v="Philadelphia"/>
    <x v="9"/>
    <n v="19143"/>
    <x v="3"/>
    <x v="1"/>
    <x v="10"/>
    <n v="123.92"/>
    <n v="5"/>
    <n v="0.2"/>
    <n v="38.725000000000001"/>
  </r>
  <r>
    <s v="Standard Class"/>
    <x v="0"/>
    <s v="United States"/>
    <s v="Atlanta"/>
    <x v="32"/>
    <n v="30318"/>
    <x v="0"/>
    <x v="2"/>
    <x v="7"/>
    <n v="135.94999999999999"/>
    <n v="1"/>
    <n v="0"/>
    <n v="39.4255"/>
  </r>
  <r>
    <s v="Standard Class"/>
    <x v="0"/>
    <s v="United States"/>
    <s v="San Antonio"/>
    <x v="5"/>
    <n v="78207"/>
    <x v="2"/>
    <x v="1"/>
    <x v="8"/>
    <n v="2177.5839999999998"/>
    <n v="8"/>
    <n v="0.8"/>
    <n v="-3701.8928000000001"/>
  </r>
  <r>
    <s v="Standard Class"/>
    <x v="0"/>
    <s v="United States"/>
    <s v="San Antonio"/>
    <x v="5"/>
    <n v="78207"/>
    <x v="2"/>
    <x v="0"/>
    <x v="5"/>
    <n v="17.495999999999999"/>
    <n v="3"/>
    <n v="0.6"/>
    <n v="-10.0602"/>
  </r>
  <r>
    <s v="Standard Class"/>
    <x v="0"/>
    <s v="United States"/>
    <s v="San Antonio"/>
    <x v="5"/>
    <n v="78207"/>
    <x v="2"/>
    <x v="1"/>
    <x v="8"/>
    <n v="16.783999999999999"/>
    <n v="4"/>
    <n v="0.8"/>
    <n v="-26.854399999999998"/>
  </r>
  <r>
    <s v="Standard Class"/>
    <x v="0"/>
    <s v="United States"/>
    <s v="San Antonio"/>
    <x v="5"/>
    <n v="78207"/>
    <x v="2"/>
    <x v="2"/>
    <x v="11"/>
    <n v="431.13600000000002"/>
    <n v="9"/>
    <n v="0.2"/>
    <n v="-26.946000000000002"/>
  </r>
  <r>
    <s v="Standard Class"/>
    <x v="0"/>
    <s v="United States"/>
    <s v="San Antonio"/>
    <x v="5"/>
    <n v="78207"/>
    <x v="2"/>
    <x v="1"/>
    <x v="8"/>
    <n v="8.8800000000000008"/>
    <n v="5"/>
    <n v="0.8"/>
    <n v="-13.32"/>
  </r>
  <r>
    <s v="Standard Class"/>
    <x v="0"/>
    <s v="United States"/>
    <s v="San Antonio"/>
    <x v="5"/>
    <n v="78207"/>
    <x v="2"/>
    <x v="1"/>
    <x v="9"/>
    <n v="4.8360000000000003"/>
    <n v="2"/>
    <n v="0.8"/>
    <n v="-12.09"/>
  </r>
  <r>
    <s v="Standard Class"/>
    <x v="0"/>
    <s v="United States"/>
    <s v="Long Beach"/>
    <x v="15"/>
    <n v="11561"/>
    <x v="3"/>
    <x v="2"/>
    <x v="7"/>
    <n v="437.85"/>
    <n v="3"/>
    <n v="0"/>
    <n v="131.35499999999999"/>
  </r>
  <r>
    <s v="Standard Class"/>
    <x v="0"/>
    <s v="United States"/>
    <s v="Long Beach"/>
    <x v="15"/>
    <n v="11561"/>
    <x v="3"/>
    <x v="1"/>
    <x v="8"/>
    <n v="673.56799999999998"/>
    <n v="2"/>
    <n v="0.2"/>
    <n v="252.58799999999999"/>
  </r>
  <r>
    <s v="Second Class"/>
    <x v="1"/>
    <s v="United States"/>
    <s v="Paterson"/>
    <x v="30"/>
    <n v="7501"/>
    <x v="3"/>
    <x v="1"/>
    <x v="10"/>
    <n v="274.8"/>
    <n v="5"/>
    <n v="0"/>
    <n v="134.65199999999999"/>
  </r>
  <r>
    <s v="Second Class"/>
    <x v="1"/>
    <s v="United States"/>
    <s v="Paterson"/>
    <x v="30"/>
    <n v="7501"/>
    <x v="3"/>
    <x v="1"/>
    <x v="4"/>
    <n v="62.18"/>
    <n v="1"/>
    <n v="0"/>
    <n v="16.788599999999999"/>
  </r>
  <r>
    <s v="Second Class"/>
    <x v="1"/>
    <s v="United States"/>
    <s v="Paterson"/>
    <x v="30"/>
    <n v="7501"/>
    <x v="3"/>
    <x v="0"/>
    <x v="5"/>
    <n v="8.2799999999999994"/>
    <n v="2"/>
    <n v="0"/>
    <n v="2.9807999999999999"/>
  </r>
  <r>
    <s v="Standard Class"/>
    <x v="0"/>
    <s v="United States"/>
    <s v="Louisville"/>
    <x v="0"/>
    <n v="40214"/>
    <x v="0"/>
    <x v="1"/>
    <x v="8"/>
    <n v="48.81"/>
    <n v="3"/>
    <n v="0"/>
    <n v="23.916899999999998"/>
  </r>
  <r>
    <s v="Same Day"/>
    <x v="0"/>
    <s v="United States"/>
    <s v="Hampton"/>
    <x v="17"/>
    <n v="23666"/>
    <x v="0"/>
    <x v="0"/>
    <x v="1"/>
    <n v="149.9"/>
    <n v="5"/>
    <n v="0"/>
    <n v="40.472999999999999"/>
  </r>
  <r>
    <s v="Standard Class"/>
    <x v="0"/>
    <s v="United States"/>
    <s v="Houston"/>
    <x v="5"/>
    <n v="77070"/>
    <x v="2"/>
    <x v="0"/>
    <x v="0"/>
    <n v="1023.332"/>
    <n v="5"/>
    <n v="0.32"/>
    <n v="-30.097999999999999"/>
  </r>
  <r>
    <s v="Standard Class"/>
    <x v="0"/>
    <s v="United States"/>
    <s v="Houston"/>
    <x v="5"/>
    <n v="77070"/>
    <x v="2"/>
    <x v="0"/>
    <x v="1"/>
    <n v="600.55799999999999"/>
    <n v="3"/>
    <n v="0.3"/>
    <n v="-8.5793999999999997"/>
  </r>
  <r>
    <s v="Standard Class"/>
    <x v="0"/>
    <s v="United States"/>
    <s v="Houston"/>
    <x v="5"/>
    <n v="77070"/>
    <x v="2"/>
    <x v="2"/>
    <x v="11"/>
    <n v="39.991999999999997"/>
    <n v="1"/>
    <n v="0.2"/>
    <n v="6.9985999999999997"/>
  </r>
  <r>
    <s v="Standard Class"/>
    <x v="0"/>
    <s v="United States"/>
    <s v="Houston"/>
    <x v="5"/>
    <n v="77070"/>
    <x v="2"/>
    <x v="0"/>
    <x v="1"/>
    <n v="211.24600000000001"/>
    <n v="2"/>
    <n v="0.3"/>
    <n v="-66.391599999999997"/>
  </r>
  <r>
    <s v="Second Class"/>
    <x v="0"/>
    <s v="United States"/>
    <s v="Houston"/>
    <x v="5"/>
    <n v="77070"/>
    <x v="2"/>
    <x v="1"/>
    <x v="12"/>
    <n v="56.064"/>
    <n v="6"/>
    <n v="0.2"/>
    <n v="21.024000000000001"/>
  </r>
  <r>
    <s v="Second Class"/>
    <x v="0"/>
    <s v="United States"/>
    <s v="Houston"/>
    <x v="5"/>
    <n v="77070"/>
    <x v="2"/>
    <x v="0"/>
    <x v="1"/>
    <n v="107.77200000000001"/>
    <n v="2"/>
    <n v="0.3"/>
    <n v="-29.252400000000002"/>
  </r>
  <r>
    <s v="Second Class"/>
    <x v="0"/>
    <s v="United States"/>
    <s v="Houston"/>
    <x v="5"/>
    <n v="77070"/>
    <x v="2"/>
    <x v="1"/>
    <x v="10"/>
    <n v="4.8319999999999999"/>
    <n v="1"/>
    <n v="0.2"/>
    <n v="1.6308"/>
  </r>
  <r>
    <s v="Second Class"/>
    <x v="0"/>
    <s v="United States"/>
    <s v="Houston"/>
    <x v="5"/>
    <n v="77070"/>
    <x v="2"/>
    <x v="1"/>
    <x v="8"/>
    <n v="18.239999999999998"/>
    <n v="3"/>
    <n v="0.8"/>
    <n v="-31.007999999999999"/>
  </r>
  <r>
    <s v="Standard Class"/>
    <x v="1"/>
    <s v="United States"/>
    <s v="Chicago"/>
    <x v="10"/>
    <n v="60610"/>
    <x v="2"/>
    <x v="1"/>
    <x v="8"/>
    <n v="3.798"/>
    <n v="3"/>
    <n v="0.8"/>
    <n v="-5.8868999999999998"/>
  </r>
  <r>
    <s v="Standard Class"/>
    <x v="1"/>
    <s v="United States"/>
    <s v="Toledo"/>
    <x v="24"/>
    <n v="43615"/>
    <x v="3"/>
    <x v="1"/>
    <x v="6"/>
    <n v="10.368"/>
    <n v="2"/>
    <n v="0.2"/>
    <n v="1.5551999999999999"/>
  </r>
  <r>
    <s v="Standard Class"/>
    <x v="1"/>
    <s v="United States"/>
    <s v="Toledo"/>
    <x v="24"/>
    <n v="43615"/>
    <x v="3"/>
    <x v="2"/>
    <x v="7"/>
    <n v="235.18799999999999"/>
    <n v="2"/>
    <n v="0.4"/>
    <n v="-43.117800000000003"/>
  </r>
  <r>
    <s v="Standard Class"/>
    <x v="1"/>
    <s v="United States"/>
    <s v="Toledo"/>
    <x v="24"/>
    <n v="43615"/>
    <x v="3"/>
    <x v="2"/>
    <x v="7"/>
    <n v="26.376000000000001"/>
    <n v="4"/>
    <n v="0.4"/>
    <n v="2.6375999999999999"/>
  </r>
  <r>
    <s v="Standard Class"/>
    <x v="1"/>
    <s v="United States"/>
    <s v="Toledo"/>
    <x v="24"/>
    <n v="43615"/>
    <x v="3"/>
    <x v="2"/>
    <x v="11"/>
    <n v="10.384"/>
    <n v="2"/>
    <n v="0.2"/>
    <n v="2.2065999999999999"/>
  </r>
  <r>
    <s v="Standard Class"/>
    <x v="1"/>
    <s v="United States"/>
    <s v="Toledo"/>
    <x v="24"/>
    <n v="43615"/>
    <x v="3"/>
    <x v="2"/>
    <x v="7"/>
    <n v="107.11799999999999"/>
    <n v="3"/>
    <n v="0.4"/>
    <n v="-21.4236"/>
  </r>
  <r>
    <s v="Standard Class"/>
    <x v="0"/>
    <s v="United States"/>
    <s v="Lodi"/>
    <x v="1"/>
    <n v="95240"/>
    <x v="1"/>
    <x v="1"/>
    <x v="14"/>
    <n v="97.3"/>
    <n v="7"/>
    <n v="0"/>
    <n v="28.216999999999999"/>
  </r>
  <r>
    <s v="Second Class"/>
    <x v="0"/>
    <s v="United States"/>
    <s v="New York City"/>
    <x v="15"/>
    <n v="10024"/>
    <x v="3"/>
    <x v="1"/>
    <x v="8"/>
    <n v="3.3279999999999998"/>
    <n v="2"/>
    <n v="0.2"/>
    <n v="1.2063999999999999"/>
  </r>
  <r>
    <s v="Second Class"/>
    <x v="0"/>
    <s v="United States"/>
    <s v="New York City"/>
    <x v="15"/>
    <n v="10024"/>
    <x v="3"/>
    <x v="2"/>
    <x v="7"/>
    <n v="135.99"/>
    <n v="1"/>
    <n v="0"/>
    <n v="36.717300000000002"/>
  </r>
  <r>
    <s v="Second Class"/>
    <x v="0"/>
    <s v="United States"/>
    <s v="New York City"/>
    <x v="15"/>
    <n v="10024"/>
    <x v="3"/>
    <x v="0"/>
    <x v="5"/>
    <n v="7.38"/>
    <n v="1"/>
    <n v="0"/>
    <n v="2.1402000000000001"/>
  </r>
  <r>
    <s v="Standard Class"/>
    <x v="2"/>
    <s v="United States"/>
    <s v="Fort Lauderdale"/>
    <x v="2"/>
    <n v="33311"/>
    <x v="0"/>
    <x v="0"/>
    <x v="5"/>
    <n v="45.567999999999998"/>
    <n v="2"/>
    <n v="0.2"/>
    <n v="9.6831999999999994"/>
  </r>
  <r>
    <s v="Standard Class"/>
    <x v="2"/>
    <s v="United States"/>
    <s v="Fort Lauderdale"/>
    <x v="2"/>
    <n v="33311"/>
    <x v="0"/>
    <x v="1"/>
    <x v="8"/>
    <n v="28.751999999999999"/>
    <n v="8"/>
    <n v="0.7"/>
    <n v="-21.084800000000001"/>
  </r>
  <r>
    <s v="Second Class"/>
    <x v="0"/>
    <s v="United States"/>
    <s v="Raleigh"/>
    <x v="3"/>
    <n v="27604"/>
    <x v="0"/>
    <x v="0"/>
    <x v="1"/>
    <n v="194.84800000000001"/>
    <n v="4"/>
    <n v="0.2"/>
    <n v="12.178000000000001"/>
  </r>
  <r>
    <s v="Standard Class"/>
    <x v="0"/>
    <s v="United States"/>
    <s v="Chicago"/>
    <x v="10"/>
    <n v="60623"/>
    <x v="2"/>
    <x v="1"/>
    <x v="8"/>
    <n v="2.1120000000000001"/>
    <n v="2"/>
    <n v="0.8"/>
    <n v="-3.3792"/>
  </r>
  <r>
    <s v="Second Class"/>
    <x v="0"/>
    <s v="United States"/>
    <s v="Portland"/>
    <x v="21"/>
    <n v="97206"/>
    <x v="1"/>
    <x v="1"/>
    <x v="10"/>
    <n v="25.92"/>
    <n v="5"/>
    <n v="0.2"/>
    <n v="9.0719999999999992"/>
  </r>
  <r>
    <s v="Second Class"/>
    <x v="0"/>
    <s v="United States"/>
    <s v="Portland"/>
    <x v="21"/>
    <n v="97206"/>
    <x v="1"/>
    <x v="1"/>
    <x v="6"/>
    <n v="120.768"/>
    <n v="4"/>
    <n v="0.2"/>
    <n v="9.0576000000000008"/>
  </r>
  <r>
    <s v="First Class"/>
    <x v="0"/>
    <s v="United States"/>
    <s v="East Orange"/>
    <x v="30"/>
    <n v="7017"/>
    <x v="3"/>
    <x v="1"/>
    <x v="10"/>
    <n v="25.92"/>
    <n v="4"/>
    <n v="0"/>
    <n v="12.441599999999999"/>
  </r>
  <r>
    <s v="First Class"/>
    <x v="0"/>
    <s v="United States"/>
    <s v="East Orange"/>
    <x v="30"/>
    <n v="7017"/>
    <x v="3"/>
    <x v="1"/>
    <x v="6"/>
    <n v="34.65"/>
    <n v="3"/>
    <n v="0"/>
    <n v="9.702"/>
  </r>
  <r>
    <s v="First Class"/>
    <x v="0"/>
    <s v="United States"/>
    <s v="East Orange"/>
    <x v="30"/>
    <n v="7017"/>
    <x v="3"/>
    <x v="1"/>
    <x v="10"/>
    <n v="204.95"/>
    <n v="5"/>
    <n v="0"/>
    <n v="100.4255"/>
  </r>
  <r>
    <s v="First Class"/>
    <x v="0"/>
    <s v="United States"/>
    <s v="East Orange"/>
    <x v="30"/>
    <n v="7017"/>
    <x v="3"/>
    <x v="1"/>
    <x v="8"/>
    <n v="79.95"/>
    <n v="5"/>
    <n v="0"/>
    <n v="38.375999999999998"/>
  </r>
  <r>
    <s v="Standard Class"/>
    <x v="1"/>
    <s v="United States"/>
    <s v="Saint Petersburg"/>
    <x v="2"/>
    <n v="33710"/>
    <x v="0"/>
    <x v="1"/>
    <x v="10"/>
    <n v="173.488"/>
    <n v="7"/>
    <n v="0.2"/>
    <n v="54.215000000000003"/>
  </r>
  <r>
    <s v="Standard Class"/>
    <x v="1"/>
    <s v="United States"/>
    <s v="Saint Petersburg"/>
    <x v="2"/>
    <n v="33710"/>
    <x v="0"/>
    <x v="1"/>
    <x v="4"/>
    <n v="516.96"/>
    <n v="4"/>
    <n v="0.2"/>
    <n v="-6.4619999999999997"/>
  </r>
  <r>
    <s v="Standard Class"/>
    <x v="1"/>
    <s v="United States"/>
    <s v="Saint Petersburg"/>
    <x v="2"/>
    <n v="33710"/>
    <x v="0"/>
    <x v="0"/>
    <x v="5"/>
    <n v="173.208"/>
    <n v="7"/>
    <n v="0.2"/>
    <n v="45.467100000000002"/>
  </r>
  <r>
    <s v="Standard Class"/>
    <x v="1"/>
    <s v="United States"/>
    <s v="Saint Petersburg"/>
    <x v="2"/>
    <n v="33710"/>
    <x v="0"/>
    <x v="1"/>
    <x v="6"/>
    <n v="4.4480000000000004"/>
    <n v="2"/>
    <n v="0.2"/>
    <n v="0.33360000000000001"/>
  </r>
  <r>
    <s v="Standard Class"/>
    <x v="1"/>
    <s v="United States"/>
    <s v="Saint Petersburg"/>
    <x v="2"/>
    <n v="33710"/>
    <x v="0"/>
    <x v="1"/>
    <x v="2"/>
    <n v="9"/>
    <n v="3"/>
    <n v="0.2"/>
    <n v="3.15"/>
  </r>
  <r>
    <s v="Standard Class"/>
    <x v="1"/>
    <s v="United States"/>
    <s v="Saint Petersburg"/>
    <x v="2"/>
    <n v="33710"/>
    <x v="0"/>
    <x v="1"/>
    <x v="10"/>
    <n v="42.24"/>
    <n v="10"/>
    <n v="0.2"/>
    <n v="13.2"/>
  </r>
  <r>
    <s v="Standard Class"/>
    <x v="1"/>
    <s v="United States"/>
    <s v="Saint Petersburg"/>
    <x v="2"/>
    <n v="33710"/>
    <x v="0"/>
    <x v="1"/>
    <x v="8"/>
    <n v="18.263999999999999"/>
    <n v="2"/>
    <n v="0.7"/>
    <n v="-13.393599999999999"/>
  </r>
  <r>
    <s v="Standard Class"/>
    <x v="0"/>
    <s v="United States"/>
    <s v="San Francisco"/>
    <x v="1"/>
    <n v="94122"/>
    <x v="1"/>
    <x v="1"/>
    <x v="9"/>
    <n v="152.91"/>
    <n v="3"/>
    <n v="0"/>
    <n v="42.814799999999998"/>
  </r>
  <r>
    <s v="Standard Class"/>
    <x v="0"/>
    <s v="United States"/>
    <s v="San Francisco"/>
    <x v="1"/>
    <n v="94122"/>
    <x v="1"/>
    <x v="1"/>
    <x v="10"/>
    <n v="92.94"/>
    <n v="3"/>
    <n v="0"/>
    <n v="41.823"/>
  </r>
  <r>
    <s v="Standard Class"/>
    <x v="0"/>
    <s v="United States"/>
    <s v="San Francisco"/>
    <x v="1"/>
    <n v="94122"/>
    <x v="1"/>
    <x v="1"/>
    <x v="8"/>
    <n v="17.856000000000002"/>
    <n v="4"/>
    <n v="0.2"/>
    <n v="6.2496"/>
  </r>
  <r>
    <s v="Standard Class"/>
    <x v="0"/>
    <s v="United States"/>
    <s v="San Francisco"/>
    <x v="1"/>
    <n v="94122"/>
    <x v="1"/>
    <x v="1"/>
    <x v="8"/>
    <n v="46.44"/>
    <n v="3"/>
    <n v="0.2"/>
    <n v="15.093"/>
  </r>
  <r>
    <s v="Standard Class"/>
    <x v="0"/>
    <s v="United States"/>
    <s v="San Francisco"/>
    <x v="1"/>
    <n v="94122"/>
    <x v="1"/>
    <x v="0"/>
    <x v="1"/>
    <n v="195.136"/>
    <n v="4"/>
    <n v="0.2"/>
    <n v="-12.196"/>
  </r>
  <r>
    <s v="Standard Class"/>
    <x v="1"/>
    <s v="United States"/>
    <s v="New York City"/>
    <x v="15"/>
    <n v="10035"/>
    <x v="3"/>
    <x v="1"/>
    <x v="4"/>
    <n v="129.30000000000001"/>
    <n v="2"/>
    <n v="0"/>
    <n v="6.4649999999999999"/>
  </r>
  <r>
    <s v="Standard Class"/>
    <x v="1"/>
    <s v="United States"/>
    <s v="New York City"/>
    <x v="15"/>
    <n v="10035"/>
    <x v="3"/>
    <x v="1"/>
    <x v="8"/>
    <n v="11.568"/>
    <n v="3"/>
    <n v="0.2"/>
    <n v="3.7595999999999998"/>
  </r>
  <r>
    <s v="Standard Class"/>
    <x v="0"/>
    <s v="United States"/>
    <s v="Charlotte"/>
    <x v="3"/>
    <n v="28205"/>
    <x v="0"/>
    <x v="0"/>
    <x v="1"/>
    <n v="242.352"/>
    <n v="3"/>
    <n v="0.2"/>
    <n v="15.147"/>
  </r>
  <r>
    <s v="Second Class"/>
    <x v="0"/>
    <s v="United States"/>
    <s v="Beaumont"/>
    <x v="5"/>
    <n v="77705"/>
    <x v="2"/>
    <x v="2"/>
    <x v="11"/>
    <n v="319.96800000000002"/>
    <n v="4"/>
    <n v="0.2"/>
    <n v="95.990399999999994"/>
  </r>
  <r>
    <s v="Second Class"/>
    <x v="0"/>
    <s v="United States"/>
    <s v="Beaumont"/>
    <x v="5"/>
    <n v="77705"/>
    <x v="2"/>
    <x v="0"/>
    <x v="5"/>
    <n v="8.6240000000000006"/>
    <n v="7"/>
    <n v="0.6"/>
    <n v="-2.5872000000000002"/>
  </r>
  <r>
    <s v="Second Class"/>
    <x v="0"/>
    <s v="United States"/>
    <s v="Dallas"/>
    <x v="5"/>
    <n v="75220"/>
    <x v="2"/>
    <x v="1"/>
    <x v="10"/>
    <n v="3.984"/>
    <n v="1"/>
    <n v="0.2"/>
    <n v="1.4441999999999999"/>
  </r>
  <r>
    <s v="Standard Class"/>
    <x v="1"/>
    <s v="United States"/>
    <s v="Springfield"/>
    <x v="24"/>
    <n v="45503"/>
    <x v="3"/>
    <x v="2"/>
    <x v="11"/>
    <n v="895.94399999999996"/>
    <n v="7"/>
    <n v="0.2"/>
    <n v="190.38810000000001"/>
  </r>
  <r>
    <s v="First Class"/>
    <x v="0"/>
    <s v="United States"/>
    <s v="La Porte"/>
    <x v="5"/>
    <n v="77571"/>
    <x v="2"/>
    <x v="0"/>
    <x v="5"/>
    <n v="14"/>
    <n v="4"/>
    <n v="0.6"/>
    <n v="-6.3"/>
  </r>
  <r>
    <s v="First Class"/>
    <x v="0"/>
    <s v="United States"/>
    <s v="La Porte"/>
    <x v="5"/>
    <n v="77571"/>
    <x v="2"/>
    <x v="1"/>
    <x v="8"/>
    <n v="16.391999999999999"/>
    <n v="2"/>
    <n v="0.8"/>
    <n v="-26.2272"/>
  </r>
  <r>
    <s v="Standard Class"/>
    <x v="0"/>
    <s v="United States"/>
    <s v="Long Beach"/>
    <x v="1"/>
    <n v="90805"/>
    <x v="1"/>
    <x v="1"/>
    <x v="10"/>
    <n v="10.9"/>
    <n v="5"/>
    <n v="0"/>
    <n v="5.1230000000000002"/>
  </r>
  <r>
    <s v="Standard Class"/>
    <x v="0"/>
    <s v="United States"/>
    <s v="Long Beach"/>
    <x v="1"/>
    <n v="90805"/>
    <x v="1"/>
    <x v="1"/>
    <x v="2"/>
    <n v="29.6"/>
    <n v="2"/>
    <n v="0"/>
    <n v="14.8"/>
  </r>
  <r>
    <s v="Standard Class"/>
    <x v="0"/>
    <s v="United States"/>
    <s v="Long Beach"/>
    <x v="1"/>
    <n v="90805"/>
    <x v="1"/>
    <x v="1"/>
    <x v="2"/>
    <n v="4.9800000000000004"/>
    <n v="1"/>
    <n v="0"/>
    <n v="2.2907999999999999"/>
  </r>
  <r>
    <s v="Standard Class"/>
    <x v="0"/>
    <s v="United States"/>
    <s v="Long Beach"/>
    <x v="1"/>
    <n v="90805"/>
    <x v="1"/>
    <x v="2"/>
    <x v="16"/>
    <n v="479.976"/>
    <n v="3"/>
    <n v="0.2"/>
    <n v="161.99189999999999"/>
  </r>
  <r>
    <s v="Standard Class"/>
    <x v="0"/>
    <s v="United States"/>
    <s v="Long Beach"/>
    <x v="1"/>
    <n v="90805"/>
    <x v="1"/>
    <x v="2"/>
    <x v="7"/>
    <n v="44.735999999999997"/>
    <n v="8"/>
    <n v="0.2"/>
    <n v="4.4736000000000002"/>
  </r>
  <r>
    <s v="Standard Class"/>
    <x v="0"/>
    <s v="United States"/>
    <s v="Long Beach"/>
    <x v="1"/>
    <n v="90805"/>
    <x v="1"/>
    <x v="1"/>
    <x v="6"/>
    <n v="5.76"/>
    <n v="2"/>
    <n v="0"/>
    <n v="1.6704000000000001"/>
  </r>
  <r>
    <s v="Standard Class"/>
    <x v="0"/>
    <s v="United States"/>
    <s v="Long Beach"/>
    <x v="1"/>
    <n v="90805"/>
    <x v="1"/>
    <x v="0"/>
    <x v="1"/>
    <n v="483.13600000000002"/>
    <n v="4"/>
    <n v="0.2"/>
    <n v="60.392000000000003"/>
  </r>
  <r>
    <s v="First Class"/>
    <x v="0"/>
    <s v="United States"/>
    <s v="Decatur"/>
    <x v="10"/>
    <n v="62521"/>
    <x v="2"/>
    <x v="1"/>
    <x v="2"/>
    <n v="15.936"/>
    <n v="4"/>
    <n v="0.2"/>
    <n v="5.1791999999999998"/>
  </r>
  <r>
    <s v="First Class"/>
    <x v="0"/>
    <s v="United States"/>
    <s v="Decatur"/>
    <x v="10"/>
    <n v="62521"/>
    <x v="2"/>
    <x v="0"/>
    <x v="5"/>
    <n v="61.543999999999997"/>
    <n v="7"/>
    <n v="0.6"/>
    <n v="-40.003599999999999"/>
  </r>
  <r>
    <s v="First Class"/>
    <x v="0"/>
    <s v="United States"/>
    <s v="Decatur"/>
    <x v="10"/>
    <n v="62521"/>
    <x v="2"/>
    <x v="1"/>
    <x v="4"/>
    <n v="132.696"/>
    <n v="3"/>
    <n v="0.2"/>
    <n v="9.9521999999999995"/>
  </r>
  <r>
    <s v="Second Class"/>
    <x v="2"/>
    <s v="United States"/>
    <s v="Los Angeles"/>
    <x v="1"/>
    <n v="90008"/>
    <x v="1"/>
    <x v="1"/>
    <x v="9"/>
    <n v="43.1"/>
    <n v="5"/>
    <n v="0"/>
    <n v="11.206"/>
  </r>
  <r>
    <s v="Second Class"/>
    <x v="2"/>
    <s v="United States"/>
    <s v="Los Angeles"/>
    <x v="1"/>
    <n v="90008"/>
    <x v="1"/>
    <x v="0"/>
    <x v="5"/>
    <n v="511.5"/>
    <n v="5"/>
    <n v="0"/>
    <n v="132.99"/>
  </r>
  <r>
    <s v="Second Class"/>
    <x v="2"/>
    <s v="United States"/>
    <s v="Los Angeles"/>
    <x v="1"/>
    <n v="90008"/>
    <x v="1"/>
    <x v="1"/>
    <x v="8"/>
    <n v="147.91999999999999"/>
    <n v="5"/>
    <n v="0.2"/>
    <n v="46.225000000000001"/>
  </r>
  <r>
    <s v="Standard Class"/>
    <x v="1"/>
    <s v="United States"/>
    <s v="Lodi"/>
    <x v="1"/>
    <n v="95240"/>
    <x v="1"/>
    <x v="1"/>
    <x v="6"/>
    <n v="39.68"/>
    <n v="2"/>
    <n v="0"/>
    <n v="16.268799999999999"/>
  </r>
  <r>
    <s v="Standard Class"/>
    <x v="1"/>
    <s v="United States"/>
    <s v="New York City"/>
    <x v="15"/>
    <n v="10009"/>
    <x v="3"/>
    <x v="0"/>
    <x v="5"/>
    <n v="12.56"/>
    <n v="2"/>
    <n v="0"/>
    <n v="4.0191999999999997"/>
  </r>
  <r>
    <s v="Standard Class"/>
    <x v="1"/>
    <s v="United States"/>
    <s v="New York City"/>
    <x v="15"/>
    <n v="10009"/>
    <x v="3"/>
    <x v="1"/>
    <x v="8"/>
    <n v="90.48"/>
    <n v="3"/>
    <n v="0.2"/>
    <n v="33.93"/>
  </r>
  <r>
    <s v="Standard Class"/>
    <x v="1"/>
    <s v="United States"/>
    <s v="New York City"/>
    <x v="15"/>
    <n v="10009"/>
    <x v="3"/>
    <x v="1"/>
    <x v="10"/>
    <n v="13.08"/>
    <n v="2"/>
    <n v="0"/>
    <n v="6.0167999999999999"/>
  </r>
  <r>
    <s v="Standard Class"/>
    <x v="1"/>
    <s v="United States"/>
    <s v="New York City"/>
    <x v="15"/>
    <n v="10009"/>
    <x v="3"/>
    <x v="0"/>
    <x v="5"/>
    <n v="214.7"/>
    <n v="5"/>
    <n v="0"/>
    <n v="83.733000000000004"/>
  </r>
  <r>
    <s v="Standard Class"/>
    <x v="0"/>
    <s v="United States"/>
    <s v="San Francisco"/>
    <x v="1"/>
    <n v="94109"/>
    <x v="1"/>
    <x v="0"/>
    <x v="5"/>
    <n v="50.32"/>
    <n v="4"/>
    <n v="0"/>
    <n v="21.134399999999999"/>
  </r>
  <r>
    <s v="Standard Class"/>
    <x v="0"/>
    <s v="United States"/>
    <s v="San Francisco"/>
    <x v="1"/>
    <n v="94109"/>
    <x v="1"/>
    <x v="1"/>
    <x v="10"/>
    <n v="24.56"/>
    <n v="2"/>
    <n v="0"/>
    <n v="11.543200000000001"/>
  </r>
  <r>
    <s v="Standard Class"/>
    <x v="0"/>
    <s v="United States"/>
    <s v="Columbus"/>
    <x v="32"/>
    <n v="31907"/>
    <x v="0"/>
    <x v="1"/>
    <x v="10"/>
    <n v="43.68"/>
    <n v="6"/>
    <n v="0"/>
    <n v="20.9664"/>
  </r>
  <r>
    <s v="Standard Class"/>
    <x v="1"/>
    <s v="United States"/>
    <s v="Seattle"/>
    <x v="4"/>
    <n v="98103"/>
    <x v="1"/>
    <x v="0"/>
    <x v="3"/>
    <n v="3393.68"/>
    <n v="8"/>
    <n v="0"/>
    <n v="610.86239999999998"/>
  </r>
  <r>
    <s v="Standard Class"/>
    <x v="2"/>
    <s v="United States"/>
    <s v="Richmond"/>
    <x v="14"/>
    <n v="47374"/>
    <x v="2"/>
    <x v="1"/>
    <x v="4"/>
    <n v="67.400000000000006"/>
    <n v="5"/>
    <n v="0"/>
    <n v="17.524000000000001"/>
  </r>
  <r>
    <s v="Standard Class"/>
    <x v="2"/>
    <s v="United States"/>
    <s v="Richmond"/>
    <x v="14"/>
    <n v="47374"/>
    <x v="2"/>
    <x v="1"/>
    <x v="13"/>
    <n v="2.52"/>
    <n v="2"/>
    <n v="0"/>
    <n v="0.1008"/>
  </r>
  <r>
    <s v="Standard Class"/>
    <x v="2"/>
    <s v="United States"/>
    <s v="Richmond"/>
    <x v="14"/>
    <n v="47374"/>
    <x v="2"/>
    <x v="2"/>
    <x v="7"/>
    <n v="67.8"/>
    <n v="4"/>
    <n v="0"/>
    <n v="1.3560000000000001"/>
  </r>
  <r>
    <s v="Standard Class"/>
    <x v="2"/>
    <s v="United States"/>
    <s v="Richmond"/>
    <x v="14"/>
    <n v="47374"/>
    <x v="2"/>
    <x v="1"/>
    <x v="4"/>
    <n v="18.760000000000002"/>
    <n v="2"/>
    <n v="0"/>
    <n v="5.2527999999999997"/>
  </r>
  <r>
    <s v="Standard Class"/>
    <x v="2"/>
    <s v="United States"/>
    <s v="Richmond"/>
    <x v="14"/>
    <n v="47374"/>
    <x v="2"/>
    <x v="2"/>
    <x v="11"/>
    <n v="12.12"/>
    <n v="4"/>
    <n v="0"/>
    <n v="2.5451999999999999"/>
  </r>
  <r>
    <s v="Standard Class"/>
    <x v="2"/>
    <s v="United States"/>
    <s v="Richmond"/>
    <x v="14"/>
    <n v="47374"/>
    <x v="2"/>
    <x v="1"/>
    <x v="10"/>
    <n v="11.34"/>
    <n v="1"/>
    <n v="0"/>
    <n v="5.5566000000000004"/>
  </r>
  <r>
    <s v="Standard Class"/>
    <x v="2"/>
    <s v="United States"/>
    <s v="Richmond"/>
    <x v="14"/>
    <n v="47374"/>
    <x v="2"/>
    <x v="2"/>
    <x v="11"/>
    <n v="159.80000000000001"/>
    <n v="4"/>
    <n v="0"/>
    <n v="70.311999999999998"/>
  </r>
  <r>
    <s v="Standard Class"/>
    <x v="2"/>
    <s v="United States"/>
    <s v="Richmond"/>
    <x v="14"/>
    <n v="47374"/>
    <x v="2"/>
    <x v="0"/>
    <x v="5"/>
    <n v="18.96"/>
    <n v="2"/>
    <n v="0"/>
    <n v="8.532"/>
  </r>
  <r>
    <s v="Second Class"/>
    <x v="1"/>
    <s v="United States"/>
    <s v="New York City"/>
    <x v="15"/>
    <n v="10009"/>
    <x v="3"/>
    <x v="1"/>
    <x v="4"/>
    <n v="1085.42"/>
    <n v="7"/>
    <n v="0"/>
    <n v="282.20920000000001"/>
  </r>
  <r>
    <s v="Second Class"/>
    <x v="1"/>
    <s v="United States"/>
    <s v="New York City"/>
    <x v="15"/>
    <n v="10009"/>
    <x v="3"/>
    <x v="1"/>
    <x v="9"/>
    <n v="13.11"/>
    <n v="3"/>
    <n v="0"/>
    <n v="3.4085999999999999"/>
  </r>
  <r>
    <s v="First Class"/>
    <x v="1"/>
    <s v="United States"/>
    <s v="Mason"/>
    <x v="24"/>
    <n v="45040"/>
    <x v="3"/>
    <x v="0"/>
    <x v="5"/>
    <n v="68.703999999999994"/>
    <n v="2"/>
    <n v="0.2"/>
    <n v="16.3172"/>
  </r>
  <r>
    <s v="First Class"/>
    <x v="1"/>
    <s v="United States"/>
    <s v="Mason"/>
    <x v="24"/>
    <n v="45040"/>
    <x v="3"/>
    <x v="1"/>
    <x v="8"/>
    <n v="3.1320000000000001"/>
    <n v="2"/>
    <n v="0.7"/>
    <n v="-2.61"/>
  </r>
  <r>
    <s v="First Class"/>
    <x v="1"/>
    <s v="United States"/>
    <s v="Mason"/>
    <x v="24"/>
    <n v="45040"/>
    <x v="3"/>
    <x v="1"/>
    <x v="8"/>
    <n v="22.428000000000001"/>
    <n v="3"/>
    <n v="0.7"/>
    <n v="-17.942399999999999"/>
  </r>
  <r>
    <s v="Same Day"/>
    <x v="0"/>
    <s v="United States"/>
    <s v="Chicago"/>
    <x v="10"/>
    <n v="60623"/>
    <x v="2"/>
    <x v="1"/>
    <x v="4"/>
    <n v="290.33600000000001"/>
    <n v="2"/>
    <n v="0.2"/>
    <n v="32.662799999999997"/>
  </r>
  <r>
    <s v="Same Day"/>
    <x v="0"/>
    <s v="United States"/>
    <s v="Chicago"/>
    <x v="10"/>
    <n v="60623"/>
    <x v="2"/>
    <x v="1"/>
    <x v="6"/>
    <n v="19.152000000000001"/>
    <n v="2"/>
    <n v="0.2"/>
    <n v="1.1970000000000001"/>
  </r>
  <r>
    <s v="Standard Class"/>
    <x v="2"/>
    <s v="United States"/>
    <s v="New York City"/>
    <x v="15"/>
    <n v="10024"/>
    <x v="3"/>
    <x v="1"/>
    <x v="10"/>
    <n v="6.48"/>
    <n v="1"/>
    <n v="0"/>
    <n v="3.1103999999999998"/>
  </r>
  <r>
    <s v="Second Class"/>
    <x v="2"/>
    <s v="United States"/>
    <s v="Parma"/>
    <x v="24"/>
    <n v="44134"/>
    <x v="3"/>
    <x v="1"/>
    <x v="12"/>
    <n v="63.968000000000004"/>
    <n v="2"/>
    <n v="0.2"/>
    <n v="19.989999999999998"/>
  </r>
  <r>
    <s v="Standard Class"/>
    <x v="0"/>
    <s v="United States"/>
    <s v="New York City"/>
    <x v="15"/>
    <n v="10035"/>
    <x v="3"/>
    <x v="1"/>
    <x v="14"/>
    <n v="6.36"/>
    <n v="2"/>
    <n v="0"/>
    <n v="6.3600000000000004E-2"/>
  </r>
  <r>
    <s v="First Class"/>
    <x v="2"/>
    <s v="United States"/>
    <s v="Cleveland"/>
    <x v="24"/>
    <n v="44105"/>
    <x v="3"/>
    <x v="1"/>
    <x v="4"/>
    <n v="848.54399999999998"/>
    <n v="4"/>
    <n v="0.2"/>
    <n v="-21.2136"/>
  </r>
  <r>
    <s v="First Class"/>
    <x v="2"/>
    <s v="United States"/>
    <s v="Cleveland"/>
    <x v="24"/>
    <n v="44105"/>
    <x v="3"/>
    <x v="1"/>
    <x v="8"/>
    <n v="8.6999999999999993"/>
    <n v="5"/>
    <n v="0.7"/>
    <n v="-6.38"/>
  </r>
  <r>
    <s v="First Class"/>
    <x v="2"/>
    <s v="United States"/>
    <s v="Cleveland"/>
    <x v="24"/>
    <n v="44105"/>
    <x v="3"/>
    <x v="2"/>
    <x v="7"/>
    <n v="122.38200000000001"/>
    <n v="3"/>
    <n v="0.4"/>
    <n v="-24.476400000000002"/>
  </r>
  <r>
    <s v="Standard Class"/>
    <x v="0"/>
    <s v="United States"/>
    <s v="New York City"/>
    <x v="15"/>
    <n v="10035"/>
    <x v="3"/>
    <x v="0"/>
    <x v="1"/>
    <n v="573.17399999999998"/>
    <n v="7"/>
    <n v="0.1"/>
    <n v="63.686"/>
  </r>
  <r>
    <s v="First Class"/>
    <x v="2"/>
    <s v="United States"/>
    <s v="Cleveland"/>
    <x v="24"/>
    <n v="44105"/>
    <x v="3"/>
    <x v="1"/>
    <x v="10"/>
    <n v="85.055999999999997"/>
    <n v="3"/>
    <n v="0.2"/>
    <n v="28.706399999999999"/>
  </r>
  <r>
    <s v="First Class"/>
    <x v="0"/>
    <s v="United States"/>
    <s v="Woodstock"/>
    <x v="32"/>
    <n v="30188"/>
    <x v="0"/>
    <x v="1"/>
    <x v="8"/>
    <n v="14.04"/>
    <n v="3"/>
    <n v="0"/>
    <n v="6.7392000000000003"/>
  </r>
  <r>
    <s v="First Class"/>
    <x v="0"/>
    <s v="United States"/>
    <s v="Woodstock"/>
    <x v="32"/>
    <n v="30188"/>
    <x v="0"/>
    <x v="2"/>
    <x v="11"/>
    <n v="272.61"/>
    <n v="13"/>
    <n v="0"/>
    <n v="98.139600000000002"/>
  </r>
  <r>
    <s v="Standard Class"/>
    <x v="1"/>
    <s v="United States"/>
    <s v="Los Angeles"/>
    <x v="1"/>
    <n v="90008"/>
    <x v="1"/>
    <x v="1"/>
    <x v="12"/>
    <n v="11.16"/>
    <n v="2"/>
    <n v="0"/>
    <n v="5.58"/>
  </r>
  <r>
    <s v="Standard Class"/>
    <x v="1"/>
    <s v="United States"/>
    <s v="Los Angeles"/>
    <x v="1"/>
    <n v="90008"/>
    <x v="1"/>
    <x v="2"/>
    <x v="11"/>
    <n v="62.31"/>
    <n v="3"/>
    <n v="0"/>
    <n v="22.4316"/>
  </r>
  <r>
    <s v="Standard Class"/>
    <x v="1"/>
    <s v="United States"/>
    <s v="Los Angeles"/>
    <x v="1"/>
    <n v="90008"/>
    <x v="1"/>
    <x v="2"/>
    <x v="11"/>
    <n v="159.97999999999999"/>
    <n v="2"/>
    <n v="0"/>
    <n v="57.592799999999997"/>
  </r>
  <r>
    <s v="Standard Class"/>
    <x v="0"/>
    <s v="United States"/>
    <s v="Lafayette"/>
    <x v="14"/>
    <n v="47905"/>
    <x v="2"/>
    <x v="1"/>
    <x v="13"/>
    <n v="5.94"/>
    <n v="3"/>
    <n v="0"/>
    <n v="0"/>
  </r>
  <r>
    <s v="First Class"/>
    <x v="0"/>
    <s v="United States"/>
    <s v="New York City"/>
    <x v="15"/>
    <n v="10024"/>
    <x v="3"/>
    <x v="1"/>
    <x v="10"/>
    <n v="9.9600000000000009"/>
    <n v="2"/>
    <n v="0"/>
    <n v="4.6811999999999996"/>
  </r>
  <r>
    <s v="Standard Class"/>
    <x v="0"/>
    <s v="United States"/>
    <s v="Utica"/>
    <x v="15"/>
    <n v="13501"/>
    <x v="3"/>
    <x v="2"/>
    <x v="11"/>
    <n v="79.989999999999995"/>
    <n v="1"/>
    <n v="0"/>
    <n v="28.796399999999998"/>
  </r>
  <r>
    <s v="First Class"/>
    <x v="1"/>
    <s v="United States"/>
    <s v="Lakewood"/>
    <x v="30"/>
    <n v="8701"/>
    <x v="3"/>
    <x v="1"/>
    <x v="6"/>
    <n v="8.94"/>
    <n v="3"/>
    <n v="0"/>
    <n v="2.4138000000000002"/>
  </r>
  <r>
    <s v="Second Class"/>
    <x v="1"/>
    <s v="United States"/>
    <s v="Milwaukee"/>
    <x v="6"/>
    <n v="53209"/>
    <x v="2"/>
    <x v="1"/>
    <x v="10"/>
    <n v="20.62"/>
    <n v="2"/>
    <n v="0"/>
    <n v="9.6913999999999998"/>
  </r>
  <r>
    <s v="Second Class"/>
    <x v="1"/>
    <s v="United States"/>
    <s v="Milwaukee"/>
    <x v="6"/>
    <n v="53209"/>
    <x v="2"/>
    <x v="2"/>
    <x v="11"/>
    <n v="124.25"/>
    <n v="7"/>
    <n v="0"/>
    <n v="48.457500000000003"/>
  </r>
  <r>
    <s v="Second Class"/>
    <x v="1"/>
    <s v="United States"/>
    <s v="Milwaukee"/>
    <x v="6"/>
    <n v="53209"/>
    <x v="2"/>
    <x v="2"/>
    <x v="7"/>
    <n v="297.55"/>
    <n v="5"/>
    <n v="0"/>
    <n v="83.313999999999993"/>
  </r>
  <r>
    <s v="Second Class"/>
    <x v="1"/>
    <s v="United States"/>
    <s v="Milwaukee"/>
    <x v="6"/>
    <n v="53209"/>
    <x v="2"/>
    <x v="0"/>
    <x v="1"/>
    <n v="403.56"/>
    <n v="4"/>
    <n v="0"/>
    <n v="96.854399999999998"/>
  </r>
  <r>
    <s v="Second Class"/>
    <x v="1"/>
    <s v="United States"/>
    <s v="Milwaukee"/>
    <x v="6"/>
    <n v="53209"/>
    <x v="2"/>
    <x v="0"/>
    <x v="5"/>
    <n v="95.2"/>
    <n v="5"/>
    <n v="0"/>
    <n v="27.608000000000001"/>
  </r>
  <r>
    <s v="Standard Class"/>
    <x v="0"/>
    <s v="United States"/>
    <s v="Chicago"/>
    <x v="10"/>
    <n v="60623"/>
    <x v="2"/>
    <x v="2"/>
    <x v="11"/>
    <n v="153.82400000000001"/>
    <n v="11"/>
    <n v="0.2"/>
    <n v="38.456000000000003"/>
  </r>
  <r>
    <s v="Second Class"/>
    <x v="0"/>
    <s v="United States"/>
    <s v="Chicago"/>
    <x v="10"/>
    <n v="60653"/>
    <x v="2"/>
    <x v="1"/>
    <x v="10"/>
    <n v="62.015999999999998"/>
    <n v="2"/>
    <n v="0.2"/>
    <n v="22.480799999999999"/>
  </r>
  <r>
    <s v="Standard Class"/>
    <x v="0"/>
    <s v="United States"/>
    <s v="Fairfield"/>
    <x v="24"/>
    <n v="45014"/>
    <x v="3"/>
    <x v="0"/>
    <x v="5"/>
    <n v="466.32"/>
    <n v="3"/>
    <n v="0.2"/>
    <n v="34.973999999999997"/>
  </r>
  <r>
    <s v="Standard Class"/>
    <x v="0"/>
    <s v="United States"/>
    <s v="Fairfield"/>
    <x v="24"/>
    <n v="45014"/>
    <x v="3"/>
    <x v="0"/>
    <x v="5"/>
    <n v="82.64"/>
    <n v="2"/>
    <n v="0.2"/>
    <n v="0"/>
  </r>
  <r>
    <s v="Standard Class"/>
    <x v="2"/>
    <s v="United States"/>
    <s v="Springfield"/>
    <x v="24"/>
    <n v="45503"/>
    <x v="3"/>
    <x v="0"/>
    <x v="3"/>
    <n v="330.58800000000002"/>
    <n v="1"/>
    <n v="0.4"/>
    <n v="-143.25479999999999"/>
  </r>
  <r>
    <s v="Standard Class"/>
    <x v="0"/>
    <s v="United States"/>
    <s v="Louisville"/>
    <x v="22"/>
    <n v="80027"/>
    <x v="1"/>
    <x v="1"/>
    <x v="4"/>
    <n v="237.096"/>
    <n v="3"/>
    <n v="0.2"/>
    <n v="20.745899999999999"/>
  </r>
  <r>
    <s v="Standard Class"/>
    <x v="0"/>
    <s v="United States"/>
    <s v="Louisville"/>
    <x v="22"/>
    <n v="80027"/>
    <x v="1"/>
    <x v="0"/>
    <x v="5"/>
    <n v="22.751999999999999"/>
    <n v="3"/>
    <n v="0.2"/>
    <n v="7.11"/>
  </r>
  <r>
    <s v="Standard Class"/>
    <x v="0"/>
    <s v="United States"/>
    <s v="Louisville"/>
    <x v="22"/>
    <n v="80027"/>
    <x v="1"/>
    <x v="1"/>
    <x v="10"/>
    <n v="6.6719999999999997"/>
    <n v="1"/>
    <n v="0.2"/>
    <n v="2.085"/>
  </r>
  <r>
    <s v="Standard Class"/>
    <x v="0"/>
    <s v="United States"/>
    <s v="Carrollton"/>
    <x v="5"/>
    <n v="75007"/>
    <x v="2"/>
    <x v="0"/>
    <x v="5"/>
    <n v="25.128"/>
    <n v="3"/>
    <n v="0.6"/>
    <n v="-6.9101999999999997"/>
  </r>
  <r>
    <s v="Standard Class"/>
    <x v="0"/>
    <s v="United States"/>
    <s v="Carrollton"/>
    <x v="5"/>
    <n v="75007"/>
    <x v="2"/>
    <x v="2"/>
    <x v="11"/>
    <n v="127.98399999999999"/>
    <n v="2"/>
    <n v="0.2"/>
    <n v="25.596800000000002"/>
  </r>
  <r>
    <s v="First Class"/>
    <x v="1"/>
    <s v="United States"/>
    <s v="Anaheim"/>
    <x v="1"/>
    <n v="92804"/>
    <x v="1"/>
    <x v="0"/>
    <x v="5"/>
    <n v="131.88"/>
    <n v="7"/>
    <n v="0"/>
    <n v="55.389600000000002"/>
  </r>
  <r>
    <s v="First Class"/>
    <x v="1"/>
    <s v="United States"/>
    <s v="Anaheim"/>
    <x v="1"/>
    <n v="92804"/>
    <x v="1"/>
    <x v="1"/>
    <x v="8"/>
    <n v="25.032"/>
    <n v="3"/>
    <n v="0.2"/>
    <n v="7.8224999999999998"/>
  </r>
  <r>
    <s v="First Class"/>
    <x v="1"/>
    <s v="United States"/>
    <s v="Anaheim"/>
    <x v="1"/>
    <n v="92804"/>
    <x v="1"/>
    <x v="0"/>
    <x v="1"/>
    <n v="717.72"/>
    <n v="3"/>
    <n v="0.2"/>
    <n v="71.772000000000006"/>
  </r>
  <r>
    <s v="First Class"/>
    <x v="1"/>
    <s v="United States"/>
    <s v="Anaheim"/>
    <x v="1"/>
    <n v="92804"/>
    <x v="1"/>
    <x v="0"/>
    <x v="5"/>
    <n v="207.35"/>
    <n v="5"/>
    <n v="0"/>
    <n v="24.882000000000001"/>
  </r>
  <r>
    <s v="First Class"/>
    <x v="1"/>
    <s v="United States"/>
    <s v="Anaheim"/>
    <x v="1"/>
    <n v="92804"/>
    <x v="1"/>
    <x v="0"/>
    <x v="5"/>
    <n v="44.67"/>
    <n v="3"/>
    <n v="0"/>
    <n v="12.0609"/>
  </r>
  <r>
    <s v="First Class"/>
    <x v="1"/>
    <s v="United States"/>
    <s v="Anaheim"/>
    <x v="1"/>
    <n v="92804"/>
    <x v="1"/>
    <x v="1"/>
    <x v="10"/>
    <n v="209.7"/>
    <n v="2"/>
    <n v="0"/>
    <n v="100.65600000000001"/>
  </r>
  <r>
    <s v="Standard Class"/>
    <x v="1"/>
    <s v="United States"/>
    <s v="Richmond"/>
    <x v="0"/>
    <n v="40475"/>
    <x v="0"/>
    <x v="1"/>
    <x v="8"/>
    <n v="115.36"/>
    <n v="7"/>
    <n v="0"/>
    <n v="56.526400000000002"/>
  </r>
  <r>
    <s v="First Class"/>
    <x v="1"/>
    <s v="United States"/>
    <s v="Santa Barbara"/>
    <x v="1"/>
    <n v="93101"/>
    <x v="1"/>
    <x v="0"/>
    <x v="1"/>
    <n v="362.13600000000002"/>
    <n v="3"/>
    <n v="0.2"/>
    <n v="-54.320399999999999"/>
  </r>
  <r>
    <s v="First Class"/>
    <x v="1"/>
    <s v="United States"/>
    <s v="Santa Barbara"/>
    <x v="1"/>
    <n v="93101"/>
    <x v="1"/>
    <x v="1"/>
    <x v="2"/>
    <n v="31.05"/>
    <n v="3"/>
    <n v="0"/>
    <n v="14.904"/>
  </r>
  <r>
    <s v="Second Class"/>
    <x v="0"/>
    <s v="United States"/>
    <s v="Marion"/>
    <x v="23"/>
    <n v="52302"/>
    <x v="2"/>
    <x v="1"/>
    <x v="10"/>
    <n v="12.96"/>
    <n v="2"/>
    <n v="0"/>
    <n v="6.2207999999999997"/>
  </r>
  <r>
    <s v="Second Class"/>
    <x v="0"/>
    <s v="United States"/>
    <s v="Marion"/>
    <x v="23"/>
    <n v="52302"/>
    <x v="2"/>
    <x v="1"/>
    <x v="10"/>
    <n v="94.85"/>
    <n v="5"/>
    <n v="0"/>
    <n v="45.527999999999999"/>
  </r>
  <r>
    <s v="Second Class"/>
    <x v="0"/>
    <s v="United States"/>
    <s v="Marion"/>
    <x v="23"/>
    <n v="52302"/>
    <x v="2"/>
    <x v="1"/>
    <x v="4"/>
    <n v="13.48"/>
    <n v="1"/>
    <n v="0"/>
    <n v="3.5047999999999999"/>
  </r>
  <r>
    <s v="Second Class"/>
    <x v="0"/>
    <s v="United States"/>
    <s v="Marion"/>
    <x v="23"/>
    <n v="52302"/>
    <x v="2"/>
    <x v="0"/>
    <x v="5"/>
    <n v="14.91"/>
    <n v="3"/>
    <n v="0"/>
    <n v="4.6220999999999997"/>
  </r>
  <r>
    <s v="Standard Class"/>
    <x v="0"/>
    <s v="United States"/>
    <s v="New York City"/>
    <x v="15"/>
    <n v="10035"/>
    <x v="3"/>
    <x v="1"/>
    <x v="12"/>
    <n v="39.979999999999997"/>
    <n v="1"/>
    <n v="0"/>
    <n v="17.991"/>
  </r>
  <r>
    <s v="Standard Class"/>
    <x v="1"/>
    <s v="United States"/>
    <s v="Bryan"/>
    <x v="5"/>
    <n v="77803"/>
    <x v="2"/>
    <x v="0"/>
    <x v="1"/>
    <n v="528.42999999999995"/>
    <n v="5"/>
    <n v="0.3"/>
    <n v="-143.43100000000001"/>
  </r>
  <r>
    <s v="Standard Class"/>
    <x v="1"/>
    <s v="United States"/>
    <s v="Bryan"/>
    <x v="5"/>
    <n v="77803"/>
    <x v="2"/>
    <x v="1"/>
    <x v="8"/>
    <n v="22.385999999999999"/>
    <n v="7"/>
    <n v="0.8"/>
    <n v="-35.817599999999999"/>
  </r>
  <r>
    <s v="Standard Class"/>
    <x v="2"/>
    <s v="United States"/>
    <s v="Akron"/>
    <x v="24"/>
    <n v="44312"/>
    <x v="3"/>
    <x v="1"/>
    <x v="8"/>
    <n v="5.742"/>
    <n v="3"/>
    <n v="0.7"/>
    <n v="-4.5936000000000003"/>
  </r>
  <r>
    <s v="Standard Class"/>
    <x v="0"/>
    <s v="United States"/>
    <s v="Chicago"/>
    <x v="10"/>
    <n v="60653"/>
    <x v="2"/>
    <x v="2"/>
    <x v="11"/>
    <n v="191.96799999999999"/>
    <n v="4"/>
    <n v="0.2"/>
    <n v="28.795200000000001"/>
  </r>
  <r>
    <s v="First Class"/>
    <x v="1"/>
    <s v="United States"/>
    <s v="New York City"/>
    <x v="15"/>
    <n v="10035"/>
    <x v="3"/>
    <x v="1"/>
    <x v="8"/>
    <n v="49.847999999999999"/>
    <n v="3"/>
    <n v="0.2"/>
    <n v="16.823699999999999"/>
  </r>
  <r>
    <s v="First Class"/>
    <x v="1"/>
    <s v="United States"/>
    <s v="New York City"/>
    <x v="15"/>
    <n v="10035"/>
    <x v="3"/>
    <x v="1"/>
    <x v="12"/>
    <n v="23.99"/>
    <n v="1"/>
    <n v="0"/>
    <n v="11.994999999999999"/>
  </r>
  <r>
    <s v="First Class"/>
    <x v="1"/>
    <s v="United States"/>
    <s v="New York City"/>
    <x v="15"/>
    <n v="10035"/>
    <x v="3"/>
    <x v="1"/>
    <x v="8"/>
    <n v="1087.9359999999999"/>
    <n v="8"/>
    <n v="0.2"/>
    <n v="353.57920000000001"/>
  </r>
  <r>
    <s v="First Class"/>
    <x v="1"/>
    <s v="United States"/>
    <s v="New York City"/>
    <x v="15"/>
    <n v="10035"/>
    <x v="3"/>
    <x v="2"/>
    <x v="7"/>
    <n v="199.98"/>
    <n v="2"/>
    <n v="0"/>
    <n v="53.994599999999998"/>
  </r>
  <r>
    <s v="First Class"/>
    <x v="1"/>
    <s v="United States"/>
    <s v="New York City"/>
    <x v="15"/>
    <n v="10035"/>
    <x v="3"/>
    <x v="1"/>
    <x v="4"/>
    <n v="83.92"/>
    <n v="4"/>
    <n v="0"/>
    <n v="20.140799999999999"/>
  </r>
  <r>
    <s v="Same Day"/>
    <x v="0"/>
    <s v="United States"/>
    <s v="San Francisco"/>
    <x v="1"/>
    <n v="94122"/>
    <x v="1"/>
    <x v="0"/>
    <x v="5"/>
    <n v="24.27"/>
    <n v="3"/>
    <n v="0"/>
    <n v="8.7371999999999996"/>
  </r>
  <r>
    <s v="Same Day"/>
    <x v="0"/>
    <s v="United States"/>
    <s v="San Francisco"/>
    <x v="1"/>
    <n v="94122"/>
    <x v="1"/>
    <x v="2"/>
    <x v="16"/>
    <n v="2799.96"/>
    <n v="5"/>
    <n v="0.2"/>
    <n v="944.98649999999998"/>
  </r>
  <r>
    <s v="Standard Class"/>
    <x v="0"/>
    <s v="United States"/>
    <s v="San Bernardino"/>
    <x v="1"/>
    <n v="92404"/>
    <x v="1"/>
    <x v="1"/>
    <x v="8"/>
    <n v="9.8719999999999999"/>
    <n v="2"/>
    <n v="0.2"/>
    <n v="3.4552"/>
  </r>
  <r>
    <s v="Standard Class"/>
    <x v="0"/>
    <s v="United States"/>
    <s v="San Bernardino"/>
    <x v="1"/>
    <n v="92404"/>
    <x v="1"/>
    <x v="0"/>
    <x v="0"/>
    <n v="683.33199999999999"/>
    <n v="4"/>
    <n v="0.15"/>
    <n v="-40.195999999999998"/>
  </r>
  <r>
    <s v="Standard Class"/>
    <x v="0"/>
    <s v="United States"/>
    <s v="San Bernardino"/>
    <x v="1"/>
    <n v="92404"/>
    <x v="1"/>
    <x v="1"/>
    <x v="10"/>
    <n v="29.96"/>
    <n v="7"/>
    <n v="0"/>
    <n v="13.481999999999999"/>
  </r>
  <r>
    <s v="First Class"/>
    <x v="0"/>
    <s v="United States"/>
    <s v="Niagara Falls"/>
    <x v="15"/>
    <n v="14304"/>
    <x v="3"/>
    <x v="2"/>
    <x v="7"/>
    <n v="164.85"/>
    <n v="3"/>
    <n v="0"/>
    <n v="47.8065"/>
  </r>
  <r>
    <s v="Standard Class"/>
    <x v="0"/>
    <s v="United States"/>
    <s v="Philadelphia"/>
    <x v="9"/>
    <n v="19120"/>
    <x v="3"/>
    <x v="1"/>
    <x v="9"/>
    <n v="33.527999999999999"/>
    <n v="3"/>
    <n v="0.2"/>
    <n v="2.5146000000000002"/>
  </r>
  <r>
    <s v="Standard Class"/>
    <x v="0"/>
    <s v="United States"/>
    <s v="Philadelphia"/>
    <x v="9"/>
    <n v="19120"/>
    <x v="3"/>
    <x v="1"/>
    <x v="4"/>
    <n v="36.744"/>
    <n v="3"/>
    <n v="0.2"/>
    <n v="3.6743999999999999"/>
  </r>
  <r>
    <s v="Standard Class"/>
    <x v="0"/>
    <s v="United States"/>
    <s v="Cranston"/>
    <x v="34"/>
    <n v="2920"/>
    <x v="3"/>
    <x v="1"/>
    <x v="8"/>
    <n v="102.93"/>
    <n v="3"/>
    <n v="0"/>
    <n v="48.377099999999999"/>
  </r>
  <r>
    <s v="Second Class"/>
    <x v="1"/>
    <s v="United States"/>
    <s v="Los Angeles"/>
    <x v="1"/>
    <n v="90049"/>
    <x v="1"/>
    <x v="0"/>
    <x v="3"/>
    <n v="71.087999999999994"/>
    <n v="2"/>
    <n v="0.2"/>
    <n v="-1.7771999999999999"/>
  </r>
  <r>
    <s v="Standard Class"/>
    <x v="1"/>
    <s v="United States"/>
    <s v="New York City"/>
    <x v="15"/>
    <n v="10009"/>
    <x v="3"/>
    <x v="0"/>
    <x v="5"/>
    <n v="60.35"/>
    <n v="5"/>
    <n v="0"/>
    <n v="19.915500000000002"/>
  </r>
  <r>
    <s v="Standard Class"/>
    <x v="1"/>
    <s v="United States"/>
    <s v="New York City"/>
    <x v="15"/>
    <n v="10009"/>
    <x v="3"/>
    <x v="1"/>
    <x v="14"/>
    <n v="35.520000000000003"/>
    <n v="4"/>
    <n v="0"/>
    <n v="9.9456000000000007"/>
  </r>
  <r>
    <s v="Standard Class"/>
    <x v="1"/>
    <s v="United States"/>
    <s v="New York City"/>
    <x v="15"/>
    <n v="10009"/>
    <x v="3"/>
    <x v="1"/>
    <x v="6"/>
    <n v="11.2"/>
    <n v="7"/>
    <n v="0"/>
    <n v="4.8159999999999998"/>
  </r>
  <r>
    <s v="Standard Class"/>
    <x v="0"/>
    <s v="United States"/>
    <s v="San Francisco"/>
    <x v="1"/>
    <n v="94122"/>
    <x v="1"/>
    <x v="2"/>
    <x v="11"/>
    <n v="223.58"/>
    <n v="14"/>
    <n v="0"/>
    <n v="87.196200000000005"/>
  </r>
  <r>
    <s v="Standard Class"/>
    <x v="0"/>
    <s v="United States"/>
    <s v="Anaheim"/>
    <x v="1"/>
    <n v="92804"/>
    <x v="1"/>
    <x v="1"/>
    <x v="4"/>
    <n v="998.82"/>
    <n v="9"/>
    <n v="0"/>
    <n v="29.964600000000001"/>
  </r>
  <r>
    <s v="Standard Class"/>
    <x v="0"/>
    <s v="United States"/>
    <s v="Anaheim"/>
    <x v="1"/>
    <n v="92804"/>
    <x v="1"/>
    <x v="1"/>
    <x v="14"/>
    <n v="51.15"/>
    <n v="5"/>
    <n v="0"/>
    <n v="13.298999999999999"/>
  </r>
  <r>
    <s v="Second Class"/>
    <x v="2"/>
    <s v="United States"/>
    <s v="Seattle"/>
    <x v="4"/>
    <n v="98103"/>
    <x v="1"/>
    <x v="1"/>
    <x v="4"/>
    <n v="40.74"/>
    <n v="3"/>
    <n v="0"/>
    <n v="0.40739999999999998"/>
  </r>
  <r>
    <s v="Standard Class"/>
    <x v="1"/>
    <s v="United States"/>
    <s v="Philadelphia"/>
    <x v="9"/>
    <n v="19120"/>
    <x v="3"/>
    <x v="1"/>
    <x v="10"/>
    <n v="3.4239999999999999"/>
    <n v="1"/>
    <n v="0.2"/>
    <n v="1.07"/>
  </r>
  <r>
    <s v="Standard Class"/>
    <x v="1"/>
    <s v="United States"/>
    <s v="Philadelphia"/>
    <x v="9"/>
    <n v="19120"/>
    <x v="3"/>
    <x v="2"/>
    <x v="11"/>
    <n v="151.19999999999999"/>
    <n v="3"/>
    <n v="0.2"/>
    <n v="32.130000000000003"/>
  </r>
  <r>
    <s v="Second Class"/>
    <x v="1"/>
    <s v="United States"/>
    <s v="Indianapolis"/>
    <x v="14"/>
    <n v="46203"/>
    <x v="2"/>
    <x v="0"/>
    <x v="1"/>
    <n v="1925.88"/>
    <n v="6"/>
    <n v="0"/>
    <n v="539.24639999999999"/>
  </r>
  <r>
    <s v="Second Class"/>
    <x v="1"/>
    <s v="United States"/>
    <s v="Indianapolis"/>
    <x v="14"/>
    <n v="46203"/>
    <x v="2"/>
    <x v="1"/>
    <x v="9"/>
    <n v="2405.1999999999998"/>
    <n v="8"/>
    <n v="0"/>
    <n v="793.71600000000001"/>
  </r>
  <r>
    <s v="Second Class"/>
    <x v="1"/>
    <s v="United States"/>
    <s v="Indianapolis"/>
    <x v="14"/>
    <n v="46203"/>
    <x v="2"/>
    <x v="2"/>
    <x v="11"/>
    <n v="83.97"/>
    <n v="3"/>
    <n v="0"/>
    <n v="15.9543"/>
  </r>
  <r>
    <s v="Second Class"/>
    <x v="1"/>
    <s v="United States"/>
    <s v="Indianapolis"/>
    <x v="14"/>
    <n v="46203"/>
    <x v="2"/>
    <x v="2"/>
    <x v="11"/>
    <n v="39.89"/>
    <n v="1"/>
    <n v="0"/>
    <n v="14.7593"/>
  </r>
  <r>
    <s v="Second Class"/>
    <x v="1"/>
    <s v="United States"/>
    <s v="Indianapolis"/>
    <x v="14"/>
    <n v="46203"/>
    <x v="2"/>
    <x v="1"/>
    <x v="8"/>
    <n v="17.38"/>
    <n v="2"/>
    <n v="0"/>
    <n v="8.69"/>
  </r>
  <r>
    <s v="Second Class"/>
    <x v="1"/>
    <s v="United States"/>
    <s v="Los Angeles"/>
    <x v="1"/>
    <n v="90045"/>
    <x v="1"/>
    <x v="1"/>
    <x v="8"/>
    <n v="55.264000000000003"/>
    <n v="2"/>
    <n v="0.2"/>
    <n v="20.724"/>
  </r>
  <r>
    <s v="Second Class"/>
    <x v="1"/>
    <s v="United States"/>
    <s v="Los Angeles"/>
    <x v="1"/>
    <n v="90045"/>
    <x v="1"/>
    <x v="1"/>
    <x v="10"/>
    <n v="6.48"/>
    <n v="1"/>
    <n v="0"/>
    <n v="3.1103999999999998"/>
  </r>
  <r>
    <s v="Second Class"/>
    <x v="1"/>
    <s v="United States"/>
    <s v="Los Angeles"/>
    <x v="1"/>
    <n v="90045"/>
    <x v="1"/>
    <x v="1"/>
    <x v="8"/>
    <n v="34.247999999999998"/>
    <n v="3"/>
    <n v="0.2"/>
    <n v="11.5587"/>
  </r>
  <r>
    <s v="Second Class"/>
    <x v="1"/>
    <s v="United States"/>
    <s v="Los Angeles"/>
    <x v="1"/>
    <n v="90045"/>
    <x v="1"/>
    <x v="0"/>
    <x v="3"/>
    <n v="273.56799999999998"/>
    <n v="2"/>
    <n v="0.2"/>
    <n v="10.258800000000001"/>
  </r>
  <r>
    <s v="Standard Class"/>
    <x v="2"/>
    <s v="United States"/>
    <s v="New Rochelle"/>
    <x v="15"/>
    <n v="10801"/>
    <x v="3"/>
    <x v="1"/>
    <x v="10"/>
    <n v="46.35"/>
    <n v="5"/>
    <n v="0"/>
    <n v="21.784500000000001"/>
  </r>
  <r>
    <s v="Standard Class"/>
    <x v="2"/>
    <s v="United States"/>
    <s v="New Rochelle"/>
    <x v="15"/>
    <n v="10801"/>
    <x v="3"/>
    <x v="1"/>
    <x v="10"/>
    <n v="223.92"/>
    <n v="4"/>
    <n v="0"/>
    <n v="109.7208"/>
  </r>
  <r>
    <s v="Standard Class"/>
    <x v="2"/>
    <s v="United States"/>
    <s v="New Rochelle"/>
    <x v="15"/>
    <n v="10801"/>
    <x v="3"/>
    <x v="1"/>
    <x v="14"/>
    <n v="7.3"/>
    <n v="2"/>
    <n v="0"/>
    <n v="2.19"/>
  </r>
  <r>
    <s v="Standard Class"/>
    <x v="0"/>
    <s v="United States"/>
    <s v="Chandler"/>
    <x v="16"/>
    <n v="85224"/>
    <x v="1"/>
    <x v="1"/>
    <x v="6"/>
    <n v="9.3439999999999994"/>
    <n v="2"/>
    <n v="0.2"/>
    <n v="1.8688"/>
  </r>
  <r>
    <s v="Second Class"/>
    <x v="2"/>
    <s v="United States"/>
    <s v="Florence"/>
    <x v="0"/>
    <n v="41042"/>
    <x v="0"/>
    <x v="2"/>
    <x v="11"/>
    <n v="18"/>
    <n v="1"/>
    <n v="0"/>
    <n v="3.24"/>
  </r>
  <r>
    <s v="First Class"/>
    <x v="2"/>
    <s v="United States"/>
    <s v="Houston"/>
    <x v="5"/>
    <n v="77041"/>
    <x v="2"/>
    <x v="1"/>
    <x v="10"/>
    <n v="65.584000000000003"/>
    <n v="2"/>
    <n v="0.2"/>
    <n v="23.7742"/>
  </r>
  <r>
    <s v="First Class"/>
    <x v="2"/>
    <s v="United States"/>
    <s v="Houston"/>
    <x v="5"/>
    <n v="77041"/>
    <x v="2"/>
    <x v="0"/>
    <x v="0"/>
    <n v="383.46559999999999"/>
    <n v="4"/>
    <n v="0.32"/>
    <n v="-67.670400000000001"/>
  </r>
  <r>
    <s v="Same Day"/>
    <x v="0"/>
    <s v="United States"/>
    <s v="Philadelphia"/>
    <x v="9"/>
    <n v="19140"/>
    <x v="3"/>
    <x v="1"/>
    <x v="10"/>
    <n v="10.368"/>
    <n v="2"/>
    <n v="0.2"/>
    <n v="3.6288"/>
  </r>
  <r>
    <s v="Second Class"/>
    <x v="1"/>
    <s v="United States"/>
    <s v="Newark"/>
    <x v="13"/>
    <n v="19711"/>
    <x v="3"/>
    <x v="0"/>
    <x v="5"/>
    <n v="13.4"/>
    <n v="1"/>
    <n v="0"/>
    <n v="6.4320000000000004"/>
  </r>
  <r>
    <s v="Second Class"/>
    <x v="1"/>
    <s v="United States"/>
    <s v="Newark"/>
    <x v="13"/>
    <n v="19711"/>
    <x v="3"/>
    <x v="1"/>
    <x v="10"/>
    <n v="4.9800000000000004"/>
    <n v="1"/>
    <n v="0"/>
    <n v="2.3405999999999998"/>
  </r>
  <r>
    <s v="Second Class"/>
    <x v="1"/>
    <s v="United States"/>
    <s v="Newark"/>
    <x v="13"/>
    <n v="19711"/>
    <x v="3"/>
    <x v="1"/>
    <x v="12"/>
    <n v="109.69"/>
    <n v="7"/>
    <n v="0"/>
    <n v="51.554299999999998"/>
  </r>
  <r>
    <s v="Standard Class"/>
    <x v="0"/>
    <s v="United States"/>
    <s v="Plainfield"/>
    <x v="30"/>
    <n v="7060"/>
    <x v="3"/>
    <x v="1"/>
    <x v="8"/>
    <n v="40.200000000000003"/>
    <n v="5"/>
    <n v="0"/>
    <n v="18.09"/>
  </r>
  <r>
    <s v="Standard Class"/>
    <x v="0"/>
    <s v="United States"/>
    <s v="Plainfield"/>
    <x v="30"/>
    <n v="7060"/>
    <x v="3"/>
    <x v="1"/>
    <x v="8"/>
    <n v="735.98"/>
    <n v="2"/>
    <n v="0"/>
    <n v="331.19099999999997"/>
  </r>
  <r>
    <s v="Standard Class"/>
    <x v="0"/>
    <s v="United States"/>
    <s v="Plainfield"/>
    <x v="30"/>
    <n v="7060"/>
    <x v="3"/>
    <x v="1"/>
    <x v="9"/>
    <n v="22.75"/>
    <n v="7"/>
    <n v="0"/>
    <n v="6.5975000000000001"/>
  </r>
  <r>
    <s v="Standard Class"/>
    <x v="2"/>
    <s v="United States"/>
    <s v="Smyrna"/>
    <x v="32"/>
    <n v="30080"/>
    <x v="0"/>
    <x v="1"/>
    <x v="8"/>
    <n v="119.56"/>
    <n v="2"/>
    <n v="0"/>
    <n v="54.997599999999998"/>
  </r>
  <r>
    <s v="Standard Class"/>
    <x v="2"/>
    <s v="United States"/>
    <s v="Smyrna"/>
    <x v="32"/>
    <n v="30080"/>
    <x v="0"/>
    <x v="1"/>
    <x v="6"/>
    <n v="140.75"/>
    <n v="5"/>
    <n v="0"/>
    <n v="42.225000000000001"/>
  </r>
  <r>
    <s v="Standard Class"/>
    <x v="0"/>
    <s v="United States"/>
    <s v="Houston"/>
    <x v="5"/>
    <n v="77041"/>
    <x v="2"/>
    <x v="1"/>
    <x v="12"/>
    <n v="99.567999999999998"/>
    <n v="2"/>
    <n v="0.2"/>
    <n v="33.604199999999999"/>
  </r>
  <r>
    <s v="Standard Class"/>
    <x v="2"/>
    <s v="United States"/>
    <s v="Los Angeles"/>
    <x v="1"/>
    <n v="90032"/>
    <x v="1"/>
    <x v="2"/>
    <x v="7"/>
    <n v="271.95999999999998"/>
    <n v="5"/>
    <n v="0.2"/>
    <n v="27.196000000000002"/>
  </r>
  <r>
    <s v="Standard Class"/>
    <x v="2"/>
    <s v="United States"/>
    <s v="Los Angeles"/>
    <x v="1"/>
    <n v="90032"/>
    <x v="1"/>
    <x v="1"/>
    <x v="6"/>
    <n v="18.690000000000001"/>
    <n v="7"/>
    <n v="0"/>
    <n v="5.2332000000000001"/>
  </r>
  <r>
    <s v="Standard Class"/>
    <x v="2"/>
    <s v="United States"/>
    <s v="Los Angeles"/>
    <x v="1"/>
    <n v="90032"/>
    <x v="1"/>
    <x v="1"/>
    <x v="10"/>
    <n v="13.36"/>
    <n v="2"/>
    <n v="0"/>
    <n v="6.4127999999999998"/>
  </r>
  <r>
    <s v="Standard Class"/>
    <x v="2"/>
    <s v="United States"/>
    <s v="Los Angeles"/>
    <x v="1"/>
    <n v="90032"/>
    <x v="1"/>
    <x v="2"/>
    <x v="7"/>
    <n v="249.584"/>
    <n v="2"/>
    <n v="0.2"/>
    <n v="31.198"/>
  </r>
  <r>
    <s v="Standard Class"/>
    <x v="2"/>
    <s v="United States"/>
    <s v="Los Angeles"/>
    <x v="1"/>
    <n v="90032"/>
    <x v="1"/>
    <x v="1"/>
    <x v="13"/>
    <n v="13.86"/>
    <n v="7"/>
    <n v="0"/>
    <n v="0"/>
  </r>
  <r>
    <s v="Standard Class"/>
    <x v="2"/>
    <s v="United States"/>
    <s v="Los Angeles"/>
    <x v="1"/>
    <n v="90032"/>
    <x v="1"/>
    <x v="1"/>
    <x v="8"/>
    <n v="13.375999999999999"/>
    <n v="4"/>
    <n v="0.2"/>
    <n v="4.6816000000000004"/>
  </r>
  <r>
    <s v="Standard Class"/>
    <x v="2"/>
    <s v="United States"/>
    <s v="Los Angeles"/>
    <x v="1"/>
    <n v="90032"/>
    <x v="1"/>
    <x v="1"/>
    <x v="8"/>
    <n v="437.47199999999998"/>
    <n v="14"/>
    <n v="0.2"/>
    <n v="153.11519999999999"/>
  </r>
  <r>
    <s v="Second Class"/>
    <x v="0"/>
    <s v="United States"/>
    <s v="Lafayette"/>
    <x v="28"/>
    <n v="70506"/>
    <x v="0"/>
    <x v="0"/>
    <x v="3"/>
    <n v="85.98"/>
    <n v="1"/>
    <n v="0"/>
    <n v="22.354800000000001"/>
  </r>
  <r>
    <s v="First Class"/>
    <x v="0"/>
    <s v="United States"/>
    <s v="Fairfield"/>
    <x v="24"/>
    <n v="45014"/>
    <x v="3"/>
    <x v="1"/>
    <x v="2"/>
    <n v="16.52"/>
    <n v="5"/>
    <n v="0.2"/>
    <n v="5.3689999999999998"/>
  </r>
  <r>
    <s v="Standard Class"/>
    <x v="0"/>
    <s v="United States"/>
    <s v="Grand Rapids"/>
    <x v="12"/>
    <n v="49505"/>
    <x v="2"/>
    <x v="1"/>
    <x v="10"/>
    <n v="35.56"/>
    <n v="7"/>
    <n v="0"/>
    <n v="16.713200000000001"/>
  </r>
  <r>
    <s v="Standard Class"/>
    <x v="0"/>
    <s v="United States"/>
    <s v="Grand Rapids"/>
    <x v="12"/>
    <n v="49505"/>
    <x v="2"/>
    <x v="2"/>
    <x v="7"/>
    <n v="97.98"/>
    <n v="2"/>
    <n v="0"/>
    <n v="27.4344"/>
  </r>
  <r>
    <s v="Standard Class"/>
    <x v="0"/>
    <s v="United States"/>
    <s v="Long Beach"/>
    <x v="15"/>
    <n v="11561"/>
    <x v="3"/>
    <x v="1"/>
    <x v="2"/>
    <n v="31.5"/>
    <n v="10"/>
    <n v="0"/>
    <n v="15.12"/>
  </r>
  <r>
    <s v="Standard Class"/>
    <x v="0"/>
    <s v="United States"/>
    <s v="Long Beach"/>
    <x v="15"/>
    <n v="11561"/>
    <x v="3"/>
    <x v="1"/>
    <x v="14"/>
    <n v="55.6"/>
    <n v="4"/>
    <n v="0"/>
    <n v="16.123999999999999"/>
  </r>
  <r>
    <s v="Standard Class"/>
    <x v="0"/>
    <s v="United States"/>
    <s v="Los Angeles"/>
    <x v="1"/>
    <n v="90008"/>
    <x v="1"/>
    <x v="2"/>
    <x v="11"/>
    <n v="36.24"/>
    <n v="1"/>
    <n v="0"/>
    <n v="15.220800000000001"/>
  </r>
  <r>
    <s v="Standard Class"/>
    <x v="1"/>
    <s v="United States"/>
    <s v="Athens"/>
    <x v="32"/>
    <n v="30605"/>
    <x v="0"/>
    <x v="2"/>
    <x v="11"/>
    <n v="79.989999999999995"/>
    <n v="1"/>
    <n v="0"/>
    <n v="28.796399999999998"/>
  </r>
  <r>
    <s v="Standard Class"/>
    <x v="1"/>
    <s v="United States"/>
    <s v="Athens"/>
    <x v="32"/>
    <n v="30605"/>
    <x v="0"/>
    <x v="2"/>
    <x v="7"/>
    <n v="206.1"/>
    <n v="5"/>
    <n v="0"/>
    <n v="55.646999999999998"/>
  </r>
  <r>
    <s v="Second Class"/>
    <x v="0"/>
    <s v="United States"/>
    <s v="Miami"/>
    <x v="2"/>
    <n v="33180"/>
    <x v="0"/>
    <x v="0"/>
    <x v="5"/>
    <n v="25.248000000000001"/>
    <n v="3"/>
    <n v="0.2"/>
    <n v="4.1028000000000002"/>
  </r>
  <r>
    <s v="Standard Class"/>
    <x v="0"/>
    <s v="United States"/>
    <s v="Costa Mesa"/>
    <x v="1"/>
    <n v="92627"/>
    <x v="1"/>
    <x v="0"/>
    <x v="5"/>
    <n v="91.96"/>
    <n v="2"/>
    <n v="0"/>
    <n v="15.6332"/>
  </r>
  <r>
    <s v="Standard Class"/>
    <x v="0"/>
    <s v="United States"/>
    <s v="Costa Mesa"/>
    <x v="1"/>
    <n v="92627"/>
    <x v="1"/>
    <x v="2"/>
    <x v="7"/>
    <n v="258.57600000000002"/>
    <n v="2"/>
    <n v="0.2"/>
    <n v="19.3932"/>
  </r>
  <r>
    <s v="Standard Class"/>
    <x v="0"/>
    <s v="United States"/>
    <s v="Costa Mesa"/>
    <x v="1"/>
    <n v="92627"/>
    <x v="1"/>
    <x v="1"/>
    <x v="10"/>
    <n v="29.6"/>
    <n v="4"/>
    <n v="0"/>
    <n v="13.32"/>
  </r>
  <r>
    <s v="Second Class"/>
    <x v="0"/>
    <s v="United States"/>
    <s v="Westminster"/>
    <x v="1"/>
    <n v="92683"/>
    <x v="1"/>
    <x v="1"/>
    <x v="9"/>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2AA5DB-7E24-424C-A140-FBF049F2B61A}"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3">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8974FD-AD10-4618-BC8D-FE200719273C}"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9" baseField="0" baseItem="0"/>
  </dataFields>
  <chartFormats count="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CC4128-FE7B-4290-8C1D-FDE3FE002B6E}"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1" firstHeaderRow="1" firstDataRow="1" firstDataCol="1"/>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s>
  <rowFields count="1">
    <field x="8"/>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9"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5417008-962F-4E78-AC0E-2049764A9EDF}" sourceName="Category">
  <pivotTables>
    <pivotTable tabId="5" name="PivotTable3"/>
    <pivotTable tabId="3" name="PivotTable1"/>
    <pivotTable tabId="4" name="PivotTable2"/>
  </pivotTables>
  <data>
    <tabular pivotCacheId="16689924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E18DA973-E92D-4057-8086-BC3F070BBFDE}" sourceName="Segment">
  <pivotTables>
    <pivotTable tabId="3" name="PivotTable1"/>
    <pivotTable tabId="4" name="PivotTable2"/>
    <pivotTable tabId="5" name="PivotTable3"/>
  </pivotTables>
  <data>
    <tabular pivotCacheId="16689924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4360B93B-3904-48F1-8FEB-67CD1D58C6FB}" sourceName="Region">
  <pivotTables>
    <pivotTable tabId="3" name="PivotTable1"/>
    <pivotTable tabId="4" name="PivotTable2"/>
    <pivotTable tabId="5" name="PivotTable3"/>
  </pivotTables>
  <data>
    <tabular pivotCacheId="16689924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59CA477-8EF4-4900-8368-E895D3571450}" cache="Slicer_Category" caption="Category" rowHeight="247650"/>
  <slicer name="Category 1" xr10:uid="{E53AA883-16E8-41F2-97F5-A503020CC246}" cache="Slicer_Category" caption="Category" rowHeight="247650"/>
  <slicer name="Category 2" xr10:uid="{12DAC6F7-30B7-4392-A87E-1227B652B56C}" cache="Slicer_Category" caption="Category" rowHeight="247650"/>
  <slicer name="Segment 2" xr10:uid="{B828E0B3-3C4F-4FB9-BF3D-F579CCCEC183}" cache="Slicer_Segment2" caption="Segment" rowHeight="247650"/>
  <slicer name="Segment 1" xr10:uid="{0BD49F1D-AD0E-4341-873C-E0F4E0F843B4}" cache="Slicer_Segment2" caption="Segment" rowHeight="247650"/>
  <slicer name="Segment" xr10:uid="{AFF95674-CF72-4CBD-9288-9C23E7607F11}" cache="Slicer_Segment2" caption="Segment" rowHeight="247650"/>
  <slicer name="Region 1" xr10:uid="{A5496FCF-C6DB-485C-BBD1-3A9532A8F6C4}" cache="Slicer_Region2" caption="Region" rowHeight="247650"/>
  <slicer name="Region 2" xr10:uid="{594BD021-9DB1-4B32-9D0F-32D6ECCE9D56}" cache="Slicer_Region2" caption="Region" rowHeight="247650"/>
  <slicer name="Region" xr10:uid="{30D34C16-87BB-44BE-B6FA-9E0095CCF265}" cache="Slicer_Region2" caption="Region" startItem="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00F55F-A6C7-4E41-9413-A5CCBCF80A40}" name="salesData" displayName="salesData" ref="A1:M9995" totalsRowShown="0">
  <autoFilter ref="A1:M9995" xr:uid="{4100F55F-A6C7-4E41-9413-A5CCBCF80A40}"/>
  <tableColumns count="13">
    <tableColumn id="1" xr3:uid="{40948380-B078-441D-BC23-5D1D55C5904A}" name="Ship Mode"/>
    <tableColumn id="2" xr3:uid="{6346B118-377B-4549-9AE7-D797AA60CAFD}" name="Segment"/>
    <tableColumn id="3" xr3:uid="{D6219B52-72C3-4452-B9B7-663088A27CCE}" name="Country"/>
    <tableColumn id="4" xr3:uid="{A9237E24-35E7-4852-B4B0-047FC69FFD84}" name="City"/>
    <tableColumn id="5" xr3:uid="{B4679EDF-CB4C-4A43-915C-5FCC18644909}" name="State"/>
    <tableColumn id="6" xr3:uid="{002075A3-AE99-477E-BEB7-474D5BA56DFF}" name="Postal Code"/>
    <tableColumn id="7" xr3:uid="{F620EE25-AA87-451B-8FDB-E598DBE72C51}" name="Region"/>
    <tableColumn id="8" xr3:uid="{75295C15-B4E4-418E-B585-070A20965537}" name="Category"/>
    <tableColumn id="9" xr3:uid="{E729302A-B5FB-40CA-A312-4BD6B00F76CD}" name="Sub-Category"/>
    <tableColumn id="10" xr3:uid="{2D93A375-60BC-45D6-96C3-88E1EB77E158}" name="Sales"/>
    <tableColumn id="11" xr3:uid="{A0454D2D-C8B3-4100-868A-922335D8BD69}" name="Quantity"/>
    <tableColumn id="12" xr3:uid="{49389B42-F8CF-4141-B833-8BC4EE967F2A}" name="Discount"/>
    <tableColumn id="13" xr3:uid="{0EB32067-F919-4A23-9D67-856F1F6E54B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3C1C9-4BA9-41F2-8D77-38FCE061343A}">
  <dimension ref="A3:B8"/>
  <sheetViews>
    <sheetView workbookViewId="0">
      <selection activeCell="O22" sqref="O22"/>
    </sheetView>
  </sheetViews>
  <sheetFormatPr defaultRowHeight="14.4" x14ac:dyDescent="0.3"/>
  <cols>
    <col min="1" max="1" width="12.44140625" bestFit="1" customWidth="1"/>
    <col min="2" max="2" width="12" bestFit="1" customWidth="1"/>
  </cols>
  <sheetData>
    <row r="3" spans="1:2" x14ac:dyDescent="0.3">
      <c r="A3" s="2" t="s">
        <v>630</v>
      </c>
      <c r="B3" t="s">
        <v>629</v>
      </c>
    </row>
    <row r="4" spans="1:2" x14ac:dyDescent="0.3">
      <c r="A4" s="3" t="s">
        <v>47</v>
      </c>
      <c r="B4" s="1">
        <v>501239.89080000052</v>
      </c>
    </row>
    <row r="5" spans="1:2" x14ac:dyDescent="0.3">
      <c r="A5" s="3" t="s">
        <v>57</v>
      </c>
      <c r="B5" s="1">
        <v>678781.2399999979</v>
      </c>
    </row>
    <row r="6" spans="1:2" x14ac:dyDescent="0.3">
      <c r="A6" s="3" t="s">
        <v>18</v>
      </c>
      <c r="B6" s="1">
        <v>391721.90500000032</v>
      </c>
    </row>
    <row r="7" spans="1:2" x14ac:dyDescent="0.3">
      <c r="A7" s="3" t="s">
        <v>25</v>
      </c>
      <c r="B7" s="1">
        <v>725457.82450000057</v>
      </c>
    </row>
    <row r="8" spans="1:2" x14ac:dyDescent="0.3">
      <c r="A8" s="3" t="s">
        <v>631</v>
      </c>
      <c r="B8" s="1">
        <v>2297200.8602999994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B5569-78BC-494F-B24A-61B4A6A86DF1}">
  <dimension ref="A3:B7"/>
  <sheetViews>
    <sheetView workbookViewId="0">
      <selection activeCell="D19" sqref="D19"/>
    </sheetView>
  </sheetViews>
  <sheetFormatPr defaultRowHeight="14.4" x14ac:dyDescent="0.3"/>
  <cols>
    <col min="1" max="1" width="13.109375" bestFit="1" customWidth="1"/>
    <col min="2" max="2" width="12" bestFit="1" customWidth="1"/>
  </cols>
  <sheetData>
    <row r="3" spans="1:2" x14ac:dyDescent="0.3">
      <c r="A3" s="2" t="s">
        <v>630</v>
      </c>
      <c r="B3" t="s">
        <v>629</v>
      </c>
    </row>
    <row r="4" spans="1:2" x14ac:dyDescent="0.3">
      <c r="A4" s="3" t="s">
        <v>19</v>
      </c>
      <c r="B4" s="1">
        <v>741999.79529999977</v>
      </c>
    </row>
    <row r="5" spans="1:2" x14ac:dyDescent="0.3">
      <c r="A5" s="3" t="s">
        <v>26</v>
      </c>
      <c r="B5" s="1">
        <v>719047.03200000292</v>
      </c>
    </row>
    <row r="6" spans="1:2" x14ac:dyDescent="0.3">
      <c r="A6" s="3" t="s">
        <v>35</v>
      </c>
      <c r="B6" s="1">
        <v>836154.03299999656</v>
      </c>
    </row>
    <row r="7" spans="1:2" x14ac:dyDescent="0.3">
      <c r="A7" s="3" t="s">
        <v>631</v>
      </c>
      <c r="B7" s="1">
        <v>2297200.8602999994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2C92F-EB44-4862-BF8C-32F0DB40EA46}">
  <dimension ref="A3:B21"/>
  <sheetViews>
    <sheetView workbookViewId="0">
      <selection activeCell="O22" sqref="O22"/>
    </sheetView>
  </sheetViews>
  <sheetFormatPr defaultRowHeight="14.4" x14ac:dyDescent="0.3"/>
  <cols>
    <col min="1" max="1" width="12.44140625" bestFit="1" customWidth="1"/>
    <col min="2" max="2" width="12" bestFit="1" customWidth="1"/>
  </cols>
  <sheetData>
    <row r="3" spans="1:2" x14ac:dyDescent="0.3">
      <c r="A3" s="2" t="s">
        <v>630</v>
      </c>
      <c r="B3" t="s">
        <v>629</v>
      </c>
    </row>
    <row r="4" spans="1:2" x14ac:dyDescent="0.3">
      <c r="A4" s="3" t="s">
        <v>59</v>
      </c>
      <c r="B4" s="1">
        <v>167380.31800000009</v>
      </c>
    </row>
    <row r="5" spans="1:2" x14ac:dyDescent="0.3">
      <c r="A5" s="3" t="s">
        <v>38</v>
      </c>
      <c r="B5" s="1">
        <v>107532.16099999999</v>
      </c>
    </row>
    <row r="6" spans="1:2" x14ac:dyDescent="0.3">
      <c r="A6" s="3" t="s">
        <v>34</v>
      </c>
      <c r="B6" s="1">
        <v>27118.791999999954</v>
      </c>
    </row>
    <row r="7" spans="1:2" x14ac:dyDescent="0.3">
      <c r="A7" s="3" t="s">
        <v>37</v>
      </c>
      <c r="B7" s="1">
        <v>203412.73300000009</v>
      </c>
    </row>
    <row r="8" spans="1:2" x14ac:dyDescent="0.3">
      <c r="A8" s="3" t="s">
        <v>20</v>
      </c>
      <c r="B8" s="1">
        <v>114879.99629999997</v>
      </c>
    </row>
    <row r="9" spans="1:2" x14ac:dyDescent="0.3">
      <c r="A9" s="3" t="s">
        <v>21</v>
      </c>
      <c r="B9" s="1">
        <v>328449.10300000076</v>
      </c>
    </row>
    <row r="10" spans="1:2" x14ac:dyDescent="0.3">
      <c r="A10" s="3" t="s">
        <v>162</v>
      </c>
      <c r="B10" s="1">
        <v>149528.02999999994</v>
      </c>
    </row>
    <row r="11" spans="1:2" x14ac:dyDescent="0.3">
      <c r="A11" s="3" t="s">
        <v>60</v>
      </c>
      <c r="B11" s="1">
        <v>16476.401999999998</v>
      </c>
    </row>
    <row r="12" spans="1:2" x14ac:dyDescent="0.3">
      <c r="A12" s="3" t="s">
        <v>77</v>
      </c>
      <c r="B12" s="1">
        <v>3024.2799999999997</v>
      </c>
    </row>
    <row r="13" spans="1:2" x14ac:dyDescent="0.3">
      <c r="A13" s="3" t="s">
        <v>33</v>
      </c>
      <c r="B13" s="1">
        <v>91705.164000000048</v>
      </c>
    </row>
    <row r="14" spans="1:2" x14ac:dyDescent="0.3">
      <c r="A14" s="3" t="s">
        <v>27</v>
      </c>
      <c r="B14" s="1">
        <v>12486.312</v>
      </c>
    </row>
    <row r="15" spans="1:2" x14ac:dyDescent="0.3">
      <c r="A15" s="3" t="s">
        <v>123</v>
      </c>
      <c r="B15" s="1">
        <v>189238.63099999996</v>
      </c>
    </row>
    <row r="16" spans="1:2" x14ac:dyDescent="0.3">
      <c r="A16" s="3" t="s">
        <v>41</v>
      </c>
      <c r="B16" s="1">
        <v>78479.20600000002</v>
      </c>
    </row>
    <row r="17" spans="1:2" x14ac:dyDescent="0.3">
      <c r="A17" s="3" t="s">
        <v>36</v>
      </c>
      <c r="B17" s="1">
        <v>330007.05400000012</v>
      </c>
    </row>
    <row r="18" spans="1:2" x14ac:dyDescent="0.3">
      <c r="A18" s="3" t="s">
        <v>32</v>
      </c>
      <c r="B18" s="1">
        <v>223843.60800000012</v>
      </c>
    </row>
    <row r="19" spans="1:2" x14ac:dyDescent="0.3">
      <c r="A19" s="3" t="s">
        <v>110</v>
      </c>
      <c r="B19" s="1">
        <v>46673.538000000015</v>
      </c>
    </row>
    <row r="20" spans="1:2" x14ac:dyDescent="0.3">
      <c r="A20" s="3" t="s">
        <v>31</v>
      </c>
      <c r="B20" s="1">
        <v>206965.53200000009</v>
      </c>
    </row>
    <row r="21" spans="1:2" x14ac:dyDescent="0.3">
      <c r="A21" s="3" t="s">
        <v>631</v>
      </c>
      <c r="B21" s="1">
        <v>2297200.8603000008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39DB-75DC-467E-A12D-58F89C1B3818}">
  <dimension ref="A1:M9995"/>
  <sheetViews>
    <sheetView topLeftCell="A67" workbookViewId="0">
      <selection activeCell="B10" sqref="B10"/>
    </sheetView>
  </sheetViews>
  <sheetFormatPr defaultRowHeight="14.4" x14ac:dyDescent="0.3"/>
  <cols>
    <col min="1" max="1" width="11.5546875" customWidth="1"/>
    <col min="2" max="2" width="10.21875" customWidth="1"/>
    <col min="3" max="3" width="9.33203125" customWidth="1"/>
    <col min="6" max="6" width="12.77734375" customWidth="1"/>
    <col min="8" max="8" width="10.21875" customWidth="1"/>
    <col min="9" max="9" width="14.109375" customWidth="1"/>
    <col min="11" max="11" width="10" customWidth="1"/>
    <col min="12" max="12" width="10.21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v>42420</v>
      </c>
      <c r="G2" t="s">
        <v>18</v>
      </c>
      <c r="H2" t="s">
        <v>19</v>
      </c>
      <c r="I2" t="s">
        <v>20</v>
      </c>
      <c r="J2">
        <v>261.95999999999998</v>
      </c>
      <c r="K2">
        <v>2</v>
      </c>
      <c r="L2">
        <v>0</v>
      </c>
      <c r="M2">
        <v>41.913600000000002</v>
      </c>
    </row>
    <row r="3" spans="1:13" x14ac:dyDescent="0.3">
      <c r="A3" t="s">
        <v>13</v>
      </c>
      <c r="B3" t="s">
        <v>14</v>
      </c>
      <c r="C3" t="s">
        <v>15</v>
      </c>
      <c r="D3" t="s">
        <v>16</v>
      </c>
      <c r="E3" t="s">
        <v>17</v>
      </c>
      <c r="F3">
        <v>42420</v>
      </c>
      <c r="G3" t="s">
        <v>18</v>
      </c>
      <c r="H3" t="s">
        <v>19</v>
      </c>
      <c r="I3" t="s">
        <v>21</v>
      </c>
      <c r="J3">
        <v>731.94</v>
      </c>
      <c r="K3">
        <v>3</v>
      </c>
      <c r="L3">
        <v>0</v>
      </c>
      <c r="M3">
        <v>219.58199999999999</v>
      </c>
    </row>
    <row r="4" spans="1:13" x14ac:dyDescent="0.3">
      <c r="A4" t="s">
        <v>13</v>
      </c>
      <c r="B4" t="s">
        <v>22</v>
      </c>
      <c r="C4" t="s">
        <v>15</v>
      </c>
      <c r="D4" t="s">
        <v>23</v>
      </c>
      <c r="E4" t="s">
        <v>24</v>
      </c>
      <c r="F4">
        <v>90036</v>
      </c>
      <c r="G4" t="s">
        <v>25</v>
      </c>
      <c r="H4" t="s">
        <v>26</v>
      </c>
      <c r="I4" t="s">
        <v>27</v>
      </c>
      <c r="J4">
        <v>14.62</v>
      </c>
      <c r="K4">
        <v>2</v>
      </c>
      <c r="L4">
        <v>0</v>
      </c>
      <c r="M4">
        <v>6.8714000000000004</v>
      </c>
    </row>
    <row r="5" spans="1:13" x14ac:dyDescent="0.3">
      <c r="A5" t="s">
        <v>28</v>
      </c>
      <c r="B5" t="s">
        <v>14</v>
      </c>
      <c r="C5" t="s">
        <v>15</v>
      </c>
      <c r="D5" t="s">
        <v>29</v>
      </c>
      <c r="E5" t="s">
        <v>30</v>
      </c>
      <c r="F5">
        <v>33311</v>
      </c>
      <c r="G5" t="s">
        <v>18</v>
      </c>
      <c r="H5" t="s">
        <v>19</v>
      </c>
      <c r="I5" t="s">
        <v>31</v>
      </c>
      <c r="J5">
        <v>957.57749999999999</v>
      </c>
      <c r="K5">
        <v>5</v>
      </c>
      <c r="L5">
        <v>0.45</v>
      </c>
      <c r="M5">
        <v>-383.03100000000001</v>
      </c>
    </row>
    <row r="6" spans="1:13" x14ac:dyDescent="0.3">
      <c r="A6" t="s">
        <v>28</v>
      </c>
      <c r="B6" t="s">
        <v>14</v>
      </c>
      <c r="C6" t="s">
        <v>15</v>
      </c>
      <c r="D6" t="s">
        <v>29</v>
      </c>
      <c r="E6" t="s">
        <v>30</v>
      </c>
      <c r="F6">
        <v>33311</v>
      </c>
      <c r="G6" t="s">
        <v>18</v>
      </c>
      <c r="H6" t="s">
        <v>26</v>
      </c>
      <c r="I6" t="s">
        <v>32</v>
      </c>
      <c r="J6">
        <v>22.367999999999999</v>
      </c>
      <c r="K6">
        <v>2</v>
      </c>
      <c r="L6">
        <v>0.2</v>
      </c>
      <c r="M6">
        <v>2.5164</v>
      </c>
    </row>
    <row r="7" spans="1:13" x14ac:dyDescent="0.3">
      <c r="A7" t="s">
        <v>28</v>
      </c>
      <c r="B7" t="s">
        <v>14</v>
      </c>
      <c r="C7" t="s">
        <v>15</v>
      </c>
      <c r="D7" t="s">
        <v>23</v>
      </c>
      <c r="E7" t="s">
        <v>24</v>
      </c>
      <c r="F7">
        <v>90032</v>
      </c>
      <c r="G7" t="s">
        <v>25</v>
      </c>
      <c r="H7" t="s">
        <v>19</v>
      </c>
      <c r="I7" t="s">
        <v>33</v>
      </c>
      <c r="J7">
        <v>48.86</v>
      </c>
      <c r="K7">
        <v>7</v>
      </c>
      <c r="L7">
        <v>0</v>
      </c>
      <c r="M7">
        <v>14.1694</v>
      </c>
    </row>
    <row r="8" spans="1:13" x14ac:dyDescent="0.3">
      <c r="A8" t="s">
        <v>28</v>
      </c>
      <c r="B8" t="s">
        <v>14</v>
      </c>
      <c r="C8" t="s">
        <v>15</v>
      </c>
      <c r="D8" t="s">
        <v>23</v>
      </c>
      <c r="E8" t="s">
        <v>24</v>
      </c>
      <c r="F8">
        <v>90032</v>
      </c>
      <c r="G8" t="s">
        <v>25</v>
      </c>
      <c r="H8" t="s">
        <v>26</v>
      </c>
      <c r="I8" t="s">
        <v>34</v>
      </c>
      <c r="J8">
        <v>7.28</v>
      </c>
      <c r="K8">
        <v>4</v>
      </c>
      <c r="L8">
        <v>0</v>
      </c>
      <c r="M8">
        <v>1.9656</v>
      </c>
    </row>
    <row r="9" spans="1:13" x14ac:dyDescent="0.3">
      <c r="A9" t="s">
        <v>28</v>
      </c>
      <c r="B9" t="s">
        <v>14</v>
      </c>
      <c r="C9" t="s">
        <v>15</v>
      </c>
      <c r="D9" t="s">
        <v>23</v>
      </c>
      <c r="E9" t="s">
        <v>24</v>
      </c>
      <c r="F9">
        <v>90032</v>
      </c>
      <c r="G9" t="s">
        <v>25</v>
      </c>
      <c r="H9" t="s">
        <v>35</v>
      </c>
      <c r="I9" t="s">
        <v>36</v>
      </c>
      <c r="J9">
        <v>907.15200000000004</v>
      </c>
      <c r="K9">
        <v>6</v>
      </c>
      <c r="L9">
        <v>0.2</v>
      </c>
      <c r="M9">
        <v>90.715199999999996</v>
      </c>
    </row>
    <row r="10" spans="1:13" x14ac:dyDescent="0.3">
      <c r="A10" t="s">
        <v>28</v>
      </c>
      <c r="B10" t="s">
        <v>14</v>
      </c>
      <c r="C10" t="s">
        <v>15</v>
      </c>
      <c r="D10" t="s">
        <v>23</v>
      </c>
      <c r="E10" t="s">
        <v>24</v>
      </c>
      <c r="F10">
        <v>90032</v>
      </c>
      <c r="G10" t="s">
        <v>25</v>
      </c>
      <c r="H10" t="s">
        <v>26</v>
      </c>
      <c r="I10" t="s">
        <v>37</v>
      </c>
      <c r="J10">
        <v>18.504000000000001</v>
      </c>
      <c r="K10">
        <v>3</v>
      </c>
      <c r="L10">
        <v>0.2</v>
      </c>
      <c r="M10">
        <v>5.7824999999999998</v>
      </c>
    </row>
    <row r="11" spans="1:13" x14ac:dyDescent="0.3">
      <c r="A11" t="s">
        <v>28</v>
      </c>
      <c r="B11" t="s">
        <v>14</v>
      </c>
      <c r="C11" t="s">
        <v>15</v>
      </c>
      <c r="D11" t="s">
        <v>23</v>
      </c>
      <c r="E11" t="s">
        <v>24</v>
      </c>
      <c r="F11">
        <v>90032</v>
      </c>
      <c r="G11" t="s">
        <v>25</v>
      </c>
      <c r="H11" t="s">
        <v>26</v>
      </c>
      <c r="I11" t="s">
        <v>38</v>
      </c>
      <c r="J11">
        <v>114.9</v>
      </c>
      <c r="K11">
        <v>5</v>
      </c>
      <c r="L11">
        <v>0</v>
      </c>
      <c r="M11">
        <v>34.47</v>
      </c>
    </row>
    <row r="12" spans="1:13" x14ac:dyDescent="0.3">
      <c r="A12" t="s">
        <v>28</v>
      </c>
      <c r="B12" t="s">
        <v>14</v>
      </c>
      <c r="C12" t="s">
        <v>15</v>
      </c>
      <c r="D12" t="s">
        <v>23</v>
      </c>
      <c r="E12" t="s">
        <v>24</v>
      </c>
      <c r="F12">
        <v>90032</v>
      </c>
      <c r="G12" t="s">
        <v>25</v>
      </c>
      <c r="H12" t="s">
        <v>19</v>
      </c>
      <c r="I12" t="s">
        <v>31</v>
      </c>
      <c r="J12">
        <v>1706.184</v>
      </c>
      <c r="K12">
        <v>9</v>
      </c>
      <c r="L12">
        <v>0.2</v>
      </c>
      <c r="M12">
        <v>85.309200000000004</v>
      </c>
    </row>
    <row r="13" spans="1:13" x14ac:dyDescent="0.3">
      <c r="A13" t="s">
        <v>28</v>
      </c>
      <c r="B13" t="s">
        <v>14</v>
      </c>
      <c r="C13" t="s">
        <v>15</v>
      </c>
      <c r="D13" t="s">
        <v>23</v>
      </c>
      <c r="E13" t="s">
        <v>24</v>
      </c>
      <c r="F13">
        <v>90032</v>
      </c>
      <c r="G13" t="s">
        <v>25</v>
      </c>
      <c r="H13" t="s">
        <v>35</v>
      </c>
      <c r="I13" t="s">
        <v>36</v>
      </c>
      <c r="J13">
        <v>911.42399999999998</v>
      </c>
      <c r="K13">
        <v>4</v>
      </c>
      <c r="L13">
        <v>0.2</v>
      </c>
      <c r="M13">
        <v>68.356800000000007</v>
      </c>
    </row>
    <row r="14" spans="1:13" x14ac:dyDescent="0.3">
      <c r="A14" t="s">
        <v>28</v>
      </c>
      <c r="B14" t="s">
        <v>14</v>
      </c>
      <c r="C14" t="s">
        <v>15</v>
      </c>
      <c r="D14" t="s">
        <v>39</v>
      </c>
      <c r="E14" t="s">
        <v>40</v>
      </c>
      <c r="F14">
        <v>28027</v>
      </c>
      <c r="G14" t="s">
        <v>18</v>
      </c>
      <c r="H14" t="s">
        <v>26</v>
      </c>
      <c r="I14" t="s">
        <v>41</v>
      </c>
      <c r="J14">
        <v>15.552</v>
      </c>
      <c r="K14">
        <v>3</v>
      </c>
      <c r="L14">
        <v>0.2</v>
      </c>
      <c r="M14">
        <v>5.4432</v>
      </c>
    </row>
    <row r="15" spans="1:13" x14ac:dyDescent="0.3">
      <c r="A15" t="s">
        <v>28</v>
      </c>
      <c r="B15" t="s">
        <v>14</v>
      </c>
      <c r="C15" t="s">
        <v>15</v>
      </c>
      <c r="D15" t="s">
        <v>42</v>
      </c>
      <c r="E15" t="s">
        <v>43</v>
      </c>
      <c r="F15">
        <v>98103</v>
      </c>
      <c r="G15" t="s">
        <v>25</v>
      </c>
      <c r="H15" t="s">
        <v>26</v>
      </c>
      <c r="I15" t="s">
        <v>37</v>
      </c>
      <c r="J15">
        <v>407.976</v>
      </c>
      <c r="K15">
        <v>3</v>
      </c>
      <c r="L15">
        <v>0.2</v>
      </c>
      <c r="M15">
        <v>132.59219999999999</v>
      </c>
    </row>
    <row r="16" spans="1:13" x14ac:dyDescent="0.3">
      <c r="A16" t="s">
        <v>28</v>
      </c>
      <c r="B16" t="s">
        <v>44</v>
      </c>
      <c r="C16" t="s">
        <v>15</v>
      </c>
      <c r="D16" t="s">
        <v>45</v>
      </c>
      <c r="E16" t="s">
        <v>46</v>
      </c>
      <c r="F16">
        <v>76106</v>
      </c>
      <c r="G16" t="s">
        <v>47</v>
      </c>
      <c r="H16" t="s">
        <v>26</v>
      </c>
      <c r="I16" t="s">
        <v>38</v>
      </c>
      <c r="J16">
        <v>68.81</v>
      </c>
      <c r="K16">
        <v>5</v>
      </c>
      <c r="L16">
        <v>0.8</v>
      </c>
      <c r="M16">
        <v>-123.858</v>
      </c>
    </row>
    <row r="17" spans="1:13" x14ac:dyDescent="0.3">
      <c r="A17" t="s">
        <v>28</v>
      </c>
      <c r="B17" t="s">
        <v>44</v>
      </c>
      <c r="C17" t="s">
        <v>15</v>
      </c>
      <c r="D17" t="s">
        <v>45</v>
      </c>
      <c r="E17" t="s">
        <v>46</v>
      </c>
      <c r="F17">
        <v>76106</v>
      </c>
      <c r="G17" t="s">
        <v>47</v>
      </c>
      <c r="H17" t="s">
        <v>26</v>
      </c>
      <c r="I17" t="s">
        <v>37</v>
      </c>
      <c r="J17">
        <v>2.544</v>
      </c>
      <c r="K17">
        <v>3</v>
      </c>
      <c r="L17">
        <v>0.8</v>
      </c>
      <c r="M17">
        <v>-3.8159999999999998</v>
      </c>
    </row>
    <row r="18" spans="1:13" x14ac:dyDescent="0.3">
      <c r="A18" t="s">
        <v>28</v>
      </c>
      <c r="B18" t="s">
        <v>14</v>
      </c>
      <c r="C18" t="s">
        <v>15</v>
      </c>
      <c r="D18" t="s">
        <v>48</v>
      </c>
      <c r="E18" t="s">
        <v>49</v>
      </c>
      <c r="F18">
        <v>53711</v>
      </c>
      <c r="G18" t="s">
        <v>47</v>
      </c>
      <c r="H18" t="s">
        <v>26</v>
      </c>
      <c r="I18" t="s">
        <v>32</v>
      </c>
      <c r="J18">
        <v>665.88</v>
      </c>
      <c r="K18">
        <v>6</v>
      </c>
      <c r="L18">
        <v>0</v>
      </c>
      <c r="M18">
        <v>13.317600000000001</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22</v>
      </c>
      <c r="C23" t="s">
        <v>15</v>
      </c>
      <c r="D23" t="s">
        <v>53</v>
      </c>
      <c r="E23" t="s">
        <v>54</v>
      </c>
      <c r="F23">
        <v>68025</v>
      </c>
      <c r="G23" t="s">
        <v>47</v>
      </c>
      <c r="H23" t="s">
        <v>26</v>
      </c>
      <c r="I23" t="s">
        <v>34</v>
      </c>
      <c r="J23">
        <v>19.46</v>
      </c>
      <c r="K23">
        <v>7</v>
      </c>
      <c r="L23">
        <v>0</v>
      </c>
      <c r="M23">
        <v>5.0595999999999997</v>
      </c>
    </row>
    <row r="24" spans="1:13" x14ac:dyDescent="0.3">
      <c r="A24" t="s">
        <v>28</v>
      </c>
      <c r="B24" t="s">
        <v>22</v>
      </c>
      <c r="C24" t="s">
        <v>15</v>
      </c>
      <c r="D24" t="s">
        <v>53</v>
      </c>
      <c r="E24" t="s">
        <v>54</v>
      </c>
      <c r="F24">
        <v>68025</v>
      </c>
      <c r="G24" t="s">
        <v>47</v>
      </c>
      <c r="H24" t="s">
        <v>26</v>
      </c>
      <c r="I24" t="s">
        <v>38</v>
      </c>
      <c r="J24">
        <v>60.34</v>
      </c>
      <c r="K24">
        <v>7</v>
      </c>
      <c r="L24">
        <v>0</v>
      </c>
      <c r="M24">
        <v>15.6884</v>
      </c>
    </row>
    <row r="25" spans="1:13" x14ac:dyDescent="0.3">
      <c r="A25" t="s">
        <v>13</v>
      </c>
      <c r="B25" t="s">
        <v>14</v>
      </c>
      <c r="C25" t="s">
        <v>15</v>
      </c>
      <c r="D25" t="s">
        <v>55</v>
      </c>
      <c r="E25" t="s">
        <v>56</v>
      </c>
      <c r="F25">
        <v>19140</v>
      </c>
      <c r="G25" t="s">
        <v>57</v>
      </c>
      <c r="H25" t="s">
        <v>19</v>
      </c>
      <c r="I25" t="s">
        <v>21</v>
      </c>
      <c r="J25">
        <v>71.372</v>
      </c>
      <c r="K25">
        <v>2</v>
      </c>
      <c r="L25">
        <v>0.3</v>
      </c>
      <c r="M25">
        <v>-1.0196000000000001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14</v>
      </c>
      <c r="C29" t="s">
        <v>15</v>
      </c>
      <c r="D29" t="s">
        <v>55</v>
      </c>
      <c r="E29" t="s">
        <v>56</v>
      </c>
      <c r="F29">
        <v>19140</v>
      </c>
      <c r="G29" t="s">
        <v>57</v>
      </c>
      <c r="H29" t="s">
        <v>19</v>
      </c>
      <c r="I29" t="s">
        <v>20</v>
      </c>
      <c r="J29">
        <v>3083.43</v>
      </c>
      <c r="K29">
        <v>7</v>
      </c>
      <c r="L29">
        <v>0.5</v>
      </c>
      <c r="M29">
        <v>-1665.0522000000001</v>
      </c>
    </row>
    <row r="30" spans="1:13" x14ac:dyDescent="0.3">
      <c r="A30" t="s">
        <v>28</v>
      </c>
      <c r="B30" t="s">
        <v>14</v>
      </c>
      <c r="C30" t="s">
        <v>15</v>
      </c>
      <c r="D30" t="s">
        <v>55</v>
      </c>
      <c r="E30" t="s">
        <v>56</v>
      </c>
      <c r="F30">
        <v>19140</v>
      </c>
      <c r="G30" t="s">
        <v>57</v>
      </c>
      <c r="H30" t="s">
        <v>26</v>
      </c>
      <c r="I30" t="s">
        <v>37</v>
      </c>
      <c r="J30">
        <v>9.6180000000000003</v>
      </c>
      <c r="K30">
        <v>2</v>
      </c>
      <c r="L30">
        <v>0.7</v>
      </c>
      <c r="M30">
        <v>-7.0532000000000004</v>
      </c>
    </row>
    <row r="31" spans="1:13" x14ac:dyDescent="0.3">
      <c r="A31" t="s">
        <v>28</v>
      </c>
      <c r="B31" t="s">
        <v>14</v>
      </c>
      <c r="C31" t="s">
        <v>15</v>
      </c>
      <c r="D31" t="s">
        <v>55</v>
      </c>
      <c r="E31" t="s">
        <v>56</v>
      </c>
      <c r="F31">
        <v>19140</v>
      </c>
      <c r="G31" t="s">
        <v>57</v>
      </c>
      <c r="H31" t="s">
        <v>19</v>
      </c>
      <c r="I31" t="s">
        <v>33</v>
      </c>
      <c r="J31">
        <v>124.2</v>
      </c>
      <c r="K31">
        <v>3</v>
      </c>
      <c r="L31">
        <v>0.2</v>
      </c>
      <c r="M31">
        <v>15.525</v>
      </c>
    </row>
    <row r="32" spans="1:13" x14ac:dyDescent="0.3">
      <c r="A32" t="s">
        <v>28</v>
      </c>
      <c r="B32" t="s">
        <v>14</v>
      </c>
      <c r="C32" t="s">
        <v>15</v>
      </c>
      <c r="D32" t="s">
        <v>55</v>
      </c>
      <c r="E32" t="s">
        <v>56</v>
      </c>
      <c r="F32">
        <v>19140</v>
      </c>
      <c r="G32" t="s">
        <v>57</v>
      </c>
      <c r="H32" t="s">
        <v>26</v>
      </c>
      <c r="I32" t="s">
        <v>60</v>
      </c>
      <c r="J32">
        <v>3.2639999999999998</v>
      </c>
      <c r="K32">
        <v>2</v>
      </c>
      <c r="L32">
        <v>0.2</v>
      </c>
      <c r="M32">
        <v>1.1015999999999999</v>
      </c>
    </row>
    <row r="33" spans="1:13" x14ac:dyDescent="0.3">
      <c r="A33" t="s">
        <v>28</v>
      </c>
      <c r="B33" t="s">
        <v>14</v>
      </c>
      <c r="C33" t="s">
        <v>15</v>
      </c>
      <c r="D33" t="s">
        <v>55</v>
      </c>
      <c r="E33" t="s">
        <v>56</v>
      </c>
      <c r="F33">
        <v>19140</v>
      </c>
      <c r="G33" t="s">
        <v>57</v>
      </c>
      <c r="H33" t="s">
        <v>26</v>
      </c>
      <c r="I33" t="s">
        <v>34</v>
      </c>
      <c r="J33">
        <v>86.304000000000002</v>
      </c>
      <c r="K33">
        <v>6</v>
      </c>
      <c r="L33">
        <v>0.2</v>
      </c>
      <c r="M33">
        <v>9.7091999999999992</v>
      </c>
    </row>
    <row r="34" spans="1:13" x14ac:dyDescent="0.3">
      <c r="A34" t="s">
        <v>28</v>
      </c>
      <c r="B34" t="s">
        <v>14</v>
      </c>
      <c r="C34" t="s">
        <v>15</v>
      </c>
      <c r="D34" t="s">
        <v>55</v>
      </c>
      <c r="E34" t="s">
        <v>56</v>
      </c>
      <c r="F34">
        <v>19140</v>
      </c>
      <c r="G34" t="s">
        <v>57</v>
      </c>
      <c r="H34" t="s">
        <v>26</v>
      </c>
      <c r="I34" t="s">
        <v>37</v>
      </c>
      <c r="J34">
        <v>6.8579999999999997</v>
      </c>
      <c r="K34">
        <v>6</v>
      </c>
      <c r="L34">
        <v>0.7</v>
      </c>
      <c r="M34">
        <v>-5.7149999999999999</v>
      </c>
    </row>
    <row r="35" spans="1:13" x14ac:dyDescent="0.3">
      <c r="A35" t="s">
        <v>28</v>
      </c>
      <c r="B35" t="s">
        <v>14</v>
      </c>
      <c r="C35" t="s">
        <v>15</v>
      </c>
      <c r="D35" t="s">
        <v>55</v>
      </c>
      <c r="E35" t="s">
        <v>56</v>
      </c>
      <c r="F35">
        <v>19140</v>
      </c>
      <c r="G35" t="s">
        <v>57</v>
      </c>
      <c r="H35" t="s">
        <v>26</v>
      </c>
      <c r="I35" t="s">
        <v>34</v>
      </c>
      <c r="J35">
        <v>15.76</v>
      </c>
      <c r="K35">
        <v>2</v>
      </c>
      <c r="L35">
        <v>0.2</v>
      </c>
      <c r="M35">
        <v>3.5459999999999998</v>
      </c>
    </row>
    <row r="36" spans="1:13" x14ac:dyDescent="0.3">
      <c r="A36" t="s">
        <v>13</v>
      </c>
      <c r="B36" t="s">
        <v>44</v>
      </c>
      <c r="C36" t="s">
        <v>15</v>
      </c>
      <c r="D36" t="s">
        <v>61</v>
      </c>
      <c r="E36" t="s">
        <v>46</v>
      </c>
      <c r="F36">
        <v>77095</v>
      </c>
      <c r="G36" t="s">
        <v>47</v>
      </c>
      <c r="H36" t="s">
        <v>26</v>
      </c>
      <c r="I36" t="s">
        <v>41</v>
      </c>
      <c r="J36">
        <v>29.472000000000001</v>
      </c>
      <c r="K36">
        <v>3</v>
      </c>
      <c r="L36">
        <v>0.2</v>
      </c>
      <c r="M36">
        <v>9.9467999999999996</v>
      </c>
    </row>
    <row r="37" spans="1:13" x14ac:dyDescent="0.3">
      <c r="A37" t="s">
        <v>62</v>
      </c>
      <c r="B37" t="s">
        <v>22</v>
      </c>
      <c r="C37" t="s">
        <v>15</v>
      </c>
      <c r="D37" t="s">
        <v>63</v>
      </c>
      <c r="E37" t="s">
        <v>46</v>
      </c>
      <c r="F37">
        <v>75080</v>
      </c>
      <c r="G37" t="s">
        <v>47</v>
      </c>
      <c r="H37" t="s">
        <v>35</v>
      </c>
      <c r="I37" t="s">
        <v>36</v>
      </c>
      <c r="J37">
        <v>1097.5440000000001</v>
      </c>
      <c r="K37">
        <v>7</v>
      </c>
      <c r="L37">
        <v>0.2</v>
      </c>
      <c r="M37">
        <v>123.47369999999999</v>
      </c>
    </row>
    <row r="38" spans="1:13" x14ac:dyDescent="0.3">
      <c r="A38" t="s">
        <v>62</v>
      </c>
      <c r="B38" t="s">
        <v>22</v>
      </c>
      <c r="C38" t="s">
        <v>15</v>
      </c>
      <c r="D38" t="s">
        <v>63</v>
      </c>
      <c r="E38" t="s">
        <v>46</v>
      </c>
      <c r="F38">
        <v>75080</v>
      </c>
      <c r="G38" t="s">
        <v>47</v>
      </c>
      <c r="H38" t="s">
        <v>19</v>
      </c>
      <c r="I38" t="s">
        <v>33</v>
      </c>
      <c r="J38">
        <v>190.92</v>
      </c>
      <c r="K38">
        <v>5</v>
      </c>
      <c r="L38">
        <v>0.6</v>
      </c>
      <c r="M38">
        <v>-147.96299999999999</v>
      </c>
    </row>
    <row r="39" spans="1:13" x14ac:dyDescent="0.3">
      <c r="A39" t="s">
        <v>28</v>
      </c>
      <c r="B39" t="s">
        <v>44</v>
      </c>
      <c r="C39" t="s">
        <v>15</v>
      </c>
      <c r="D39" t="s">
        <v>61</v>
      </c>
      <c r="E39" t="s">
        <v>46</v>
      </c>
      <c r="F39">
        <v>77041</v>
      </c>
      <c r="G39" t="s">
        <v>47</v>
      </c>
      <c r="H39" t="s">
        <v>26</v>
      </c>
      <c r="I39" t="s">
        <v>60</v>
      </c>
      <c r="J39">
        <v>113.328</v>
      </c>
      <c r="K39">
        <v>9</v>
      </c>
      <c r="L39">
        <v>0.2</v>
      </c>
      <c r="M39">
        <v>35.414999999999999</v>
      </c>
    </row>
    <row r="40" spans="1:13" x14ac:dyDescent="0.3">
      <c r="A40" t="s">
        <v>28</v>
      </c>
      <c r="B40" t="s">
        <v>44</v>
      </c>
      <c r="C40" t="s">
        <v>15</v>
      </c>
      <c r="D40" t="s">
        <v>61</v>
      </c>
      <c r="E40" t="s">
        <v>46</v>
      </c>
      <c r="F40">
        <v>77041</v>
      </c>
      <c r="G40" t="s">
        <v>47</v>
      </c>
      <c r="H40" t="s">
        <v>19</v>
      </c>
      <c r="I40" t="s">
        <v>20</v>
      </c>
      <c r="J40">
        <v>532.39919999999995</v>
      </c>
      <c r="K40">
        <v>3</v>
      </c>
      <c r="L40">
        <v>0.32</v>
      </c>
      <c r="M40">
        <v>-46.976399999999998</v>
      </c>
    </row>
    <row r="41" spans="1:13" x14ac:dyDescent="0.3">
      <c r="A41" t="s">
        <v>28</v>
      </c>
      <c r="B41" t="s">
        <v>44</v>
      </c>
      <c r="C41" t="s">
        <v>15</v>
      </c>
      <c r="D41" t="s">
        <v>61</v>
      </c>
      <c r="E41" t="s">
        <v>46</v>
      </c>
      <c r="F41">
        <v>77041</v>
      </c>
      <c r="G41" t="s">
        <v>47</v>
      </c>
      <c r="H41" t="s">
        <v>19</v>
      </c>
      <c r="I41" t="s">
        <v>21</v>
      </c>
      <c r="J41">
        <v>212.05799999999999</v>
      </c>
      <c r="K41">
        <v>3</v>
      </c>
      <c r="L41">
        <v>0.3</v>
      </c>
      <c r="M41">
        <v>-15.147</v>
      </c>
    </row>
    <row r="42" spans="1:13" x14ac:dyDescent="0.3">
      <c r="A42" t="s">
        <v>28</v>
      </c>
      <c r="B42" t="s">
        <v>44</v>
      </c>
      <c r="C42" t="s">
        <v>15</v>
      </c>
      <c r="D42" t="s">
        <v>61</v>
      </c>
      <c r="E42" t="s">
        <v>46</v>
      </c>
      <c r="F42">
        <v>77041</v>
      </c>
      <c r="G42" t="s">
        <v>47</v>
      </c>
      <c r="H42" t="s">
        <v>35</v>
      </c>
      <c r="I42" t="s">
        <v>36</v>
      </c>
      <c r="J42">
        <v>371.16800000000001</v>
      </c>
      <c r="K42">
        <v>4</v>
      </c>
      <c r="L42">
        <v>0.2</v>
      </c>
      <c r="M42">
        <v>41.756399999999999</v>
      </c>
    </row>
    <row r="43" spans="1:13" x14ac:dyDescent="0.3">
      <c r="A43" t="s">
        <v>28</v>
      </c>
      <c r="B43" t="s">
        <v>22</v>
      </c>
      <c r="C43" t="s">
        <v>15</v>
      </c>
      <c r="D43" t="s">
        <v>64</v>
      </c>
      <c r="E43" t="s">
        <v>65</v>
      </c>
      <c r="F43">
        <v>60540</v>
      </c>
      <c r="G43" t="s">
        <v>47</v>
      </c>
      <c r="H43" t="s">
        <v>35</v>
      </c>
      <c r="I43" t="s">
        <v>36</v>
      </c>
      <c r="J43">
        <v>147.16800000000001</v>
      </c>
      <c r="K43">
        <v>4</v>
      </c>
      <c r="L43">
        <v>0.2</v>
      </c>
      <c r="M43">
        <v>16.5564</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28</v>
      </c>
      <c r="B45" t="s">
        <v>22</v>
      </c>
      <c r="C45" t="s">
        <v>15</v>
      </c>
      <c r="D45" t="s">
        <v>66</v>
      </c>
      <c r="E45" t="s">
        <v>30</v>
      </c>
      <c r="F45">
        <v>32935</v>
      </c>
      <c r="G45" t="s">
        <v>18</v>
      </c>
      <c r="H45" t="s">
        <v>26</v>
      </c>
      <c r="I45" t="s">
        <v>32</v>
      </c>
      <c r="J45">
        <v>95.616</v>
      </c>
      <c r="K45">
        <v>2</v>
      </c>
      <c r="L45">
        <v>0.2</v>
      </c>
      <c r="M45">
        <v>9.5616000000000003</v>
      </c>
    </row>
    <row r="46" spans="1:13" x14ac:dyDescent="0.3">
      <c r="A46" t="s">
        <v>62</v>
      </c>
      <c r="B46" t="s">
        <v>22</v>
      </c>
      <c r="C46" t="s">
        <v>15</v>
      </c>
      <c r="D46" t="s">
        <v>67</v>
      </c>
      <c r="E46" t="s">
        <v>68</v>
      </c>
      <c r="F46">
        <v>55122</v>
      </c>
      <c r="G46" t="s">
        <v>47</v>
      </c>
      <c r="H46" t="s">
        <v>35</v>
      </c>
      <c r="I46" t="s">
        <v>59</v>
      </c>
      <c r="J46">
        <v>45.98</v>
      </c>
      <c r="K46">
        <v>2</v>
      </c>
      <c r="L46">
        <v>0</v>
      </c>
      <c r="M46">
        <v>19.7714</v>
      </c>
    </row>
    <row r="47" spans="1:13" x14ac:dyDescent="0.3">
      <c r="A47" t="s">
        <v>62</v>
      </c>
      <c r="B47" t="s">
        <v>22</v>
      </c>
      <c r="C47" t="s">
        <v>15</v>
      </c>
      <c r="D47" t="s">
        <v>67</v>
      </c>
      <c r="E47" t="s">
        <v>68</v>
      </c>
      <c r="F47">
        <v>55122</v>
      </c>
      <c r="G47" t="s">
        <v>47</v>
      </c>
      <c r="H47" t="s">
        <v>26</v>
      </c>
      <c r="I47" t="s">
        <v>37</v>
      </c>
      <c r="J47">
        <v>17.46</v>
      </c>
      <c r="K47">
        <v>2</v>
      </c>
      <c r="L47">
        <v>0</v>
      </c>
      <c r="M47">
        <v>8.2062000000000008</v>
      </c>
    </row>
    <row r="48" spans="1:13" x14ac:dyDescent="0.3">
      <c r="A48" t="s">
        <v>13</v>
      </c>
      <c r="B48" t="s">
        <v>14</v>
      </c>
      <c r="C48" t="s">
        <v>15</v>
      </c>
      <c r="D48" t="s">
        <v>69</v>
      </c>
      <c r="E48" t="s">
        <v>70</v>
      </c>
      <c r="F48">
        <v>48185</v>
      </c>
      <c r="G48" t="s">
        <v>47</v>
      </c>
      <c r="H48" t="s">
        <v>26</v>
      </c>
      <c r="I48" t="s">
        <v>32</v>
      </c>
      <c r="J48">
        <v>211.96</v>
      </c>
      <c r="K48">
        <v>4</v>
      </c>
      <c r="L48">
        <v>0</v>
      </c>
      <c r="M48">
        <v>8.4784000000000006</v>
      </c>
    </row>
    <row r="49" spans="1:13" x14ac:dyDescent="0.3">
      <c r="A49" t="s">
        <v>28</v>
      </c>
      <c r="B49" t="s">
        <v>14</v>
      </c>
      <c r="C49" t="s">
        <v>15</v>
      </c>
      <c r="D49" t="s">
        <v>71</v>
      </c>
      <c r="E49" t="s">
        <v>72</v>
      </c>
      <c r="F49">
        <v>19901</v>
      </c>
      <c r="G49" t="s">
        <v>57</v>
      </c>
      <c r="H49" t="s">
        <v>35</v>
      </c>
      <c r="I49" t="s">
        <v>59</v>
      </c>
      <c r="J49">
        <v>45</v>
      </c>
      <c r="K49">
        <v>3</v>
      </c>
      <c r="L49">
        <v>0</v>
      </c>
      <c r="M49">
        <v>4.95</v>
      </c>
    </row>
    <row r="50" spans="1:13" x14ac:dyDescent="0.3">
      <c r="A50" t="s">
        <v>28</v>
      </c>
      <c r="B50" t="s">
        <v>14</v>
      </c>
      <c r="C50" t="s">
        <v>15</v>
      </c>
      <c r="D50" t="s">
        <v>71</v>
      </c>
      <c r="E50" t="s">
        <v>72</v>
      </c>
      <c r="F50">
        <v>19901</v>
      </c>
      <c r="G50" t="s">
        <v>57</v>
      </c>
      <c r="H50" t="s">
        <v>35</v>
      </c>
      <c r="I50" t="s">
        <v>36</v>
      </c>
      <c r="J50">
        <v>21.8</v>
      </c>
      <c r="K50">
        <v>2</v>
      </c>
      <c r="L50">
        <v>0</v>
      </c>
      <c r="M50">
        <v>6.1040000000000001</v>
      </c>
    </row>
    <row r="51" spans="1:13" x14ac:dyDescent="0.3">
      <c r="A51" t="s">
        <v>28</v>
      </c>
      <c r="B51" t="s">
        <v>14</v>
      </c>
      <c r="C51" t="s">
        <v>15</v>
      </c>
      <c r="D51" t="s">
        <v>73</v>
      </c>
      <c r="E51" t="s">
        <v>74</v>
      </c>
      <c r="F51">
        <v>47150</v>
      </c>
      <c r="G51" t="s">
        <v>47</v>
      </c>
      <c r="H51" t="s">
        <v>26</v>
      </c>
      <c r="I51" t="s">
        <v>37</v>
      </c>
      <c r="J51">
        <v>38.22</v>
      </c>
      <c r="K51">
        <v>6</v>
      </c>
      <c r="L51">
        <v>0</v>
      </c>
      <c r="M51">
        <v>17.9634</v>
      </c>
    </row>
    <row r="52" spans="1:13" x14ac:dyDescent="0.3">
      <c r="A52" t="s">
        <v>28</v>
      </c>
      <c r="B52" t="s">
        <v>14</v>
      </c>
      <c r="C52" t="s">
        <v>15</v>
      </c>
      <c r="D52" t="s">
        <v>73</v>
      </c>
      <c r="E52" t="s">
        <v>74</v>
      </c>
      <c r="F52">
        <v>47150</v>
      </c>
      <c r="G52" t="s">
        <v>47</v>
      </c>
      <c r="H52" t="s">
        <v>26</v>
      </c>
      <c r="I52" t="s">
        <v>27</v>
      </c>
      <c r="J52">
        <v>75.180000000000007</v>
      </c>
      <c r="K52">
        <v>6</v>
      </c>
      <c r="L52">
        <v>0</v>
      </c>
      <c r="M52">
        <v>35.334600000000002</v>
      </c>
    </row>
    <row r="53" spans="1:13" x14ac:dyDescent="0.3">
      <c r="A53" t="s">
        <v>28</v>
      </c>
      <c r="B53" t="s">
        <v>14</v>
      </c>
      <c r="C53" t="s">
        <v>15</v>
      </c>
      <c r="D53" t="s">
        <v>73</v>
      </c>
      <c r="E53" t="s">
        <v>74</v>
      </c>
      <c r="F53">
        <v>47150</v>
      </c>
      <c r="G53" t="s">
        <v>47</v>
      </c>
      <c r="H53" t="s">
        <v>19</v>
      </c>
      <c r="I53" t="s">
        <v>33</v>
      </c>
      <c r="J53">
        <v>6.16</v>
      </c>
      <c r="K53">
        <v>2</v>
      </c>
      <c r="L53">
        <v>0</v>
      </c>
      <c r="M53">
        <v>2.9567999999999999</v>
      </c>
    </row>
    <row r="54" spans="1:13" x14ac:dyDescent="0.3">
      <c r="A54" t="s">
        <v>28</v>
      </c>
      <c r="B54" t="s">
        <v>14</v>
      </c>
      <c r="C54" t="s">
        <v>15</v>
      </c>
      <c r="D54" t="s">
        <v>73</v>
      </c>
      <c r="E54" t="s">
        <v>74</v>
      </c>
      <c r="F54">
        <v>47150</v>
      </c>
      <c r="G54" t="s">
        <v>47</v>
      </c>
      <c r="H54" t="s">
        <v>19</v>
      </c>
      <c r="I54" t="s">
        <v>21</v>
      </c>
      <c r="J54">
        <v>89.99</v>
      </c>
      <c r="K54">
        <v>1</v>
      </c>
      <c r="L54">
        <v>0</v>
      </c>
      <c r="M54">
        <v>17.098099999999999</v>
      </c>
    </row>
    <row r="55" spans="1:13" x14ac:dyDescent="0.3">
      <c r="A55" t="s">
        <v>28</v>
      </c>
      <c r="B55" t="s">
        <v>22</v>
      </c>
      <c r="C55" t="s">
        <v>15</v>
      </c>
      <c r="D55" t="s">
        <v>75</v>
      </c>
      <c r="E55" t="s">
        <v>76</v>
      </c>
      <c r="F55">
        <v>10024</v>
      </c>
      <c r="G55" t="s">
        <v>57</v>
      </c>
      <c r="H55" t="s">
        <v>26</v>
      </c>
      <c r="I55" t="s">
        <v>77</v>
      </c>
      <c r="J55">
        <v>15.26</v>
      </c>
      <c r="K55">
        <v>7</v>
      </c>
      <c r="L55">
        <v>0</v>
      </c>
      <c r="M55">
        <v>6.2565999999999997</v>
      </c>
    </row>
    <row r="56" spans="1:13" x14ac:dyDescent="0.3">
      <c r="A56" t="s">
        <v>28</v>
      </c>
      <c r="B56" t="s">
        <v>22</v>
      </c>
      <c r="C56" t="s">
        <v>15</v>
      </c>
      <c r="D56" t="s">
        <v>75</v>
      </c>
      <c r="E56" t="s">
        <v>76</v>
      </c>
      <c r="F56">
        <v>10024</v>
      </c>
      <c r="G56" t="s">
        <v>57</v>
      </c>
      <c r="H56" t="s">
        <v>35</v>
      </c>
      <c r="I56" t="s">
        <v>36</v>
      </c>
      <c r="J56">
        <v>1029.95</v>
      </c>
      <c r="K56">
        <v>5</v>
      </c>
      <c r="L56">
        <v>0</v>
      </c>
      <c r="M56">
        <v>298.68549999999999</v>
      </c>
    </row>
    <row r="57" spans="1:13" x14ac:dyDescent="0.3">
      <c r="A57" t="s">
        <v>62</v>
      </c>
      <c r="B57" t="s">
        <v>14</v>
      </c>
      <c r="C57" t="s">
        <v>15</v>
      </c>
      <c r="D57" t="s">
        <v>78</v>
      </c>
      <c r="E57" t="s">
        <v>76</v>
      </c>
      <c r="F57">
        <v>12180</v>
      </c>
      <c r="G57" t="s">
        <v>57</v>
      </c>
      <c r="H57" t="s">
        <v>26</v>
      </c>
      <c r="I57" t="s">
        <v>32</v>
      </c>
      <c r="J57">
        <v>208.56</v>
      </c>
      <c r="K57">
        <v>6</v>
      </c>
      <c r="L57">
        <v>0</v>
      </c>
      <c r="M57">
        <v>52.14</v>
      </c>
    </row>
    <row r="58" spans="1:13" x14ac:dyDescent="0.3">
      <c r="A58" t="s">
        <v>62</v>
      </c>
      <c r="B58" t="s">
        <v>14</v>
      </c>
      <c r="C58" t="s">
        <v>15</v>
      </c>
      <c r="D58" t="s">
        <v>78</v>
      </c>
      <c r="E58" t="s">
        <v>76</v>
      </c>
      <c r="F58">
        <v>12180</v>
      </c>
      <c r="G58" t="s">
        <v>57</v>
      </c>
      <c r="H58" t="s">
        <v>26</v>
      </c>
      <c r="I58" t="s">
        <v>41</v>
      </c>
      <c r="J58">
        <v>32.4</v>
      </c>
      <c r="K58">
        <v>5</v>
      </c>
      <c r="L58">
        <v>0</v>
      </c>
      <c r="M58">
        <v>15.552</v>
      </c>
    </row>
    <row r="59" spans="1:13" x14ac:dyDescent="0.3">
      <c r="A59" t="s">
        <v>62</v>
      </c>
      <c r="B59" t="s">
        <v>14</v>
      </c>
      <c r="C59" t="s">
        <v>15</v>
      </c>
      <c r="D59" t="s">
        <v>78</v>
      </c>
      <c r="E59" t="s">
        <v>76</v>
      </c>
      <c r="F59">
        <v>12180</v>
      </c>
      <c r="G59" t="s">
        <v>57</v>
      </c>
      <c r="H59" t="s">
        <v>19</v>
      </c>
      <c r="I59" t="s">
        <v>21</v>
      </c>
      <c r="J59">
        <v>319.41000000000003</v>
      </c>
      <c r="K59">
        <v>5</v>
      </c>
      <c r="L59">
        <v>0.1</v>
      </c>
      <c r="M59">
        <v>7.0979999999999999</v>
      </c>
    </row>
    <row r="60" spans="1:13" x14ac:dyDescent="0.3">
      <c r="A60" t="s">
        <v>62</v>
      </c>
      <c r="B60" t="s">
        <v>14</v>
      </c>
      <c r="C60" t="s">
        <v>15</v>
      </c>
      <c r="D60" t="s">
        <v>78</v>
      </c>
      <c r="E60" t="s">
        <v>76</v>
      </c>
      <c r="F60">
        <v>12180</v>
      </c>
      <c r="G60" t="s">
        <v>57</v>
      </c>
      <c r="H60" t="s">
        <v>26</v>
      </c>
      <c r="I60" t="s">
        <v>41</v>
      </c>
      <c r="J60">
        <v>14.56</v>
      </c>
      <c r="K60">
        <v>2</v>
      </c>
      <c r="L60">
        <v>0</v>
      </c>
      <c r="M60">
        <v>6.9888000000000003</v>
      </c>
    </row>
    <row r="61" spans="1:13" x14ac:dyDescent="0.3">
      <c r="A61" t="s">
        <v>62</v>
      </c>
      <c r="B61" t="s">
        <v>14</v>
      </c>
      <c r="C61" t="s">
        <v>15</v>
      </c>
      <c r="D61" t="s">
        <v>78</v>
      </c>
      <c r="E61" t="s">
        <v>76</v>
      </c>
      <c r="F61">
        <v>12180</v>
      </c>
      <c r="G61" t="s">
        <v>57</v>
      </c>
      <c r="H61" t="s">
        <v>35</v>
      </c>
      <c r="I61" t="s">
        <v>59</v>
      </c>
      <c r="J61">
        <v>30</v>
      </c>
      <c r="K61">
        <v>2</v>
      </c>
      <c r="L61">
        <v>0</v>
      </c>
      <c r="M61">
        <v>3.3</v>
      </c>
    </row>
    <row r="62" spans="1:13" x14ac:dyDescent="0.3">
      <c r="A62" t="s">
        <v>62</v>
      </c>
      <c r="B62" t="s">
        <v>14</v>
      </c>
      <c r="C62" t="s">
        <v>15</v>
      </c>
      <c r="D62" t="s">
        <v>78</v>
      </c>
      <c r="E62" t="s">
        <v>76</v>
      </c>
      <c r="F62">
        <v>12180</v>
      </c>
      <c r="G62" t="s">
        <v>57</v>
      </c>
      <c r="H62" t="s">
        <v>26</v>
      </c>
      <c r="I62" t="s">
        <v>37</v>
      </c>
      <c r="J62">
        <v>48.48</v>
      </c>
      <c r="K62">
        <v>4</v>
      </c>
      <c r="L62">
        <v>0.2</v>
      </c>
      <c r="M62">
        <v>16.361999999999998</v>
      </c>
    </row>
    <row r="63" spans="1:13" x14ac:dyDescent="0.3">
      <c r="A63" t="s">
        <v>62</v>
      </c>
      <c r="B63" t="s">
        <v>14</v>
      </c>
      <c r="C63" t="s">
        <v>15</v>
      </c>
      <c r="D63" t="s">
        <v>78</v>
      </c>
      <c r="E63" t="s">
        <v>76</v>
      </c>
      <c r="F63">
        <v>12180</v>
      </c>
      <c r="G63" t="s">
        <v>57</v>
      </c>
      <c r="H63" t="s">
        <v>26</v>
      </c>
      <c r="I63" t="s">
        <v>34</v>
      </c>
      <c r="J63">
        <v>1.68</v>
      </c>
      <c r="K63">
        <v>1</v>
      </c>
      <c r="L63">
        <v>0</v>
      </c>
      <c r="M63">
        <v>0.84</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28</v>
      </c>
      <c r="B68" t="s">
        <v>44</v>
      </c>
      <c r="C68" t="s">
        <v>15</v>
      </c>
      <c r="D68" t="s">
        <v>79</v>
      </c>
      <c r="E68" t="s">
        <v>65</v>
      </c>
      <c r="F68">
        <v>60610</v>
      </c>
      <c r="G68" t="s">
        <v>47</v>
      </c>
      <c r="H68" t="s">
        <v>19</v>
      </c>
      <c r="I68" t="s">
        <v>21</v>
      </c>
      <c r="J68">
        <v>213.11500000000001</v>
      </c>
      <c r="K68">
        <v>5</v>
      </c>
      <c r="L68">
        <v>0.3</v>
      </c>
      <c r="M68">
        <v>-15.2225</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62</v>
      </c>
      <c r="B71" t="s">
        <v>14</v>
      </c>
      <c r="C71" t="s">
        <v>15</v>
      </c>
      <c r="D71" t="s">
        <v>82</v>
      </c>
      <c r="E71" t="s">
        <v>83</v>
      </c>
      <c r="F71">
        <v>22153</v>
      </c>
      <c r="G71" t="s">
        <v>18</v>
      </c>
      <c r="H71" t="s">
        <v>26</v>
      </c>
      <c r="I71" t="s">
        <v>41</v>
      </c>
      <c r="J71">
        <v>75.88</v>
      </c>
      <c r="K71">
        <v>2</v>
      </c>
      <c r="L71">
        <v>0</v>
      </c>
      <c r="M71">
        <v>35.663600000000002</v>
      </c>
    </row>
    <row r="72" spans="1:13" x14ac:dyDescent="0.3">
      <c r="A72" t="s">
        <v>28</v>
      </c>
      <c r="B72" t="s">
        <v>14</v>
      </c>
      <c r="C72" t="s">
        <v>15</v>
      </c>
      <c r="D72" t="s">
        <v>75</v>
      </c>
      <c r="E72" t="s">
        <v>76</v>
      </c>
      <c r="F72">
        <v>10009</v>
      </c>
      <c r="G72" t="s">
        <v>57</v>
      </c>
      <c r="H72" t="s">
        <v>26</v>
      </c>
      <c r="I72" t="s">
        <v>37</v>
      </c>
      <c r="J72">
        <v>4.6159999999999997</v>
      </c>
      <c r="K72">
        <v>1</v>
      </c>
      <c r="L72">
        <v>0.2</v>
      </c>
      <c r="M72">
        <v>1.7310000000000001</v>
      </c>
    </row>
    <row r="73" spans="1:13" x14ac:dyDescent="0.3">
      <c r="A73" t="s">
        <v>13</v>
      </c>
      <c r="B73" t="s">
        <v>14</v>
      </c>
      <c r="C73" t="s">
        <v>15</v>
      </c>
      <c r="D73" t="s">
        <v>84</v>
      </c>
      <c r="E73" t="s">
        <v>70</v>
      </c>
      <c r="F73">
        <v>49201</v>
      </c>
      <c r="G73" t="s">
        <v>47</v>
      </c>
      <c r="H73" t="s">
        <v>26</v>
      </c>
      <c r="I73" t="s">
        <v>41</v>
      </c>
      <c r="J73">
        <v>19.05</v>
      </c>
      <c r="K73">
        <v>3</v>
      </c>
      <c r="L73">
        <v>0</v>
      </c>
      <c r="M73">
        <v>8.7629999999999999</v>
      </c>
    </row>
    <row r="74" spans="1:13" x14ac:dyDescent="0.3">
      <c r="A74" t="s">
        <v>28</v>
      </c>
      <c r="B74" t="s">
        <v>14</v>
      </c>
      <c r="C74" t="s">
        <v>15</v>
      </c>
      <c r="D74" t="s">
        <v>85</v>
      </c>
      <c r="E74" t="s">
        <v>86</v>
      </c>
      <c r="F74">
        <v>38109</v>
      </c>
      <c r="G74" t="s">
        <v>18</v>
      </c>
      <c r="H74" t="s">
        <v>19</v>
      </c>
      <c r="I74" t="s">
        <v>21</v>
      </c>
      <c r="J74">
        <v>831.93600000000004</v>
      </c>
      <c r="K74">
        <v>8</v>
      </c>
      <c r="L74">
        <v>0.2</v>
      </c>
      <c r="M74">
        <v>-114.3912</v>
      </c>
    </row>
    <row r="75" spans="1:13" x14ac:dyDescent="0.3">
      <c r="A75" t="s">
        <v>28</v>
      </c>
      <c r="B75" t="s">
        <v>14</v>
      </c>
      <c r="C75" t="s">
        <v>15</v>
      </c>
      <c r="D75" t="s">
        <v>85</v>
      </c>
      <c r="E75" t="s">
        <v>86</v>
      </c>
      <c r="F75">
        <v>38109</v>
      </c>
      <c r="G75" t="s">
        <v>18</v>
      </c>
      <c r="H75" t="s">
        <v>19</v>
      </c>
      <c r="I75" t="s">
        <v>33</v>
      </c>
      <c r="J75">
        <v>97.04</v>
      </c>
      <c r="K75">
        <v>2</v>
      </c>
      <c r="L75">
        <v>0.2</v>
      </c>
      <c r="M75">
        <v>1.2130000000000001</v>
      </c>
    </row>
    <row r="76" spans="1:13" x14ac:dyDescent="0.3">
      <c r="A76" t="s">
        <v>28</v>
      </c>
      <c r="B76" t="s">
        <v>14</v>
      </c>
      <c r="C76" t="s">
        <v>15</v>
      </c>
      <c r="D76" t="s">
        <v>85</v>
      </c>
      <c r="E76" t="s">
        <v>86</v>
      </c>
      <c r="F76">
        <v>38109</v>
      </c>
      <c r="G76" t="s">
        <v>18</v>
      </c>
      <c r="H76" t="s">
        <v>26</v>
      </c>
      <c r="I76" t="s">
        <v>32</v>
      </c>
      <c r="J76">
        <v>72.784000000000006</v>
      </c>
      <c r="K76">
        <v>1</v>
      </c>
      <c r="L76">
        <v>0.2</v>
      </c>
      <c r="M76">
        <v>-18.196000000000002</v>
      </c>
    </row>
    <row r="77" spans="1:13" x14ac:dyDescent="0.3">
      <c r="A77" t="s">
        <v>62</v>
      </c>
      <c r="B77" t="s">
        <v>22</v>
      </c>
      <c r="C77" t="s">
        <v>15</v>
      </c>
      <c r="D77" t="s">
        <v>61</v>
      </c>
      <c r="E77" t="s">
        <v>46</v>
      </c>
      <c r="F77">
        <v>77041</v>
      </c>
      <c r="G77" t="s">
        <v>47</v>
      </c>
      <c r="H77" t="s">
        <v>26</v>
      </c>
      <c r="I77" t="s">
        <v>37</v>
      </c>
      <c r="J77">
        <v>1.248</v>
      </c>
      <c r="K77">
        <v>3</v>
      </c>
      <c r="L77">
        <v>0.8</v>
      </c>
      <c r="M77">
        <v>-1.9343999999999999</v>
      </c>
    </row>
    <row r="78" spans="1:13" x14ac:dyDescent="0.3">
      <c r="A78" t="s">
        <v>62</v>
      </c>
      <c r="B78" t="s">
        <v>22</v>
      </c>
      <c r="C78" t="s">
        <v>15</v>
      </c>
      <c r="D78" t="s">
        <v>61</v>
      </c>
      <c r="E78" t="s">
        <v>46</v>
      </c>
      <c r="F78">
        <v>77041</v>
      </c>
      <c r="G78" t="s">
        <v>47</v>
      </c>
      <c r="H78" t="s">
        <v>19</v>
      </c>
      <c r="I78" t="s">
        <v>33</v>
      </c>
      <c r="J78">
        <v>9.7080000000000002</v>
      </c>
      <c r="K78">
        <v>3</v>
      </c>
      <c r="L78">
        <v>0.6</v>
      </c>
      <c r="M78">
        <v>-5.8247999999999998</v>
      </c>
    </row>
    <row r="79" spans="1:13" x14ac:dyDescent="0.3">
      <c r="A79" t="s">
        <v>62</v>
      </c>
      <c r="B79" t="s">
        <v>22</v>
      </c>
      <c r="C79" t="s">
        <v>15</v>
      </c>
      <c r="D79" t="s">
        <v>61</v>
      </c>
      <c r="E79" t="s">
        <v>46</v>
      </c>
      <c r="F79">
        <v>77041</v>
      </c>
      <c r="G79" t="s">
        <v>47</v>
      </c>
      <c r="H79" t="s">
        <v>26</v>
      </c>
      <c r="I79" t="s">
        <v>32</v>
      </c>
      <c r="J79">
        <v>27.24</v>
      </c>
      <c r="K79">
        <v>3</v>
      </c>
      <c r="L79">
        <v>0.2</v>
      </c>
      <c r="M79">
        <v>2.7240000000000002</v>
      </c>
    </row>
    <row r="80" spans="1:13" x14ac:dyDescent="0.3">
      <c r="A80" t="s">
        <v>13</v>
      </c>
      <c r="B80" t="s">
        <v>14</v>
      </c>
      <c r="C80" t="s">
        <v>15</v>
      </c>
      <c r="D80" t="s">
        <v>61</v>
      </c>
      <c r="E80" t="s">
        <v>46</v>
      </c>
      <c r="F80">
        <v>77070</v>
      </c>
      <c r="G80" t="s">
        <v>47</v>
      </c>
      <c r="H80" t="s">
        <v>19</v>
      </c>
      <c r="I80" t="s">
        <v>33</v>
      </c>
      <c r="J80">
        <v>19.3</v>
      </c>
      <c r="K80">
        <v>5</v>
      </c>
      <c r="L80">
        <v>0.6</v>
      </c>
      <c r="M80">
        <v>-14.475</v>
      </c>
    </row>
    <row r="81" spans="1:13" x14ac:dyDescent="0.3">
      <c r="A81" t="s">
        <v>62</v>
      </c>
      <c r="B81" t="s">
        <v>22</v>
      </c>
      <c r="C81" t="s">
        <v>15</v>
      </c>
      <c r="D81" t="s">
        <v>87</v>
      </c>
      <c r="E81" t="s">
        <v>88</v>
      </c>
      <c r="F81">
        <v>35601</v>
      </c>
      <c r="G81" t="s">
        <v>18</v>
      </c>
      <c r="H81" t="s">
        <v>26</v>
      </c>
      <c r="I81" t="s">
        <v>38</v>
      </c>
      <c r="J81">
        <v>208.16</v>
      </c>
      <c r="K81">
        <v>1</v>
      </c>
      <c r="L81">
        <v>0</v>
      </c>
      <c r="M81">
        <v>56.203200000000002</v>
      </c>
    </row>
    <row r="82" spans="1:13" x14ac:dyDescent="0.3">
      <c r="A82" t="s">
        <v>62</v>
      </c>
      <c r="B82" t="s">
        <v>22</v>
      </c>
      <c r="C82" t="s">
        <v>15</v>
      </c>
      <c r="D82" t="s">
        <v>87</v>
      </c>
      <c r="E82" t="s">
        <v>88</v>
      </c>
      <c r="F82">
        <v>35601</v>
      </c>
      <c r="G82" t="s">
        <v>18</v>
      </c>
      <c r="H82" t="s">
        <v>26</v>
      </c>
      <c r="I82" t="s">
        <v>37</v>
      </c>
      <c r="J82">
        <v>16.739999999999998</v>
      </c>
      <c r="K82">
        <v>3</v>
      </c>
      <c r="L82">
        <v>0</v>
      </c>
      <c r="M82">
        <v>8.0351999999999997</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22</v>
      </c>
      <c r="C85" t="s">
        <v>15</v>
      </c>
      <c r="D85" t="s">
        <v>89</v>
      </c>
      <c r="E85" t="s">
        <v>40</v>
      </c>
      <c r="F85">
        <v>27707</v>
      </c>
      <c r="G85" t="s">
        <v>18</v>
      </c>
      <c r="H85" t="s">
        <v>26</v>
      </c>
      <c r="I85" t="s">
        <v>60</v>
      </c>
      <c r="J85">
        <v>200.98400000000001</v>
      </c>
      <c r="K85">
        <v>7</v>
      </c>
      <c r="L85">
        <v>0.2</v>
      </c>
      <c r="M85">
        <v>62.807499999999997</v>
      </c>
    </row>
    <row r="86" spans="1:13" x14ac:dyDescent="0.3">
      <c r="A86" t="s">
        <v>62</v>
      </c>
      <c r="B86" t="s">
        <v>44</v>
      </c>
      <c r="C86" t="s">
        <v>15</v>
      </c>
      <c r="D86" t="s">
        <v>79</v>
      </c>
      <c r="E86" t="s">
        <v>65</v>
      </c>
      <c r="F86">
        <v>60623</v>
      </c>
      <c r="G86" t="s">
        <v>47</v>
      </c>
      <c r="H86" t="s">
        <v>26</v>
      </c>
      <c r="I86" t="s">
        <v>32</v>
      </c>
      <c r="J86">
        <v>230.376</v>
      </c>
      <c r="K86">
        <v>3</v>
      </c>
      <c r="L86">
        <v>0.2</v>
      </c>
      <c r="M86">
        <v>-48.954900000000002</v>
      </c>
    </row>
    <row r="87" spans="1:13" x14ac:dyDescent="0.3">
      <c r="A87" t="s">
        <v>13</v>
      </c>
      <c r="B87" t="s">
        <v>14</v>
      </c>
      <c r="C87" t="s">
        <v>15</v>
      </c>
      <c r="D87" t="s">
        <v>90</v>
      </c>
      <c r="E87" t="s">
        <v>91</v>
      </c>
      <c r="F87">
        <v>29203</v>
      </c>
      <c r="G87" t="s">
        <v>18</v>
      </c>
      <c r="H87" t="s">
        <v>19</v>
      </c>
      <c r="I87" t="s">
        <v>21</v>
      </c>
      <c r="J87">
        <v>301.95999999999998</v>
      </c>
      <c r="K87">
        <v>2</v>
      </c>
      <c r="L87">
        <v>0</v>
      </c>
      <c r="M87">
        <v>33.215600000000002</v>
      </c>
    </row>
    <row r="88" spans="1:13" x14ac:dyDescent="0.3">
      <c r="A88" t="s">
        <v>28</v>
      </c>
      <c r="B88" t="s">
        <v>14</v>
      </c>
      <c r="C88" t="s">
        <v>15</v>
      </c>
      <c r="D88" t="s">
        <v>92</v>
      </c>
      <c r="E88" t="s">
        <v>68</v>
      </c>
      <c r="F88">
        <v>55901</v>
      </c>
      <c r="G88" t="s">
        <v>47</v>
      </c>
      <c r="H88" t="s">
        <v>35</v>
      </c>
      <c r="I88" t="s">
        <v>59</v>
      </c>
      <c r="J88">
        <v>19.989999999999998</v>
      </c>
      <c r="K88">
        <v>1</v>
      </c>
      <c r="L88">
        <v>0</v>
      </c>
      <c r="M88">
        <v>6.7965999999999998</v>
      </c>
    </row>
    <row r="89" spans="1:13" x14ac:dyDescent="0.3">
      <c r="A89" t="s">
        <v>28</v>
      </c>
      <c r="B89" t="s">
        <v>14</v>
      </c>
      <c r="C89" t="s">
        <v>15</v>
      </c>
      <c r="D89" t="s">
        <v>92</v>
      </c>
      <c r="E89" t="s">
        <v>68</v>
      </c>
      <c r="F89">
        <v>55901</v>
      </c>
      <c r="G89" t="s">
        <v>47</v>
      </c>
      <c r="H89" t="s">
        <v>26</v>
      </c>
      <c r="I89" t="s">
        <v>27</v>
      </c>
      <c r="J89">
        <v>6.16</v>
      </c>
      <c r="K89">
        <v>2</v>
      </c>
      <c r="L89">
        <v>0</v>
      </c>
      <c r="M89">
        <v>2.9567999999999999</v>
      </c>
    </row>
    <row r="90" spans="1:13" x14ac:dyDescent="0.3">
      <c r="A90" t="s">
        <v>13</v>
      </c>
      <c r="B90" t="s">
        <v>44</v>
      </c>
      <c r="C90" t="s">
        <v>15</v>
      </c>
      <c r="D90" t="s">
        <v>61</v>
      </c>
      <c r="E90" t="s">
        <v>46</v>
      </c>
      <c r="F90">
        <v>77095</v>
      </c>
      <c r="G90" t="s">
        <v>47</v>
      </c>
      <c r="H90" t="s">
        <v>26</v>
      </c>
      <c r="I90" t="s">
        <v>32</v>
      </c>
      <c r="J90">
        <v>158.36799999999999</v>
      </c>
      <c r="K90">
        <v>7</v>
      </c>
      <c r="L90">
        <v>0.2</v>
      </c>
      <c r="M90">
        <v>13.857200000000001</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13</v>
      </c>
      <c r="B94" t="s">
        <v>14</v>
      </c>
      <c r="C94" t="s">
        <v>15</v>
      </c>
      <c r="D94" t="s">
        <v>93</v>
      </c>
      <c r="E94" t="s">
        <v>68</v>
      </c>
      <c r="F94">
        <v>55407</v>
      </c>
      <c r="G94" t="s">
        <v>47</v>
      </c>
      <c r="H94" t="s">
        <v>26</v>
      </c>
      <c r="I94" t="s">
        <v>41</v>
      </c>
      <c r="J94">
        <v>12.96</v>
      </c>
      <c r="K94">
        <v>2</v>
      </c>
      <c r="L94">
        <v>0</v>
      </c>
      <c r="M94">
        <v>6.2207999999999997</v>
      </c>
    </row>
    <row r="95" spans="1:13" x14ac:dyDescent="0.3">
      <c r="A95" t="s">
        <v>13</v>
      </c>
      <c r="B95" t="s">
        <v>14</v>
      </c>
      <c r="C95" t="s">
        <v>15</v>
      </c>
      <c r="D95" t="s">
        <v>93</v>
      </c>
      <c r="E95" t="s">
        <v>68</v>
      </c>
      <c r="F95">
        <v>55407</v>
      </c>
      <c r="G95" t="s">
        <v>47</v>
      </c>
      <c r="H95" t="s">
        <v>19</v>
      </c>
      <c r="I95" t="s">
        <v>33</v>
      </c>
      <c r="J95">
        <v>53.34</v>
      </c>
      <c r="K95">
        <v>3</v>
      </c>
      <c r="L95">
        <v>0</v>
      </c>
      <c r="M95">
        <v>16.535399999999999</v>
      </c>
    </row>
    <row r="96" spans="1:13" x14ac:dyDescent="0.3">
      <c r="A96" t="s">
        <v>13</v>
      </c>
      <c r="B96" t="s">
        <v>14</v>
      </c>
      <c r="C96" t="s">
        <v>15</v>
      </c>
      <c r="D96" t="s">
        <v>93</v>
      </c>
      <c r="E96" t="s">
        <v>68</v>
      </c>
      <c r="F96">
        <v>55407</v>
      </c>
      <c r="G96" t="s">
        <v>47</v>
      </c>
      <c r="H96" t="s">
        <v>26</v>
      </c>
      <c r="I96" t="s">
        <v>37</v>
      </c>
      <c r="J96">
        <v>32.96</v>
      </c>
      <c r="K96">
        <v>2</v>
      </c>
      <c r="L96">
        <v>0</v>
      </c>
      <c r="M96">
        <v>16.150400000000001</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13</v>
      </c>
      <c r="B98" t="s">
        <v>44</v>
      </c>
      <c r="C98" t="s">
        <v>15</v>
      </c>
      <c r="D98" t="s">
        <v>75</v>
      </c>
      <c r="E98" t="s">
        <v>76</v>
      </c>
      <c r="F98">
        <v>10009</v>
      </c>
      <c r="G98" t="s">
        <v>57</v>
      </c>
      <c r="H98" t="s">
        <v>19</v>
      </c>
      <c r="I98" t="s">
        <v>33</v>
      </c>
      <c r="J98">
        <v>96.53</v>
      </c>
      <c r="K98">
        <v>7</v>
      </c>
      <c r="L98">
        <v>0</v>
      </c>
      <c r="M98">
        <v>40.5426</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v>77.88</v>
      </c>
      <c r="K100">
        <v>6</v>
      </c>
      <c r="L100">
        <v>0</v>
      </c>
      <c r="M100">
        <v>22.5852</v>
      </c>
    </row>
    <row r="101" spans="1:13" x14ac:dyDescent="0.3">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v>1.788</v>
      </c>
      <c r="K103">
        <v>3</v>
      </c>
      <c r="L103">
        <v>0.8</v>
      </c>
      <c r="M103">
        <v>-3.0396000000000001</v>
      </c>
    </row>
    <row r="104" spans="1:13" x14ac:dyDescent="0.3">
      <c r="A104" t="s">
        <v>13</v>
      </c>
      <c r="B104" t="s">
        <v>14</v>
      </c>
      <c r="C104" t="s">
        <v>15</v>
      </c>
      <c r="D104" t="s">
        <v>92</v>
      </c>
      <c r="E104" t="s">
        <v>68</v>
      </c>
      <c r="F104">
        <v>55901</v>
      </c>
      <c r="G104" t="s">
        <v>47</v>
      </c>
      <c r="H104" t="s">
        <v>26</v>
      </c>
      <c r="I104" t="s">
        <v>41</v>
      </c>
      <c r="J104">
        <v>23.92</v>
      </c>
      <c r="K104">
        <v>4</v>
      </c>
      <c r="L104">
        <v>0</v>
      </c>
      <c r="M104">
        <v>11.720800000000001</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v>41.96</v>
      </c>
      <c r="K112">
        <v>2</v>
      </c>
      <c r="L112">
        <v>0</v>
      </c>
      <c r="M112">
        <v>10.909599999999999</v>
      </c>
    </row>
    <row r="113" spans="1:13" x14ac:dyDescent="0.3">
      <c r="A113" t="s">
        <v>28</v>
      </c>
      <c r="B113" t="s">
        <v>14</v>
      </c>
      <c r="C113" t="s">
        <v>15</v>
      </c>
      <c r="D113" t="s">
        <v>101</v>
      </c>
      <c r="E113" t="s">
        <v>102</v>
      </c>
      <c r="F113">
        <v>50322</v>
      </c>
      <c r="G113" t="s">
        <v>47</v>
      </c>
      <c r="H113" t="s">
        <v>26</v>
      </c>
      <c r="I113" t="s">
        <v>34</v>
      </c>
      <c r="J113">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v>27.24</v>
      </c>
      <c r="K114">
        <v>6</v>
      </c>
      <c r="L114">
        <v>0</v>
      </c>
      <c r="M114">
        <v>13.3476</v>
      </c>
    </row>
    <row r="115" spans="1:13" x14ac:dyDescent="0.3">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v>4.72</v>
      </c>
      <c r="K116">
        <v>2</v>
      </c>
      <c r="L116">
        <v>0.2</v>
      </c>
      <c r="M116">
        <v>1.6519999999999999</v>
      </c>
    </row>
    <row r="117" spans="1:13" x14ac:dyDescent="0.3">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v>47.04</v>
      </c>
      <c r="K121">
        <v>3</v>
      </c>
      <c r="L121">
        <v>0</v>
      </c>
      <c r="M121">
        <v>18.345600000000001</v>
      </c>
    </row>
    <row r="122" spans="1:13" x14ac:dyDescent="0.3">
      <c r="A122" t="s">
        <v>62</v>
      </c>
      <c r="B122" t="s">
        <v>14</v>
      </c>
      <c r="C122" t="s">
        <v>15</v>
      </c>
      <c r="D122" t="s">
        <v>106</v>
      </c>
      <c r="E122" t="s">
        <v>72</v>
      </c>
      <c r="F122">
        <v>19805</v>
      </c>
      <c r="G122" t="s">
        <v>57</v>
      </c>
      <c r="H122" t="s">
        <v>26</v>
      </c>
      <c r="I122" t="s">
        <v>37</v>
      </c>
      <c r="J122">
        <v>30.84</v>
      </c>
      <c r="K122">
        <v>4</v>
      </c>
      <c r="L122">
        <v>0</v>
      </c>
      <c r="M122">
        <v>13.878</v>
      </c>
    </row>
    <row r="123" spans="1:13" x14ac:dyDescent="0.3">
      <c r="A123" t="s">
        <v>62</v>
      </c>
      <c r="B123" t="s">
        <v>14</v>
      </c>
      <c r="C123" t="s">
        <v>15</v>
      </c>
      <c r="D123" t="s">
        <v>106</v>
      </c>
      <c r="E123" t="s">
        <v>72</v>
      </c>
      <c r="F123">
        <v>19805</v>
      </c>
      <c r="G123" t="s">
        <v>57</v>
      </c>
      <c r="H123" t="s">
        <v>26</v>
      </c>
      <c r="I123" t="s">
        <v>32</v>
      </c>
      <c r="J123">
        <v>226.56</v>
      </c>
      <c r="K123">
        <v>6</v>
      </c>
      <c r="L123">
        <v>0</v>
      </c>
      <c r="M123">
        <v>63.436799999999998</v>
      </c>
    </row>
    <row r="124" spans="1:13" x14ac:dyDescent="0.3">
      <c r="A124" t="s">
        <v>62</v>
      </c>
      <c r="B124" t="s">
        <v>14</v>
      </c>
      <c r="C124" t="s">
        <v>15</v>
      </c>
      <c r="D124" t="s">
        <v>106</v>
      </c>
      <c r="E124" t="s">
        <v>72</v>
      </c>
      <c r="F124">
        <v>19805</v>
      </c>
      <c r="G124" t="s">
        <v>57</v>
      </c>
      <c r="H124" t="s">
        <v>26</v>
      </c>
      <c r="I124" t="s">
        <v>60</v>
      </c>
      <c r="J124">
        <v>115.02</v>
      </c>
      <c r="K124">
        <v>9</v>
      </c>
      <c r="L124">
        <v>0</v>
      </c>
      <c r="M124">
        <v>51.759</v>
      </c>
    </row>
    <row r="125" spans="1:13" x14ac:dyDescent="0.3">
      <c r="A125" t="s">
        <v>62</v>
      </c>
      <c r="B125" t="s">
        <v>14</v>
      </c>
      <c r="C125" t="s">
        <v>15</v>
      </c>
      <c r="D125" t="s">
        <v>106</v>
      </c>
      <c r="E125" t="s">
        <v>72</v>
      </c>
      <c r="F125">
        <v>19805</v>
      </c>
      <c r="G125" t="s">
        <v>57</v>
      </c>
      <c r="H125" t="s">
        <v>35</v>
      </c>
      <c r="I125" t="s">
        <v>36</v>
      </c>
      <c r="J125">
        <v>68.040000000000006</v>
      </c>
      <c r="K125">
        <v>7</v>
      </c>
      <c r="L125">
        <v>0</v>
      </c>
      <c r="M125">
        <v>19.7316</v>
      </c>
    </row>
    <row r="126" spans="1:13" x14ac:dyDescent="0.3">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v>59.97</v>
      </c>
      <c r="K132">
        <v>5</v>
      </c>
      <c r="L132">
        <v>0.4</v>
      </c>
      <c r="M132">
        <v>-11.994</v>
      </c>
    </row>
    <row r="133" spans="1:13" x14ac:dyDescent="0.3">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13</v>
      </c>
      <c r="B142" t="s">
        <v>22</v>
      </c>
      <c r="C142" t="s">
        <v>15</v>
      </c>
      <c r="D142" t="s">
        <v>55</v>
      </c>
      <c r="E142" t="s">
        <v>56</v>
      </c>
      <c r="F142">
        <v>19140</v>
      </c>
      <c r="G142" t="s">
        <v>57</v>
      </c>
      <c r="H142" t="s">
        <v>19</v>
      </c>
      <c r="I142" t="s">
        <v>33</v>
      </c>
      <c r="J142">
        <v>82.8</v>
      </c>
      <c r="K142">
        <v>2</v>
      </c>
      <c r="L142">
        <v>0.2</v>
      </c>
      <c r="M142">
        <v>10.35</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v>839.43</v>
      </c>
      <c r="K146">
        <v>3</v>
      </c>
      <c r="L146">
        <v>0</v>
      </c>
      <c r="M146">
        <v>218.2518</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v>384.45</v>
      </c>
      <c r="K149">
        <v>11</v>
      </c>
      <c r="L149">
        <v>0</v>
      </c>
      <c r="M149">
        <v>103.8015</v>
      </c>
    </row>
    <row r="150" spans="1:13" x14ac:dyDescent="0.3">
      <c r="A150" t="s">
        <v>28</v>
      </c>
      <c r="B150" t="s">
        <v>22</v>
      </c>
      <c r="C150" t="s">
        <v>15</v>
      </c>
      <c r="D150" t="s">
        <v>115</v>
      </c>
      <c r="E150" t="s">
        <v>49</v>
      </c>
      <c r="F150">
        <v>53132</v>
      </c>
      <c r="G150" t="s">
        <v>47</v>
      </c>
      <c r="H150" t="s">
        <v>35</v>
      </c>
      <c r="I150" t="s">
        <v>36</v>
      </c>
      <c r="J150">
        <v>149.97</v>
      </c>
      <c r="K150">
        <v>3</v>
      </c>
      <c r="L150">
        <v>0</v>
      </c>
      <c r="M150">
        <v>5.9988000000000001</v>
      </c>
    </row>
    <row r="151" spans="1:13" x14ac:dyDescent="0.3">
      <c r="A151" t="s">
        <v>28</v>
      </c>
      <c r="B151" t="s">
        <v>22</v>
      </c>
      <c r="C151" t="s">
        <v>15</v>
      </c>
      <c r="D151" t="s">
        <v>115</v>
      </c>
      <c r="E151" t="s">
        <v>49</v>
      </c>
      <c r="F151">
        <v>53132</v>
      </c>
      <c r="G151" t="s">
        <v>47</v>
      </c>
      <c r="H151" t="s">
        <v>19</v>
      </c>
      <c r="I151" t="s">
        <v>21</v>
      </c>
      <c r="J15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v>171.55</v>
      </c>
      <c r="K152">
        <v>5</v>
      </c>
      <c r="L152">
        <v>0</v>
      </c>
      <c r="M152">
        <v>80.628500000000003</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v>14.62</v>
      </c>
      <c r="K160">
        <v>2</v>
      </c>
      <c r="L160">
        <v>0</v>
      </c>
      <c r="M160">
        <v>6.8714000000000004</v>
      </c>
    </row>
    <row r="161" spans="1:13" x14ac:dyDescent="0.3">
      <c r="A161" t="s">
        <v>28</v>
      </c>
      <c r="B161" t="s">
        <v>14</v>
      </c>
      <c r="C161" t="s">
        <v>15</v>
      </c>
      <c r="D161" t="s">
        <v>118</v>
      </c>
      <c r="E161" t="s">
        <v>119</v>
      </c>
      <c r="F161">
        <v>73034</v>
      </c>
      <c r="G161" t="s">
        <v>47</v>
      </c>
      <c r="H161" t="s">
        <v>35</v>
      </c>
      <c r="I161" t="s">
        <v>36</v>
      </c>
      <c r="J161">
        <v>944.93</v>
      </c>
      <c r="K161">
        <v>7</v>
      </c>
      <c r="L161">
        <v>0</v>
      </c>
      <c r="M161">
        <v>236.23249999999999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13</v>
      </c>
      <c r="B163" t="s">
        <v>14</v>
      </c>
      <c r="C163" t="s">
        <v>15</v>
      </c>
      <c r="D163" t="s">
        <v>55</v>
      </c>
      <c r="E163" t="s">
        <v>56</v>
      </c>
      <c r="F163">
        <v>19134</v>
      </c>
      <c r="G163" t="s">
        <v>57</v>
      </c>
      <c r="H163" t="s">
        <v>35</v>
      </c>
      <c r="I163" t="s">
        <v>59</v>
      </c>
      <c r="J163">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28</v>
      </c>
      <c r="B176" t="s">
        <v>22</v>
      </c>
      <c r="C176" t="s">
        <v>15</v>
      </c>
      <c r="D176" t="s">
        <v>79</v>
      </c>
      <c r="E176" t="s">
        <v>65</v>
      </c>
      <c r="F176">
        <v>60623</v>
      </c>
      <c r="G176" t="s">
        <v>47</v>
      </c>
      <c r="H176" t="s">
        <v>26</v>
      </c>
      <c r="I176" t="s">
        <v>38</v>
      </c>
      <c r="J176">
        <v>52.448</v>
      </c>
      <c r="K176">
        <v>2</v>
      </c>
      <c r="L176">
        <v>0.8</v>
      </c>
      <c r="M176">
        <v>-131.12</v>
      </c>
    </row>
    <row r="177" spans="1:13" x14ac:dyDescent="0.3">
      <c r="A177" t="s">
        <v>28</v>
      </c>
      <c r="B177" t="s">
        <v>22</v>
      </c>
      <c r="C177" t="s">
        <v>15</v>
      </c>
      <c r="D177" t="s">
        <v>79</v>
      </c>
      <c r="E177" t="s">
        <v>65</v>
      </c>
      <c r="F177">
        <v>60623</v>
      </c>
      <c r="G177" t="s">
        <v>47</v>
      </c>
      <c r="H177" t="s">
        <v>26</v>
      </c>
      <c r="I177" t="s">
        <v>27</v>
      </c>
      <c r="J177">
        <v>20.16</v>
      </c>
      <c r="K177">
        <v>4</v>
      </c>
      <c r="L177">
        <v>0.2</v>
      </c>
      <c r="M177">
        <v>6.5519999999999996</v>
      </c>
    </row>
    <row r="178" spans="1:13" x14ac:dyDescent="0.3">
      <c r="A178" t="s">
        <v>13</v>
      </c>
      <c r="B178" t="s">
        <v>14</v>
      </c>
      <c r="C178" t="s">
        <v>15</v>
      </c>
      <c r="D178" t="s">
        <v>61</v>
      </c>
      <c r="E178" t="s">
        <v>46</v>
      </c>
      <c r="F178">
        <v>77036</v>
      </c>
      <c r="G178" t="s">
        <v>47</v>
      </c>
      <c r="H178" t="s">
        <v>26</v>
      </c>
      <c r="I178" t="s">
        <v>38</v>
      </c>
      <c r="J178">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
      <c r="A181" t="s">
        <v>28</v>
      </c>
      <c r="B181" t="s">
        <v>44</v>
      </c>
      <c r="C181" t="s">
        <v>15</v>
      </c>
      <c r="D181" t="s">
        <v>75</v>
      </c>
      <c r="E181" t="s">
        <v>76</v>
      </c>
      <c r="F181">
        <v>10009</v>
      </c>
      <c r="G181" t="s">
        <v>57</v>
      </c>
      <c r="H181" t="s">
        <v>26</v>
      </c>
      <c r="I181" t="s">
        <v>34</v>
      </c>
      <c r="J181">
        <v>3.28</v>
      </c>
      <c r="K181">
        <v>1</v>
      </c>
      <c r="L181">
        <v>0</v>
      </c>
      <c r="M181">
        <v>1.4104000000000001</v>
      </c>
    </row>
    <row r="182" spans="1:13" x14ac:dyDescent="0.3">
      <c r="A182" t="s">
        <v>13</v>
      </c>
      <c r="B182" t="s">
        <v>22</v>
      </c>
      <c r="C182" t="s">
        <v>15</v>
      </c>
      <c r="D182" t="s">
        <v>87</v>
      </c>
      <c r="E182" t="s">
        <v>65</v>
      </c>
      <c r="F182">
        <v>62521</v>
      </c>
      <c r="G182" t="s">
        <v>47</v>
      </c>
      <c r="H182" t="s">
        <v>26</v>
      </c>
      <c r="I182" t="s">
        <v>32</v>
      </c>
      <c r="J182">
        <v>24.815999999999999</v>
      </c>
      <c r="K182">
        <v>2</v>
      </c>
      <c r="L182">
        <v>0.2</v>
      </c>
      <c r="M182">
        <v>1.8612</v>
      </c>
    </row>
    <row r="183" spans="1:13" x14ac:dyDescent="0.3">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v>29</v>
      </c>
      <c r="K186">
        <v>2</v>
      </c>
      <c r="L186">
        <v>0</v>
      </c>
      <c r="M186">
        <v>7.25</v>
      </c>
    </row>
    <row r="187" spans="1:13" x14ac:dyDescent="0.3">
      <c r="A187" t="s">
        <v>28</v>
      </c>
      <c r="B187" t="s">
        <v>14</v>
      </c>
      <c r="C187" t="s">
        <v>15</v>
      </c>
      <c r="D187" t="s">
        <v>126</v>
      </c>
      <c r="E187" t="s">
        <v>127</v>
      </c>
      <c r="F187">
        <v>6824</v>
      </c>
      <c r="G187" t="s">
        <v>57</v>
      </c>
      <c r="H187" t="s">
        <v>26</v>
      </c>
      <c r="I187" t="s">
        <v>37</v>
      </c>
      <c r="J187">
        <v>7.16</v>
      </c>
      <c r="K187">
        <v>2</v>
      </c>
      <c r="L187">
        <v>0</v>
      </c>
      <c r="M187">
        <v>3.4367999999999999</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v>71.760000000000005</v>
      </c>
      <c r="K192">
        <v>6</v>
      </c>
      <c r="L192">
        <v>0</v>
      </c>
      <c r="M192">
        <v>20.0928</v>
      </c>
    </row>
    <row r="193" spans="1:13" x14ac:dyDescent="0.3">
      <c r="A193" t="s">
        <v>62</v>
      </c>
      <c r="B193" t="s">
        <v>44</v>
      </c>
      <c r="C193" t="s">
        <v>15</v>
      </c>
      <c r="D193" t="s">
        <v>75</v>
      </c>
      <c r="E193" t="s">
        <v>76</v>
      </c>
      <c r="F193">
        <v>10035</v>
      </c>
      <c r="G193" t="s">
        <v>57</v>
      </c>
      <c r="H193" t="s">
        <v>26</v>
      </c>
      <c r="I193" t="s">
        <v>41</v>
      </c>
      <c r="J193">
        <v>51.84</v>
      </c>
      <c r="K193">
        <v>8</v>
      </c>
      <c r="L193">
        <v>0</v>
      </c>
      <c r="M193">
        <v>24.883199999999999</v>
      </c>
    </row>
    <row r="194" spans="1:13" x14ac:dyDescent="0.3">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v>6.048</v>
      </c>
      <c r="K198">
        <v>3</v>
      </c>
      <c r="L198">
        <v>0.2</v>
      </c>
      <c r="M198">
        <v>1.5875999999999999</v>
      </c>
    </row>
    <row r="199" spans="1:13" x14ac:dyDescent="0.3">
      <c r="A199" t="s">
        <v>28</v>
      </c>
      <c r="B199" t="s">
        <v>44</v>
      </c>
      <c r="C199" t="s">
        <v>15</v>
      </c>
      <c r="D199" t="s">
        <v>131</v>
      </c>
      <c r="E199" t="s">
        <v>132</v>
      </c>
      <c r="F199">
        <v>7090</v>
      </c>
      <c r="G199" t="s">
        <v>57</v>
      </c>
      <c r="H199" t="s">
        <v>26</v>
      </c>
      <c r="I199" t="s">
        <v>32</v>
      </c>
      <c r="J199">
        <v>46.26</v>
      </c>
      <c r="K199">
        <v>3</v>
      </c>
      <c r="L199">
        <v>0</v>
      </c>
      <c r="M199">
        <v>12.0276</v>
      </c>
    </row>
    <row r="200" spans="1:13" x14ac:dyDescent="0.3">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v>83.92</v>
      </c>
      <c r="K208">
        <v>4</v>
      </c>
      <c r="L208">
        <v>0</v>
      </c>
      <c r="M208">
        <v>5.8743999999999996</v>
      </c>
    </row>
    <row r="209" spans="1:13" x14ac:dyDescent="0.3">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v>15.92</v>
      </c>
      <c r="K210">
        <v>4</v>
      </c>
      <c r="L210">
        <v>0</v>
      </c>
      <c r="M210">
        <v>7.4824000000000002</v>
      </c>
    </row>
    <row r="211" spans="1:13" x14ac:dyDescent="0.3">
      <c r="A211" t="s">
        <v>28</v>
      </c>
      <c r="B211" t="s">
        <v>14</v>
      </c>
      <c r="C211" t="s">
        <v>15</v>
      </c>
      <c r="D211" t="s">
        <v>137</v>
      </c>
      <c r="E211" t="s">
        <v>70</v>
      </c>
      <c r="F211">
        <v>48601</v>
      </c>
      <c r="G211" t="s">
        <v>47</v>
      </c>
      <c r="H211" t="s">
        <v>26</v>
      </c>
      <c r="I211" t="s">
        <v>77</v>
      </c>
      <c r="J211">
        <v>52.29</v>
      </c>
      <c r="K211">
        <v>9</v>
      </c>
      <c r="L211">
        <v>0</v>
      </c>
      <c r="M211">
        <v>16.209900000000001</v>
      </c>
    </row>
    <row r="212" spans="1:13" x14ac:dyDescent="0.3">
      <c r="A212" t="s">
        <v>28</v>
      </c>
      <c r="B212" t="s">
        <v>14</v>
      </c>
      <c r="C212" t="s">
        <v>15</v>
      </c>
      <c r="D212" t="s">
        <v>137</v>
      </c>
      <c r="E212" t="s">
        <v>70</v>
      </c>
      <c r="F212">
        <v>48601</v>
      </c>
      <c r="G212" t="s">
        <v>47</v>
      </c>
      <c r="H212" t="s">
        <v>26</v>
      </c>
      <c r="I212" t="s">
        <v>32</v>
      </c>
      <c r="J212">
        <v>91.99</v>
      </c>
      <c r="K212">
        <v>1</v>
      </c>
      <c r="L212">
        <v>0</v>
      </c>
      <c r="M212">
        <v>3.6796000000000002</v>
      </c>
    </row>
    <row r="213" spans="1:13" x14ac:dyDescent="0.3">
      <c r="A213" t="s">
        <v>13</v>
      </c>
      <c r="B213" t="s">
        <v>22</v>
      </c>
      <c r="C213" t="s">
        <v>15</v>
      </c>
      <c r="D213" t="s">
        <v>135</v>
      </c>
      <c r="E213" t="s">
        <v>46</v>
      </c>
      <c r="F213">
        <v>75220</v>
      </c>
      <c r="G213" t="s">
        <v>47</v>
      </c>
      <c r="H213" t="s">
        <v>35</v>
      </c>
      <c r="I213" t="s">
        <v>59</v>
      </c>
      <c r="J213">
        <v>20.8</v>
      </c>
      <c r="K213">
        <v>2</v>
      </c>
      <c r="L213">
        <v>0.2</v>
      </c>
      <c r="M213">
        <v>6.5</v>
      </c>
    </row>
    <row r="214" spans="1:13" x14ac:dyDescent="0.3">
      <c r="A214" t="s">
        <v>28</v>
      </c>
      <c r="B214" t="s">
        <v>22</v>
      </c>
      <c r="C214" t="s">
        <v>15</v>
      </c>
      <c r="D214" t="s">
        <v>138</v>
      </c>
      <c r="E214" t="s">
        <v>104</v>
      </c>
      <c r="F214">
        <v>44256</v>
      </c>
      <c r="G214" t="s">
        <v>57</v>
      </c>
      <c r="H214" t="s">
        <v>26</v>
      </c>
      <c r="I214" t="s">
        <v>27</v>
      </c>
      <c r="J214">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v>1188</v>
      </c>
      <c r="K217">
        <v>9</v>
      </c>
      <c r="L217">
        <v>0.7</v>
      </c>
      <c r="M217">
        <v>-950.4</v>
      </c>
    </row>
    <row r="218" spans="1:13" x14ac:dyDescent="0.3">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v>19.776</v>
      </c>
      <c r="K223">
        <v>4</v>
      </c>
      <c r="L223">
        <v>0.7</v>
      </c>
      <c r="M223">
        <v>-13.8432</v>
      </c>
    </row>
    <row r="224" spans="1:13" x14ac:dyDescent="0.3">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v>21.98</v>
      </c>
      <c r="K229">
        <v>1</v>
      </c>
      <c r="L229">
        <v>0</v>
      </c>
      <c r="M229">
        <v>0.2198</v>
      </c>
    </row>
    <row r="230" spans="1:13" x14ac:dyDescent="0.3">
      <c r="A230" t="s">
        <v>28</v>
      </c>
      <c r="B230" t="s">
        <v>14</v>
      </c>
      <c r="C230" t="s">
        <v>15</v>
      </c>
      <c r="D230" t="s">
        <v>90</v>
      </c>
      <c r="E230" t="s">
        <v>86</v>
      </c>
      <c r="F230">
        <v>38401</v>
      </c>
      <c r="G230" t="s">
        <v>18</v>
      </c>
      <c r="H230" t="s">
        <v>19</v>
      </c>
      <c r="I230" t="s">
        <v>21</v>
      </c>
      <c r="J230">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v>18.648</v>
      </c>
      <c r="K232">
        <v>7</v>
      </c>
      <c r="L232">
        <v>0.7</v>
      </c>
      <c r="M232">
        <v>-12.432</v>
      </c>
    </row>
    <row r="233" spans="1:13" x14ac:dyDescent="0.3">
      <c r="A233" t="s">
        <v>28</v>
      </c>
      <c r="B233" t="s">
        <v>44</v>
      </c>
      <c r="C233" t="s">
        <v>15</v>
      </c>
      <c r="D233" t="s">
        <v>141</v>
      </c>
      <c r="E233" t="s">
        <v>30</v>
      </c>
      <c r="F233">
        <v>33614</v>
      </c>
      <c r="G233" t="s">
        <v>18</v>
      </c>
      <c r="H233" t="s">
        <v>19</v>
      </c>
      <c r="I233" t="s">
        <v>31</v>
      </c>
      <c r="J233">
        <v>233.86</v>
      </c>
      <c r="K233">
        <v>2</v>
      </c>
      <c r="L233">
        <v>0.45</v>
      </c>
      <c r="M233">
        <v>-102.048</v>
      </c>
    </row>
    <row r="234" spans="1:13" x14ac:dyDescent="0.3">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v>5.3280000000000003</v>
      </c>
      <c r="K235">
        <v>2</v>
      </c>
      <c r="L235">
        <v>0.7</v>
      </c>
      <c r="M235">
        <v>-3.552</v>
      </c>
    </row>
    <row r="236" spans="1:13" x14ac:dyDescent="0.3">
      <c r="A236" t="s">
        <v>28</v>
      </c>
      <c r="B236" t="s">
        <v>44</v>
      </c>
      <c r="C236" t="s">
        <v>15</v>
      </c>
      <c r="D236" t="s">
        <v>141</v>
      </c>
      <c r="E236" t="s">
        <v>30</v>
      </c>
      <c r="F236">
        <v>33614</v>
      </c>
      <c r="G236" t="s">
        <v>18</v>
      </c>
      <c r="H236" t="s">
        <v>19</v>
      </c>
      <c r="I236" t="s">
        <v>33</v>
      </c>
      <c r="J236">
        <v>258.072</v>
      </c>
      <c r="K236">
        <v>3</v>
      </c>
      <c r="L236">
        <v>0.2</v>
      </c>
      <c r="M236">
        <v>0</v>
      </c>
    </row>
    <row r="237" spans="1:13" x14ac:dyDescent="0.3">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13</v>
      </c>
      <c r="B239" t="s">
        <v>14</v>
      </c>
      <c r="C239" t="s">
        <v>15</v>
      </c>
      <c r="D239" t="s">
        <v>79</v>
      </c>
      <c r="E239" t="s">
        <v>65</v>
      </c>
      <c r="F239">
        <v>60610</v>
      </c>
      <c r="G239" t="s">
        <v>47</v>
      </c>
      <c r="H239" t="s">
        <v>26</v>
      </c>
      <c r="I239" t="s">
        <v>41</v>
      </c>
      <c r="J239">
        <v>25.92</v>
      </c>
      <c r="K239">
        <v>5</v>
      </c>
      <c r="L239">
        <v>0.2</v>
      </c>
      <c r="M239">
        <v>9.3960000000000008</v>
      </c>
    </row>
    <row r="240" spans="1:13" x14ac:dyDescent="0.3">
      <c r="A240" t="s">
        <v>13</v>
      </c>
      <c r="B240" t="s">
        <v>14</v>
      </c>
      <c r="C240" t="s">
        <v>15</v>
      </c>
      <c r="D240" t="s">
        <v>79</v>
      </c>
      <c r="E240" t="s">
        <v>65</v>
      </c>
      <c r="F240">
        <v>60610</v>
      </c>
      <c r="G240" t="s">
        <v>47</v>
      </c>
      <c r="H240" t="s">
        <v>19</v>
      </c>
      <c r="I240" t="s">
        <v>33</v>
      </c>
      <c r="J240">
        <v>419.68</v>
      </c>
      <c r="K240">
        <v>5</v>
      </c>
      <c r="L240">
        <v>0.6</v>
      </c>
      <c r="M240">
        <v>-356.72800000000001</v>
      </c>
    </row>
    <row r="241" spans="1:13" x14ac:dyDescent="0.3">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v>4.0439999999999996</v>
      </c>
      <c r="K244">
        <v>3</v>
      </c>
      <c r="L244">
        <v>0.6</v>
      </c>
      <c r="M244">
        <v>-2.8308</v>
      </c>
    </row>
    <row r="245" spans="1:13" x14ac:dyDescent="0.3">
      <c r="A245" t="s">
        <v>13</v>
      </c>
      <c r="B245" t="s">
        <v>14</v>
      </c>
      <c r="C245" t="s">
        <v>15</v>
      </c>
      <c r="D245" t="s">
        <v>79</v>
      </c>
      <c r="E245" t="s">
        <v>65</v>
      </c>
      <c r="F245">
        <v>60610</v>
      </c>
      <c r="G245" t="s">
        <v>47</v>
      </c>
      <c r="H245" t="s">
        <v>26</v>
      </c>
      <c r="I245" t="s">
        <v>34</v>
      </c>
      <c r="J245">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v>2001.86</v>
      </c>
      <c r="K246">
        <v>7</v>
      </c>
      <c r="L246">
        <v>0</v>
      </c>
      <c r="M246">
        <v>580.5394</v>
      </c>
    </row>
    <row r="247" spans="1:13" x14ac:dyDescent="0.3">
      <c r="A247" t="s">
        <v>13</v>
      </c>
      <c r="B247" t="s">
        <v>44</v>
      </c>
      <c r="C247" t="s">
        <v>15</v>
      </c>
      <c r="D247" t="s">
        <v>143</v>
      </c>
      <c r="E247" t="s">
        <v>68</v>
      </c>
      <c r="F247">
        <v>55044</v>
      </c>
      <c r="G247" t="s">
        <v>47</v>
      </c>
      <c r="H247" t="s">
        <v>26</v>
      </c>
      <c r="I247" t="s">
        <v>32</v>
      </c>
      <c r="J247">
        <v>166.72</v>
      </c>
      <c r="K247">
        <v>2</v>
      </c>
      <c r="L247">
        <v>0</v>
      </c>
      <c r="M247">
        <v>41.68</v>
      </c>
    </row>
    <row r="248" spans="1:13" x14ac:dyDescent="0.3">
      <c r="A248" t="s">
        <v>13</v>
      </c>
      <c r="B248" t="s">
        <v>44</v>
      </c>
      <c r="C248" t="s">
        <v>15</v>
      </c>
      <c r="D248" t="s">
        <v>143</v>
      </c>
      <c r="E248" t="s">
        <v>68</v>
      </c>
      <c r="F248">
        <v>55044</v>
      </c>
      <c r="G248" t="s">
        <v>47</v>
      </c>
      <c r="H248" t="s">
        <v>26</v>
      </c>
      <c r="I248" t="s">
        <v>41</v>
      </c>
      <c r="J248">
        <v>47.88</v>
      </c>
      <c r="K248">
        <v>6</v>
      </c>
      <c r="L248">
        <v>0</v>
      </c>
      <c r="M248">
        <v>23.94</v>
      </c>
    </row>
    <row r="249" spans="1:13" x14ac:dyDescent="0.3">
      <c r="A249" t="s">
        <v>13</v>
      </c>
      <c r="B249" t="s">
        <v>44</v>
      </c>
      <c r="C249" t="s">
        <v>15</v>
      </c>
      <c r="D249" t="s">
        <v>143</v>
      </c>
      <c r="E249" t="s">
        <v>68</v>
      </c>
      <c r="F249">
        <v>55044</v>
      </c>
      <c r="G249" t="s">
        <v>47</v>
      </c>
      <c r="H249" t="s">
        <v>26</v>
      </c>
      <c r="I249" t="s">
        <v>38</v>
      </c>
      <c r="J249">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v>25.92</v>
      </c>
      <c r="K250">
        <v>4</v>
      </c>
      <c r="L250">
        <v>0</v>
      </c>
      <c r="M250">
        <v>12.441599999999999</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v>80.58</v>
      </c>
      <c r="K254">
        <v>6</v>
      </c>
      <c r="L254">
        <v>0</v>
      </c>
      <c r="M254">
        <v>22.5624</v>
      </c>
    </row>
    <row r="255" spans="1:13" x14ac:dyDescent="0.3">
      <c r="A255" t="s">
        <v>62</v>
      </c>
      <c r="B255" t="s">
        <v>14</v>
      </c>
      <c r="C255" t="s">
        <v>15</v>
      </c>
      <c r="D255" t="s">
        <v>75</v>
      </c>
      <c r="E255" t="s">
        <v>76</v>
      </c>
      <c r="F255">
        <v>10024</v>
      </c>
      <c r="G255" t="s">
        <v>57</v>
      </c>
      <c r="H255" t="s">
        <v>26</v>
      </c>
      <c r="I255" t="s">
        <v>60</v>
      </c>
      <c r="J255">
        <v>361.92</v>
      </c>
      <c r="K255">
        <v>4</v>
      </c>
      <c r="L255">
        <v>0</v>
      </c>
      <c r="M255">
        <v>162.864</v>
      </c>
    </row>
    <row r="256" spans="1:13" x14ac:dyDescent="0.3">
      <c r="A256" t="s">
        <v>28</v>
      </c>
      <c r="B256" t="s">
        <v>22</v>
      </c>
      <c r="C256" t="s">
        <v>15</v>
      </c>
      <c r="D256" t="s">
        <v>79</v>
      </c>
      <c r="E256" t="s">
        <v>65</v>
      </c>
      <c r="F256">
        <v>60623</v>
      </c>
      <c r="G256" t="s">
        <v>47</v>
      </c>
      <c r="H256" t="s">
        <v>19</v>
      </c>
      <c r="I256" t="s">
        <v>33</v>
      </c>
      <c r="J256">
        <v>12.132</v>
      </c>
      <c r="K256">
        <v>9</v>
      </c>
      <c r="L256">
        <v>0.6</v>
      </c>
      <c r="M256">
        <v>-8.4923999999999999</v>
      </c>
    </row>
    <row r="257" spans="1:13" x14ac:dyDescent="0.3">
      <c r="A257" t="s">
        <v>28</v>
      </c>
      <c r="B257" t="s">
        <v>22</v>
      </c>
      <c r="C257" t="s">
        <v>15</v>
      </c>
      <c r="D257" t="s">
        <v>79</v>
      </c>
      <c r="E257" t="s">
        <v>65</v>
      </c>
      <c r="F257">
        <v>60623</v>
      </c>
      <c r="G257" t="s">
        <v>47</v>
      </c>
      <c r="H257" t="s">
        <v>26</v>
      </c>
      <c r="I257" t="s">
        <v>32</v>
      </c>
      <c r="J257">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v>53.92</v>
      </c>
      <c r="K258">
        <v>5</v>
      </c>
      <c r="L258">
        <v>0.2</v>
      </c>
      <c r="M258">
        <v>4.0439999999999996</v>
      </c>
    </row>
    <row r="259" spans="1:13" x14ac:dyDescent="0.3">
      <c r="A259" t="s">
        <v>28</v>
      </c>
      <c r="B259" t="s">
        <v>22</v>
      </c>
      <c r="C259" t="s">
        <v>15</v>
      </c>
      <c r="D259" t="s">
        <v>79</v>
      </c>
      <c r="E259" t="s">
        <v>65</v>
      </c>
      <c r="F259">
        <v>60623</v>
      </c>
      <c r="G259" t="s">
        <v>47</v>
      </c>
      <c r="H259" t="s">
        <v>35</v>
      </c>
      <c r="I259" t="s">
        <v>36</v>
      </c>
      <c r="J259">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v>20.37</v>
      </c>
      <c r="K260">
        <v>3</v>
      </c>
      <c r="L260">
        <v>0</v>
      </c>
      <c r="M260">
        <v>6.9257999999999997</v>
      </c>
    </row>
    <row r="261" spans="1:13" x14ac:dyDescent="0.3">
      <c r="A261" t="s">
        <v>13</v>
      </c>
      <c r="B261" t="s">
        <v>14</v>
      </c>
      <c r="C261" t="s">
        <v>15</v>
      </c>
      <c r="D261" t="s">
        <v>75</v>
      </c>
      <c r="E261" t="s">
        <v>76</v>
      </c>
      <c r="F261">
        <v>10009</v>
      </c>
      <c r="G261" t="s">
        <v>57</v>
      </c>
      <c r="H261" t="s">
        <v>26</v>
      </c>
      <c r="I261" t="s">
        <v>32</v>
      </c>
      <c r="J261">
        <v>221.55</v>
      </c>
      <c r="K261">
        <v>3</v>
      </c>
      <c r="L261">
        <v>0</v>
      </c>
      <c r="M261">
        <v>6.6464999999999996</v>
      </c>
    </row>
    <row r="262" spans="1:13" x14ac:dyDescent="0.3">
      <c r="A262" t="s">
        <v>13</v>
      </c>
      <c r="B262" t="s">
        <v>14</v>
      </c>
      <c r="C262" t="s">
        <v>15</v>
      </c>
      <c r="D262" t="s">
        <v>75</v>
      </c>
      <c r="E262" t="s">
        <v>76</v>
      </c>
      <c r="F262">
        <v>10009</v>
      </c>
      <c r="G262" t="s">
        <v>57</v>
      </c>
      <c r="H262" t="s">
        <v>26</v>
      </c>
      <c r="I262" t="s">
        <v>37</v>
      </c>
      <c r="J262">
        <v>17.52</v>
      </c>
      <c r="K262">
        <v>5</v>
      </c>
      <c r="L262">
        <v>0.2</v>
      </c>
      <c r="M262">
        <v>6.1319999999999997</v>
      </c>
    </row>
    <row r="263" spans="1:13" x14ac:dyDescent="0.3">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v>7.56</v>
      </c>
      <c r="K269">
        <v>6</v>
      </c>
      <c r="L269">
        <v>0</v>
      </c>
      <c r="M269">
        <v>0.3024</v>
      </c>
    </row>
    <row r="270" spans="1:13" x14ac:dyDescent="0.3">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22</v>
      </c>
      <c r="C278" t="s">
        <v>15</v>
      </c>
      <c r="D278" t="s">
        <v>55</v>
      </c>
      <c r="E278" t="s">
        <v>56</v>
      </c>
      <c r="F278">
        <v>19140</v>
      </c>
      <c r="G278" t="s">
        <v>57</v>
      </c>
      <c r="H278" t="s">
        <v>26</v>
      </c>
      <c r="I278" t="s">
        <v>41</v>
      </c>
      <c r="J278">
        <v>11.648</v>
      </c>
      <c r="K278">
        <v>2</v>
      </c>
      <c r="L278">
        <v>0.2</v>
      </c>
      <c r="M278">
        <v>4.0768000000000004</v>
      </c>
    </row>
    <row r="279" spans="1:13" x14ac:dyDescent="0.3">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v>24.84</v>
      </c>
      <c r="K281">
        <v>3</v>
      </c>
      <c r="L281">
        <v>0.2</v>
      </c>
      <c r="M281">
        <v>8.6940000000000008</v>
      </c>
    </row>
    <row r="282" spans="1:13" x14ac:dyDescent="0.3">
      <c r="A282" t="s">
        <v>13</v>
      </c>
      <c r="B282" t="s">
        <v>14</v>
      </c>
      <c r="C282" t="s">
        <v>15</v>
      </c>
      <c r="D282" t="s">
        <v>61</v>
      </c>
      <c r="E282" t="s">
        <v>46</v>
      </c>
      <c r="F282">
        <v>77070</v>
      </c>
      <c r="G282" t="s">
        <v>47</v>
      </c>
      <c r="H282" t="s">
        <v>26</v>
      </c>
      <c r="I282" t="s">
        <v>37</v>
      </c>
      <c r="J282">
        <v>2.08</v>
      </c>
      <c r="K282">
        <v>5</v>
      </c>
      <c r="L282">
        <v>0.8</v>
      </c>
      <c r="M282">
        <v>-3.4319999999999999</v>
      </c>
    </row>
    <row r="283" spans="1:13" x14ac:dyDescent="0.3">
      <c r="A283" t="s">
        <v>13</v>
      </c>
      <c r="B283" t="s">
        <v>14</v>
      </c>
      <c r="C283" t="s">
        <v>15</v>
      </c>
      <c r="D283" t="s">
        <v>61</v>
      </c>
      <c r="E283" t="s">
        <v>46</v>
      </c>
      <c r="F283">
        <v>77070</v>
      </c>
      <c r="G283" t="s">
        <v>47</v>
      </c>
      <c r="H283" t="s">
        <v>35</v>
      </c>
      <c r="I283" t="s">
        <v>36</v>
      </c>
      <c r="J283">
        <v>1114.4000000000001</v>
      </c>
      <c r="K283">
        <v>7</v>
      </c>
      <c r="L283">
        <v>0.2</v>
      </c>
      <c r="M283">
        <v>376.11</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v>86.97</v>
      </c>
      <c r="K294">
        <v>3</v>
      </c>
      <c r="L294">
        <v>0.5</v>
      </c>
      <c r="M294">
        <v>-48.703200000000002</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152</v>
      </c>
      <c r="E300" t="s">
        <v>132</v>
      </c>
      <c r="F300">
        <v>7109</v>
      </c>
      <c r="G300" t="s">
        <v>57</v>
      </c>
      <c r="H300" t="s">
        <v>26</v>
      </c>
      <c r="I300" t="s">
        <v>41</v>
      </c>
      <c r="J300">
        <v>32.4</v>
      </c>
      <c r="K300">
        <v>5</v>
      </c>
      <c r="L300">
        <v>0</v>
      </c>
      <c r="M300">
        <v>15.552</v>
      </c>
    </row>
    <row r="301" spans="1:13" x14ac:dyDescent="0.3">
      <c r="A301" t="s">
        <v>28</v>
      </c>
      <c r="B301" t="s">
        <v>22</v>
      </c>
      <c r="C301" t="s">
        <v>15</v>
      </c>
      <c r="D301" t="s">
        <v>152</v>
      </c>
      <c r="E301" t="s">
        <v>132</v>
      </c>
      <c r="F301">
        <v>7109</v>
      </c>
      <c r="G301" t="s">
        <v>57</v>
      </c>
      <c r="H301" t="s">
        <v>26</v>
      </c>
      <c r="I301" t="s">
        <v>32</v>
      </c>
      <c r="J301">
        <v>1082.48</v>
      </c>
      <c r="K301">
        <v>8</v>
      </c>
      <c r="L301">
        <v>0</v>
      </c>
      <c r="M301">
        <v>10.8248</v>
      </c>
    </row>
    <row r="302" spans="1:13" x14ac:dyDescent="0.3">
      <c r="A302" t="s">
        <v>28</v>
      </c>
      <c r="B302" t="s">
        <v>22</v>
      </c>
      <c r="C302" t="s">
        <v>15</v>
      </c>
      <c r="D302" t="s">
        <v>152</v>
      </c>
      <c r="E302" t="s">
        <v>132</v>
      </c>
      <c r="F302">
        <v>7109</v>
      </c>
      <c r="G302" t="s">
        <v>57</v>
      </c>
      <c r="H302" t="s">
        <v>26</v>
      </c>
      <c r="I302" t="s">
        <v>41</v>
      </c>
      <c r="J302">
        <v>56.91</v>
      </c>
      <c r="K302">
        <v>3</v>
      </c>
      <c r="L302">
        <v>0</v>
      </c>
      <c r="M302">
        <v>27.316800000000001</v>
      </c>
    </row>
    <row r="303" spans="1:13" x14ac:dyDescent="0.3">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v>14.28</v>
      </c>
      <c r="K304">
        <v>1</v>
      </c>
      <c r="L304">
        <v>0</v>
      </c>
      <c r="M304">
        <v>6.5688000000000004</v>
      </c>
    </row>
    <row r="305" spans="1:13" x14ac:dyDescent="0.3">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v>26.8</v>
      </c>
      <c r="K306">
        <v>2</v>
      </c>
      <c r="L306">
        <v>0</v>
      </c>
      <c r="M306">
        <v>12.864000000000001</v>
      </c>
    </row>
    <row r="307" spans="1:13" x14ac:dyDescent="0.3">
      <c r="A307" t="s">
        <v>28</v>
      </c>
      <c r="B307" t="s">
        <v>22</v>
      </c>
      <c r="C307" t="s">
        <v>15</v>
      </c>
      <c r="D307" t="s">
        <v>153</v>
      </c>
      <c r="E307" t="s">
        <v>70</v>
      </c>
      <c r="F307">
        <v>48180</v>
      </c>
      <c r="G307" t="s">
        <v>47</v>
      </c>
      <c r="H307" t="s">
        <v>26</v>
      </c>
      <c r="I307" t="s">
        <v>34</v>
      </c>
      <c r="J307">
        <v>9.84</v>
      </c>
      <c r="K307">
        <v>3</v>
      </c>
      <c r="L307">
        <v>0</v>
      </c>
      <c r="M307">
        <v>2.8536000000000001</v>
      </c>
    </row>
    <row r="308" spans="1:13" x14ac:dyDescent="0.3">
      <c r="A308" t="s">
        <v>28</v>
      </c>
      <c r="B308" t="s">
        <v>44</v>
      </c>
      <c r="C308" t="s">
        <v>15</v>
      </c>
      <c r="D308" t="s">
        <v>154</v>
      </c>
      <c r="E308" t="s">
        <v>132</v>
      </c>
      <c r="F308">
        <v>8701</v>
      </c>
      <c r="G308" t="s">
        <v>57</v>
      </c>
      <c r="H308" t="s">
        <v>26</v>
      </c>
      <c r="I308" t="s">
        <v>37</v>
      </c>
      <c r="J308">
        <v>45.48</v>
      </c>
      <c r="K308">
        <v>3</v>
      </c>
      <c r="L308">
        <v>0</v>
      </c>
      <c r="M308">
        <v>20.9208</v>
      </c>
    </row>
    <row r="309" spans="1:13" x14ac:dyDescent="0.3">
      <c r="A309" t="s">
        <v>28</v>
      </c>
      <c r="B309" t="s">
        <v>44</v>
      </c>
      <c r="C309" t="s">
        <v>15</v>
      </c>
      <c r="D309" t="s">
        <v>154</v>
      </c>
      <c r="E309" t="s">
        <v>132</v>
      </c>
      <c r="F309">
        <v>8701</v>
      </c>
      <c r="G309" t="s">
        <v>57</v>
      </c>
      <c r="H309" t="s">
        <v>26</v>
      </c>
      <c r="I309" t="s">
        <v>34</v>
      </c>
      <c r="J309">
        <v>289.2</v>
      </c>
      <c r="K309">
        <v>6</v>
      </c>
      <c r="L309">
        <v>0</v>
      </c>
      <c r="M309">
        <v>83.867999999999995</v>
      </c>
    </row>
    <row r="310" spans="1:13" x14ac:dyDescent="0.3">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v>87.54</v>
      </c>
      <c r="K315">
        <v>3</v>
      </c>
      <c r="L315">
        <v>0</v>
      </c>
      <c r="M315">
        <v>37.642200000000003</v>
      </c>
    </row>
    <row r="316" spans="1:13" x14ac:dyDescent="0.3">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v>15.552</v>
      </c>
      <c r="K317">
        <v>3</v>
      </c>
      <c r="L317">
        <v>0.2</v>
      </c>
      <c r="M317">
        <v>5.4432</v>
      </c>
    </row>
    <row r="318" spans="1:13" x14ac:dyDescent="0.3">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v>3991.98</v>
      </c>
      <c r="K320">
        <v>2</v>
      </c>
      <c r="L320">
        <v>0</v>
      </c>
      <c r="M320">
        <v>1995.99</v>
      </c>
    </row>
    <row r="321" spans="1:13" x14ac:dyDescent="0.3">
      <c r="A321" t="s">
        <v>28</v>
      </c>
      <c r="B321" t="s">
        <v>44</v>
      </c>
      <c r="C321" t="s">
        <v>15</v>
      </c>
      <c r="D321" t="s">
        <v>75</v>
      </c>
      <c r="E321" t="s">
        <v>76</v>
      </c>
      <c r="F321">
        <v>10024</v>
      </c>
      <c r="G321" t="s">
        <v>57</v>
      </c>
      <c r="H321" t="s">
        <v>35</v>
      </c>
      <c r="I321" t="s">
        <v>36</v>
      </c>
      <c r="J321">
        <v>275.94</v>
      </c>
      <c r="K321">
        <v>6</v>
      </c>
      <c r="L321">
        <v>0</v>
      </c>
      <c r="M321">
        <v>80.022599999999997</v>
      </c>
    </row>
    <row r="322" spans="1:13" x14ac:dyDescent="0.3">
      <c r="A322" t="s">
        <v>28</v>
      </c>
      <c r="B322" t="s">
        <v>44</v>
      </c>
      <c r="C322" t="s">
        <v>15</v>
      </c>
      <c r="D322" t="s">
        <v>75</v>
      </c>
      <c r="E322" t="s">
        <v>76</v>
      </c>
      <c r="F322">
        <v>10024</v>
      </c>
      <c r="G322" t="s">
        <v>57</v>
      </c>
      <c r="H322" t="s">
        <v>35</v>
      </c>
      <c r="I322" t="s">
        <v>59</v>
      </c>
      <c r="J322">
        <v>360</v>
      </c>
      <c r="K322">
        <v>4</v>
      </c>
      <c r="L322">
        <v>0</v>
      </c>
      <c r="M322">
        <v>129.6</v>
      </c>
    </row>
    <row r="323" spans="1:13" x14ac:dyDescent="0.3">
      <c r="A323" t="s">
        <v>28</v>
      </c>
      <c r="B323" t="s">
        <v>44</v>
      </c>
      <c r="C323" t="s">
        <v>15</v>
      </c>
      <c r="D323" t="s">
        <v>75</v>
      </c>
      <c r="E323" t="s">
        <v>76</v>
      </c>
      <c r="F323">
        <v>10024</v>
      </c>
      <c r="G323" t="s">
        <v>57</v>
      </c>
      <c r="H323" t="s">
        <v>26</v>
      </c>
      <c r="I323" t="s">
        <v>32</v>
      </c>
      <c r="J323">
        <v>43.57</v>
      </c>
      <c r="K323">
        <v>1</v>
      </c>
      <c r="L323">
        <v>0</v>
      </c>
      <c r="M323">
        <v>13.071</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v>82.8</v>
      </c>
      <c r="K333">
        <v>2</v>
      </c>
      <c r="L333">
        <v>0.4</v>
      </c>
      <c r="M333">
        <v>-20.7</v>
      </c>
    </row>
    <row r="334" spans="1:13" x14ac:dyDescent="0.3">
      <c r="A334" t="s">
        <v>13</v>
      </c>
      <c r="B334" t="s">
        <v>14</v>
      </c>
      <c r="C334" t="s">
        <v>15</v>
      </c>
      <c r="D334" t="s">
        <v>55</v>
      </c>
      <c r="E334" t="s">
        <v>56</v>
      </c>
      <c r="F334">
        <v>19134</v>
      </c>
      <c r="G334" t="s">
        <v>57</v>
      </c>
      <c r="H334" t="s">
        <v>26</v>
      </c>
      <c r="I334" t="s">
        <v>37</v>
      </c>
      <c r="J334">
        <v>20.724</v>
      </c>
      <c r="K334">
        <v>2</v>
      </c>
      <c r="L334">
        <v>0.7</v>
      </c>
      <c r="M334">
        <v>-13.816000000000001</v>
      </c>
    </row>
    <row r="335" spans="1:13" x14ac:dyDescent="0.3">
      <c r="A335" t="s">
        <v>13</v>
      </c>
      <c r="B335" t="s">
        <v>14</v>
      </c>
      <c r="C335" t="s">
        <v>15</v>
      </c>
      <c r="D335" t="s">
        <v>55</v>
      </c>
      <c r="E335" t="s">
        <v>56</v>
      </c>
      <c r="F335">
        <v>19134</v>
      </c>
      <c r="G335" t="s">
        <v>57</v>
      </c>
      <c r="H335" t="s">
        <v>26</v>
      </c>
      <c r="I335" t="s">
        <v>37</v>
      </c>
      <c r="J335">
        <v>4.8959999999999999</v>
      </c>
      <c r="K335">
        <v>3</v>
      </c>
      <c r="L335">
        <v>0.7</v>
      </c>
      <c r="M335">
        <v>-3.4272</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v>509.97</v>
      </c>
      <c r="K343">
        <v>10</v>
      </c>
      <c r="L343">
        <v>0.7</v>
      </c>
      <c r="M343">
        <v>-407.976</v>
      </c>
    </row>
    <row r="344" spans="1:13" x14ac:dyDescent="0.3">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v>88.8</v>
      </c>
      <c r="K346">
        <v>4</v>
      </c>
      <c r="L346">
        <v>0.2</v>
      </c>
      <c r="M346">
        <v>-2.2200000000000002</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v>7.56</v>
      </c>
      <c r="K348">
        <v>3</v>
      </c>
      <c r="L348">
        <v>0</v>
      </c>
      <c r="M348">
        <v>3.0996000000000001</v>
      </c>
    </row>
    <row r="349" spans="1:13" x14ac:dyDescent="0.3">
      <c r="A349" t="s">
        <v>28</v>
      </c>
      <c r="B349" t="s">
        <v>14</v>
      </c>
      <c r="C349" t="s">
        <v>15</v>
      </c>
      <c r="D349" t="s">
        <v>165</v>
      </c>
      <c r="E349" t="s">
        <v>166</v>
      </c>
      <c r="F349">
        <v>1852</v>
      </c>
      <c r="G349" t="s">
        <v>57</v>
      </c>
      <c r="H349" t="s">
        <v>26</v>
      </c>
      <c r="I349" t="s">
        <v>41</v>
      </c>
      <c r="J349">
        <v>24.56</v>
      </c>
      <c r="K349">
        <v>2</v>
      </c>
      <c r="L349">
        <v>0</v>
      </c>
      <c r="M349">
        <v>11.543200000000001</v>
      </c>
    </row>
    <row r="350" spans="1:13" x14ac:dyDescent="0.3">
      <c r="A350" t="s">
        <v>28</v>
      </c>
      <c r="B350" t="s">
        <v>14</v>
      </c>
      <c r="C350" t="s">
        <v>15</v>
      </c>
      <c r="D350" t="s">
        <v>165</v>
      </c>
      <c r="E350" t="s">
        <v>166</v>
      </c>
      <c r="F350">
        <v>1852</v>
      </c>
      <c r="G350" t="s">
        <v>57</v>
      </c>
      <c r="H350" t="s">
        <v>26</v>
      </c>
      <c r="I350" t="s">
        <v>34</v>
      </c>
      <c r="J350">
        <v>12.96</v>
      </c>
      <c r="K350">
        <v>2</v>
      </c>
      <c r="L350">
        <v>0</v>
      </c>
      <c r="M350">
        <v>4.1471999999999998</v>
      </c>
    </row>
    <row r="351" spans="1:13" x14ac:dyDescent="0.3">
      <c r="A351" t="s">
        <v>62</v>
      </c>
      <c r="B351" t="s">
        <v>44</v>
      </c>
      <c r="C351" t="s">
        <v>15</v>
      </c>
      <c r="D351" t="s">
        <v>75</v>
      </c>
      <c r="E351" t="s">
        <v>76</v>
      </c>
      <c r="F351">
        <v>10009</v>
      </c>
      <c r="G351" t="s">
        <v>57</v>
      </c>
      <c r="H351" t="s">
        <v>35</v>
      </c>
      <c r="I351" t="s">
        <v>59</v>
      </c>
      <c r="J351">
        <v>6.79</v>
      </c>
      <c r="K351">
        <v>1</v>
      </c>
      <c r="L351">
        <v>0</v>
      </c>
      <c r="M351">
        <v>2.3086000000000002</v>
      </c>
    </row>
    <row r="352" spans="1:13" x14ac:dyDescent="0.3">
      <c r="A352" t="s">
        <v>62</v>
      </c>
      <c r="B352" t="s">
        <v>44</v>
      </c>
      <c r="C352" t="s">
        <v>15</v>
      </c>
      <c r="D352" t="s">
        <v>75</v>
      </c>
      <c r="E352" t="s">
        <v>76</v>
      </c>
      <c r="F352">
        <v>10009</v>
      </c>
      <c r="G352" t="s">
        <v>57</v>
      </c>
      <c r="H352" t="s">
        <v>26</v>
      </c>
      <c r="I352" t="s">
        <v>41</v>
      </c>
      <c r="J352">
        <v>24.56</v>
      </c>
      <c r="K352">
        <v>2</v>
      </c>
      <c r="L352">
        <v>0</v>
      </c>
      <c r="M352">
        <v>11.543200000000001</v>
      </c>
    </row>
    <row r="353" spans="1:13" x14ac:dyDescent="0.3">
      <c r="A353" t="s">
        <v>62</v>
      </c>
      <c r="B353" t="s">
        <v>44</v>
      </c>
      <c r="C353" t="s">
        <v>15</v>
      </c>
      <c r="D353" t="s">
        <v>75</v>
      </c>
      <c r="E353" t="s">
        <v>76</v>
      </c>
      <c r="F353">
        <v>10009</v>
      </c>
      <c r="G353" t="s">
        <v>57</v>
      </c>
      <c r="H353" t="s">
        <v>26</v>
      </c>
      <c r="I353" t="s">
        <v>37</v>
      </c>
      <c r="J353">
        <v>3.048</v>
      </c>
      <c r="K353">
        <v>1</v>
      </c>
      <c r="L353">
        <v>0.2</v>
      </c>
      <c r="M353">
        <v>1.0668</v>
      </c>
    </row>
    <row r="354" spans="1:13" x14ac:dyDescent="0.3">
      <c r="A354" t="s">
        <v>62</v>
      </c>
      <c r="B354" t="s">
        <v>44</v>
      </c>
      <c r="C354" t="s">
        <v>15</v>
      </c>
      <c r="D354" t="s">
        <v>75</v>
      </c>
      <c r="E354" t="s">
        <v>76</v>
      </c>
      <c r="F354">
        <v>10009</v>
      </c>
      <c r="G354" t="s">
        <v>57</v>
      </c>
      <c r="H354" t="s">
        <v>26</v>
      </c>
      <c r="I354" t="s">
        <v>41</v>
      </c>
      <c r="J354">
        <v>49.12</v>
      </c>
      <c r="K354">
        <v>4</v>
      </c>
      <c r="L354">
        <v>0</v>
      </c>
      <c r="M354">
        <v>23.086400000000001</v>
      </c>
    </row>
    <row r="355" spans="1:13" x14ac:dyDescent="0.3">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v>8.26</v>
      </c>
      <c r="K357">
        <v>2</v>
      </c>
      <c r="L357">
        <v>0</v>
      </c>
      <c r="M357">
        <v>3.7995999999999999</v>
      </c>
    </row>
    <row r="358" spans="1:13" x14ac:dyDescent="0.3">
      <c r="A358" t="s">
        <v>28</v>
      </c>
      <c r="B358" t="s">
        <v>14</v>
      </c>
      <c r="C358" t="s">
        <v>15</v>
      </c>
      <c r="D358" t="s">
        <v>75</v>
      </c>
      <c r="E358" t="s">
        <v>76</v>
      </c>
      <c r="F358">
        <v>10035</v>
      </c>
      <c r="G358" t="s">
        <v>57</v>
      </c>
      <c r="H358" t="s">
        <v>26</v>
      </c>
      <c r="I358" t="s">
        <v>34</v>
      </c>
      <c r="J358">
        <v>17.04</v>
      </c>
      <c r="K358">
        <v>4</v>
      </c>
      <c r="L358">
        <v>0</v>
      </c>
      <c r="M358">
        <v>6.9863999999999997</v>
      </c>
    </row>
    <row r="359" spans="1:13" x14ac:dyDescent="0.3">
      <c r="A359" t="s">
        <v>28</v>
      </c>
      <c r="B359" t="s">
        <v>14</v>
      </c>
      <c r="C359" t="s">
        <v>15</v>
      </c>
      <c r="D359" t="s">
        <v>75</v>
      </c>
      <c r="E359" t="s">
        <v>76</v>
      </c>
      <c r="F359">
        <v>10035</v>
      </c>
      <c r="G359" t="s">
        <v>57</v>
      </c>
      <c r="H359" t="s">
        <v>26</v>
      </c>
      <c r="I359" t="s">
        <v>41</v>
      </c>
      <c r="J359">
        <v>34.4</v>
      </c>
      <c r="K359">
        <v>5</v>
      </c>
      <c r="L359">
        <v>0</v>
      </c>
      <c r="M359">
        <v>15.824</v>
      </c>
    </row>
    <row r="360" spans="1:13" x14ac:dyDescent="0.3">
      <c r="A360" t="s">
        <v>28</v>
      </c>
      <c r="B360" t="s">
        <v>22</v>
      </c>
      <c r="C360" t="s">
        <v>15</v>
      </c>
      <c r="D360" t="s">
        <v>99</v>
      </c>
      <c r="E360" t="s">
        <v>40</v>
      </c>
      <c r="F360">
        <v>28205</v>
      </c>
      <c r="G360" t="s">
        <v>18</v>
      </c>
      <c r="H360" t="s">
        <v>26</v>
      </c>
      <c r="I360" t="s">
        <v>41</v>
      </c>
      <c r="J360">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v>647.84</v>
      </c>
      <c r="K361">
        <v>8</v>
      </c>
      <c r="L361">
        <v>0</v>
      </c>
      <c r="M361">
        <v>168.4384</v>
      </c>
    </row>
    <row r="362" spans="1:13" x14ac:dyDescent="0.3">
      <c r="A362" t="s">
        <v>62</v>
      </c>
      <c r="B362" t="s">
        <v>22</v>
      </c>
      <c r="C362" t="s">
        <v>15</v>
      </c>
      <c r="D362" t="s">
        <v>103</v>
      </c>
      <c r="E362" t="s">
        <v>167</v>
      </c>
      <c r="F362">
        <v>31907</v>
      </c>
      <c r="G362" t="s">
        <v>18</v>
      </c>
      <c r="H362" t="s">
        <v>26</v>
      </c>
      <c r="I362" t="s">
        <v>27</v>
      </c>
      <c r="J362">
        <v>20.7</v>
      </c>
      <c r="K362">
        <v>2</v>
      </c>
      <c r="L362">
        <v>0</v>
      </c>
      <c r="M362">
        <v>9.9359999999999999</v>
      </c>
    </row>
    <row r="363" spans="1:13" x14ac:dyDescent="0.3">
      <c r="A363" t="s">
        <v>28</v>
      </c>
      <c r="B363" t="s">
        <v>14</v>
      </c>
      <c r="C363" t="s">
        <v>15</v>
      </c>
      <c r="D363" t="s">
        <v>75</v>
      </c>
      <c r="E363" t="s">
        <v>76</v>
      </c>
      <c r="F363">
        <v>10009</v>
      </c>
      <c r="G363" t="s">
        <v>57</v>
      </c>
      <c r="H363" t="s">
        <v>26</v>
      </c>
      <c r="I363" t="s">
        <v>27</v>
      </c>
      <c r="J363">
        <v>20.7</v>
      </c>
      <c r="K363">
        <v>2</v>
      </c>
      <c r="L363">
        <v>0</v>
      </c>
      <c r="M363">
        <v>9.9359999999999999</v>
      </c>
    </row>
    <row r="364" spans="1:13" x14ac:dyDescent="0.3">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v>5.56</v>
      </c>
      <c r="K365">
        <v>2</v>
      </c>
      <c r="L365">
        <v>0</v>
      </c>
      <c r="M365">
        <v>1.4456</v>
      </c>
    </row>
    <row r="366" spans="1:13" x14ac:dyDescent="0.3">
      <c r="A366" t="s">
        <v>28</v>
      </c>
      <c r="B366" t="s">
        <v>14</v>
      </c>
      <c r="C366" t="s">
        <v>15</v>
      </c>
      <c r="D366" t="s">
        <v>75</v>
      </c>
      <c r="E366" t="s">
        <v>76</v>
      </c>
      <c r="F366">
        <v>10009</v>
      </c>
      <c r="G366" t="s">
        <v>57</v>
      </c>
      <c r="H366" t="s">
        <v>19</v>
      </c>
      <c r="I366" t="s">
        <v>33</v>
      </c>
      <c r="J366">
        <v>47.12</v>
      </c>
      <c r="K366">
        <v>8</v>
      </c>
      <c r="L366">
        <v>0</v>
      </c>
      <c r="M366">
        <v>20.732800000000001</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v>23.2</v>
      </c>
      <c r="K368">
        <v>4</v>
      </c>
      <c r="L368">
        <v>0</v>
      </c>
      <c r="M368">
        <v>10.44</v>
      </c>
    </row>
    <row r="369" spans="1:13" x14ac:dyDescent="0.3">
      <c r="A369" t="s">
        <v>168</v>
      </c>
      <c r="B369" t="s">
        <v>22</v>
      </c>
      <c r="C369" t="s">
        <v>15</v>
      </c>
      <c r="D369" t="s">
        <v>169</v>
      </c>
      <c r="E369" t="s">
        <v>127</v>
      </c>
      <c r="F369">
        <v>6040</v>
      </c>
      <c r="G369" t="s">
        <v>57</v>
      </c>
      <c r="H369" t="s">
        <v>26</v>
      </c>
      <c r="I369" t="s">
        <v>110</v>
      </c>
      <c r="J369">
        <v>7.36</v>
      </c>
      <c r="K369">
        <v>2</v>
      </c>
      <c r="L369">
        <v>0</v>
      </c>
      <c r="M369">
        <v>0.1472</v>
      </c>
    </row>
    <row r="370" spans="1:13" x14ac:dyDescent="0.3">
      <c r="A370" t="s">
        <v>168</v>
      </c>
      <c r="B370" t="s">
        <v>22</v>
      </c>
      <c r="C370" t="s">
        <v>15</v>
      </c>
      <c r="D370" t="s">
        <v>169</v>
      </c>
      <c r="E370" t="s">
        <v>127</v>
      </c>
      <c r="F370">
        <v>6040</v>
      </c>
      <c r="G370" t="s">
        <v>57</v>
      </c>
      <c r="H370" t="s">
        <v>26</v>
      </c>
      <c r="I370" t="s">
        <v>32</v>
      </c>
      <c r="J370">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v>25.92</v>
      </c>
      <c r="K372">
        <v>5</v>
      </c>
      <c r="L372">
        <v>0.2</v>
      </c>
      <c r="M372">
        <v>9.3960000000000008</v>
      </c>
    </row>
    <row r="373" spans="1:13" x14ac:dyDescent="0.3">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62</v>
      </c>
      <c r="B378" t="s">
        <v>22</v>
      </c>
      <c r="C378" t="s">
        <v>15</v>
      </c>
      <c r="D378" t="s">
        <v>172</v>
      </c>
      <c r="E378" t="s">
        <v>65</v>
      </c>
      <c r="F378">
        <v>62301</v>
      </c>
      <c r="G378" t="s">
        <v>47</v>
      </c>
      <c r="H378" t="s">
        <v>26</v>
      </c>
      <c r="I378" t="s">
        <v>41</v>
      </c>
      <c r="J378">
        <v>99.135999999999996</v>
      </c>
      <c r="K378">
        <v>4</v>
      </c>
      <c r="L378">
        <v>0.2</v>
      </c>
      <c r="M378">
        <v>30.98</v>
      </c>
    </row>
    <row r="379" spans="1:13" x14ac:dyDescent="0.3">
      <c r="A379" t="s">
        <v>28</v>
      </c>
      <c r="B379" t="s">
        <v>22</v>
      </c>
      <c r="C379" t="s">
        <v>15</v>
      </c>
      <c r="D379" t="s">
        <v>115</v>
      </c>
      <c r="E379" t="s">
        <v>166</v>
      </c>
      <c r="F379">
        <v>2038</v>
      </c>
      <c r="G379" t="s">
        <v>57</v>
      </c>
      <c r="H379" t="s">
        <v>19</v>
      </c>
      <c r="I379" t="s">
        <v>31</v>
      </c>
      <c r="J379">
        <v>1488.424</v>
      </c>
      <c r="K379">
        <v>7</v>
      </c>
      <c r="L379">
        <v>0.3</v>
      </c>
      <c r="M379">
        <v>-297.6848</v>
      </c>
    </row>
    <row r="380" spans="1:13" x14ac:dyDescent="0.3">
      <c r="A380" t="s">
        <v>28</v>
      </c>
      <c r="B380" t="s">
        <v>14</v>
      </c>
      <c r="C380" t="s">
        <v>15</v>
      </c>
      <c r="D380" t="s">
        <v>61</v>
      </c>
      <c r="E380" t="s">
        <v>46</v>
      </c>
      <c r="F380">
        <v>77095</v>
      </c>
      <c r="G380" t="s">
        <v>47</v>
      </c>
      <c r="H380" t="s">
        <v>26</v>
      </c>
      <c r="I380" t="s">
        <v>38</v>
      </c>
      <c r="J380">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v>12.176</v>
      </c>
      <c r="K382">
        <v>4</v>
      </c>
      <c r="L382">
        <v>0.8</v>
      </c>
      <c r="M382">
        <v>-18.872800000000002</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v>41.9</v>
      </c>
      <c r="K385">
        <v>2</v>
      </c>
      <c r="L385">
        <v>0</v>
      </c>
      <c r="M385">
        <v>8.7989999999999995</v>
      </c>
    </row>
    <row r="386" spans="1:13" x14ac:dyDescent="0.3">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v>482.34</v>
      </c>
      <c r="K388">
        <v>4</v>
      </c>
      <c r="L388">
        <v>0.7</v>
      </c>
      <c r="M388">
        <v>-337.63799999999998</v>
      </c>
    </row>
    <row r="389" spans="1:13" x14ac:dyDescent="0.3">
      <c r="A389" t="s">
        <v>28</v>
      </c>
      <c r="B389" t="s">
        <v>22</v>
      </c>
      <c r="C389" t="s">
        <v>15</v>
      </c>
      <c r="D389" t="s">
        <v>55</v>
      </c>
      <c r="E389" t="s">
        <v>56</v>
      </c>
      <c r="F389">
        <v>19140</v>
      </c>
      <c r="G389" t="s">
        <v>57</v>
      </c>
      <c r="H389" t="s">
        <v>19</v>
      </c>
      <c r="I389" t="s">
        <v>33</v>
      </c>
      <c r="J389">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
      <c r="A391" t="s">
        <v>28</v>
      </c>
      <c r="B391" t="s">
        <v>14</v>
      </c>
      <c r="C391" t="s">
        <v>15</v>
      </c>
      <c r="D391" t="s">
        <v>75</v>
      </c>
      <c r="E391" t="s">
        <v>76</v>
      </c>
      <c r="F391">
        <v>10009</v>
      </c>
      <c r="G391" t="s">
        <v>57</v>
      </c>
      <c r="H391" t="s">
        <v>26</v>
      </c>
      <c r="I391" t="s">
        <v>37</v>
      </c>
      <c r="J391">
        <v>23.36</v>
      </c>
      <c r="K391">
        <v>4</v>
      </c>
      <c r="L391">
        <v>0.2</v>
      </c>
      <c r="M391">
        <v>7.8840000000000003</v>
      </c>
    </row>
    <row r="392" spans="1:13" x14ac:dyDescent="0.3">
      <c r="A392" t="s">
        <v>28</v>
      </c>
      <c r="B392" t="s">
        <v>14</v>
      </c>
      <c r="C392" t="s">
        <v>15</v>
      </c>
      <c r="D392" t="s">
        <v>75</v>
      </c>
      <c r="E392" t="s">
        <v>76</v>
      </c>
      <c r="F392">
        <v>10009</v>
      </c>
      <c r="G392" t="s">
        <v>57</v>
      </c>
      <c r="H392" t="s">
        <v>35</v>
      </c>
      <c r="I392" t="s">
        <v>59</v>
      </c>
      <c r="J392">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v>12.462</v>
      </c>
      <c r="K395">
        <v>3</v>
      </c>
      <c r="L395">
        <v>0.8</v>
      </c>
      <c r="M395">
        <v>-20.5623</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v>49.96</v>
      </c>
      <c r="K397">
        <v>2</v>
      </c>
      <c r="L397">
        <v>0</v>
      </c>
      <c r="M397">
        <v>9.4923999999999999</v>
      </c>
    </row>
    <row r="398" spans="1:13" x14ac:dyDescent="0.3">
      <c r="A398" t="s">
        <v>13</v>
      </c>
      <c r="B398" t="s">
        <v>22</v>
      </c>
      <c r="C398" t="s">
        <v>15</v>
      </c>
      <c r="D398" t="s">
        <v>178</v>
      </c>
      <c r="E398" t="s">
        <v>179</v>
      </c>
      <c r="F398">
        <v>2886</v>
      </c>
      <c r="G398" t="s">
        <v>57</v>
      </c>
      <c r="H398" t="s">
        <v>26</v>
      </c>
      <c r="I398" t="s">
        <v>41</v>
      </c>
      <c r="J398">
        <v>12.96</v>
      </c>
      <c r="K398">
        <v>2</v>
      </c>
      <c r="L398">
        <v>0</v>
      </c>
      <c r="M398">
        <v>6.2207999999999997</v>
      </c>
    </row>
    <row r="399" spans="1:13" x14ac:dyDescent="0.3">
      <c r="A399" t="s">
        <v>28</v>
      </c>
      <c r="B399" t="s">
        <v>44</v>
      </c>
      <c r="C399" t="s">
        <v>15</v>
      </c>
      <c r="D399" t="s">
        <v>84</v>
      </c>
      <c r="E399" t="s">
        <v>70</v>
      </c>
      <c r="F399">
        <v>49201</v>
      </c>
      <c r="G399" t="s">
        <v>47</v>
      </c>
      <c r="H399" t="s">
        <v>26</v>
      </c>
      <c r="I399" t="s">
        <v>110</v>
      </c>
      <c r="J399">
        <v>70.12</v>
      </c>
      <c r="K399">
        <v>4</v>
      </c>
      <c r="L399">
        <v>0</v>
      </c>
      <c r="M399">
        <v>21.036000000000001</v>
      </c>
    </row>
    <row r="400" spans="1:13" x14ac:dyDescent="0.3">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28</v>
      </c>
      <c r="B420" t="s">
        <v>22</v>
      </c>
      <c r="C420" t="s">
        <v>15</v>
      </c>
      <c r="D420" t="s">
        <v>182</v>
      </c>
      <c r="E420" t="s">
        <v>17</v>
      </c>
      <c r="F420">
        <v>40475</v>
      </c>
      <c r="G420" t="s">
        <v>18</v>
      </c>
      <c r="H420" t="s">
        <v>26</v>
      </c>
      <c r="I420" t="s">
        <v>41</v>
      </c>
      <c r="J420">
        <v>5.78</v>
      </c>
      <c r="K420">
        <v>1</v>
      </c>
      <c r="L420">
        <v>0</v>
      </c>
      <c r="M420">
        <v>2.8321999999999998</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v>56.56</v>
      </c>
      <c r="K424">
        <v>4</v>
      </c>
      <c r="L424">
        <v>0</v>
      </c>
      <c r="M424">
        <v>14.7056</v>
      </c>
    </row>
    <row r="425" spans="1:13" x14ac:dyDescent="0.3">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v>866.4</v>
      </c>
      <c r="K426">
        <v>4</v>
      </c>
      <c r="L426">
        <v>0</v>
      </c>
      <c r="M426">
        <v>225.26400000000001</v>
      </c>
    </row>
    <row r="427" spans="1:13" x14ac:dyDescent="0.3">
      <c r="A427" t="s">
        <v>13</v>
      </c>
      <c r="B427" t="s">
        <v>22</v>
      </c>
      <c r="C427" t="s">
        <v>15</v>
      </c>
      <c r="D427" t="s">
        <v>186</v>
      </c>
      <c r="E427" t="s">
        <v>70</v>
      </c>
      <c r="F427">
        <v>48187</v>
      </c>
      <c r="G427" t="s">
        <v>47</v>
      </c>
      <c r="H427" t="s">
        <v>19</v>
      </c>
      <c r="I427" t="s">
        <v>33</v>
      </c>
      <c r="J427">
        <v>28.4</v>
      </c>
      <c r="K427">
        <v>2</v>
      </c>
      <c r="L427">
        <v>0</v>
      </c>
      <c r="M427">
        <v>11.076000000000001</v>
      </c>
    </row>
    <row r="428" spans="1:13" x14ac:dyDescent="0.3">
      <c r="A428" t="s">
        <v>13</v>
      </c>
      <c r="B428" t="s">
        <v>22</v>
      </c>
      <c r="C428" t="s">
        <v>15</v>
      </c>
      <c r="D428" t="s">
        <v>186</v>
      </c>
      <c r="E428" t="s">
        <v>70</v>
      </c>
      <c r="F428">
        <v>48187</v>
      </c>
      <c r="G428" t="s">
        <v>47</v>
      </c>
      <c r="H428" t="s">
        <v>26</v>
      </c>
      <c r="I428" t="s">
        <v>37</v>
      </c>
      <c r="J428">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v>714.3</v>
      </c>
      <c r="K435">
        <v>5</v>
      </c>
      <c r="L435">
        <v>0</v>
      </c>
      <c r="M435">
        <v>207.14699999999999</v>
      </c>
    </row>
    <row r="436" spans="1:13" x14ac:dyDescent="0.3">
      <c r="A436" t="s">
        <v>28</v>
      </c>
      <c r="B436" t="s">
        <v>14</v>
      </c>
      <c r="C436" t="s">
        <v>15</v>
      </c>
      <c r="D436" t="s">
        <v>189</v>
      </c>
      <c r="E436" t="s">
        <v>30</v>
      </c>
      <c r="F436">
        <v>32216</v>
      </c>
      <c r="G436" t="s">
        <v>18</v>
      </c>
      <c r="H436" t="s">
        <v>26</v>
      </c>
      <c r="I436" t="s">
        <v>37</v>
      </c>
      <c r="J436">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v>247.8</v>
      </c>
      <c r="K437">
        <v>5</v>
      </c>
      <c r="L437">
        <v>0.2</v>
      </c>
      <c r="M437">
        <v>-18.585000000000001</v>
      </c>
    </row>
    <row r="438" spans="1:13" x14ac:dyDescent="0.3">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v>31.872</v>
      </c>
      <c r="K440">
        <v>8</v>
      </c>
      <c r="L440">
        <v>0.2</v>
      </c>
      <c r="M440">
        <v>11.553599999999999</v>
      </c>
    </row>
    <row r="441" spans="1:13" x14ac:dyDescent="0.3">
      <c r="A441" t="s">
        <v>13</v>
      </c>
      <c r="B441" t="s">
        <v>22</v>
      </c>
      <c r="C441" t="s">
        <v>15</v>
      </c>
      <c r="D441" t="s">
        <v>75</v>
      </c>
      <c r="E441" t="s">
        <v>76</v>
      </c>
      <c r="F441">
        <v>10024</v>
      </c>
      <c r="G441" t="s">
        <v>57</v>
      </c>
      <c r="H441" t="s">
        <v>19</v>
      </c>
      <c r="I441" t="s">
        <v>21</v>
      </c>
      <c r="J44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v>12.22</v>
      </c>
      <c r="K442">
        <v>1</v>
      </c>
      <c r="L442">
        <v>0</v>
      </c>
      <c r="M442">
        <v>3.6659999999999999</v>
      </c>
    </row>
    <row r="443" spans="1:13" x14ac:dyDescent="0.3">
      <c r="A443" t="s">
        <v>13</v>
      </c>
      <c r="B443" t="s">
        <v>14</v>
      </c>
      <c r="C443" t="s">
        <v>15</v>
      </c>
      <c r="D443" t="s">
        <v>140</v>
      </c>
      <c r="E443" t="s">
        <v>70</v>
      </c>
      <c r="F443">
        <v>48227</v>
      </c>
      <c r="G443" t="s">
        <v>47</v>
      </c>
      <c r="H443" t="s">
        <v>26</v>
      </c>
      <c r="I443" t="s">
        <v>32</v>
      </c>
      <c r="J443">
        <v>194.94</v>
      </c>
      <c r="K443">
        <v>3</v>
      </c>
      <c r="L443">
        <v>0</v>
      </c>
      <c r="M443">
        <v>23.392800000000001</v>
      </c>
    </row>
    <row r="444" spans="1:13" x14ac:dyDescent="0.3">
      <c r="A444" t="s">
        <v>13</v>
      </c>
      <c r="B444" t="s">
        <v>14</v>
      </c>
      <c r="C444" t="s">
        <v>15</v>
      </c>
      <c r="D444" t="s">
        <v>140</v>
      </c>
      <c r="E444" t="s">
        <v>70</v>
      </c>
      <c r="F444">
        <v>48227</v>
      </c>
      <c r="G444" t="s">
        <v>47</v>
      </c>
      <c r="H444" t="s">
        <v>26</v>
      </c>
      <c r="I444" t="s">
        <v>32</v>
      </c>
      <c r="J444">
        <v>70.95</v>
      </c>
      <c r="K444">
        <v>3</v>
      </c>
      <c r="L444">
        <v>0</v>
      </c>
      <c r="M444">
        <v>20.575500000000002</v>
      </c>
    </row>
    <row r="445" spans="1:13" x14ac:dyDescent="0.3">
      <c r="A445" t="s">
        <v>13</v>
      </c>
      <c r="B445" t="s">
        <v>14</v>
      </c>
      <c r="C445" t="s">
        <v>15</v>
      </c>
      <c r="D445" t="s">
        <v>140</v>
      </c>
      <c r="E445" t="s">
        <v>70</v>
      </c>
      <c r="F445">
        <v>48227</v>
      </c>
      <c r="G445" t="s">
        <v>47</v>
      </c>
      <c r="H445" t="s">
        <v>26</v>
      </c>
      <c r="I445" t="s">
        <v>41</v>
      </c>
      <c r="J445">
        <v>91.36</v>
      </c>
      <c r="K445">
        <v>4</v>
      </c>
      <c r="L445">
        <v>0</v>
      </c>
      <c r="M445">
        <v>42.025599999999997</v>
      </c>
    </row>
    <row r="446" spans="1:13" x14ac:dyDescent="0.3">
      <c r="A446" t="s">
        <v>13</v>
      </c>
      <c r="B446" t="s">
        <v>14</v>
      </c>
      <c r="C446" t="s">
        <v>15</v>
      </c>
      <c r="D446" t="s">
        <v>140</v>
      </c>
      <c r="E446" t="s">
        <v>70</v>
      </c>
      <c r="F446">
        <v>48227</v>
      </c>
      <c r="G446" t="s">
        <v>47</v>
      </c>
      <c r="H446" t="s">
        <v>19</v>
      </c>
      <c r="I446" t="s">
        <v>21</v>
      </c>
      <c r="J446">
        <v>242.94</v>
      </c>
      <c r="K446">
        <v>3</v>
      </c>
      <c r="L446">
        <v>0</v>
      </c>
      <c r="M446">
        <v>29.152799999999999</v>
      </c>
    </row>
    <row r="447" spans="1:13" x14ac:dyDescent="0.3">
      <c r="A447" t="s">
        <v>13</v>
      </c>
      <c r="B447" t="s">
        <v>14</v>
      </c>
      <c r="C447" t="s">
        <v>15</v>
      </c>
      <c r="D447" t="s">
        <v>140</v>
      </c>
      <c r="E447" t="s">
        <v>70</v>
      </c>
      <c r="F447">
        <v>48227</v>
      </c>
      <c r="G447" t="s">
        <v>47</v>
      </c>
      <c r="H447" t="s">
        <v>26</v>
      </c>
      <c r="I447" t="s">
        <v>27</v>
      </c>
      <c r="J447">
        <v>22.05</v>
      </c>
      <c r="K447">
        <v>7</v>
      </c>
      <c r="L447">
        <v>0</v>
      </c>
      <c r="M447">
        <v>10.584</v>
      </c>
    </row>
    <row r="448" spans="1:13" x14ac:dyDescent="0.3">
      <c r="A448" t="s">
        <v>13</v>
      </c>
      <c r="B448" t="s">
        <v>14</v>
      </c>
      <c r="C448" t="s">
        <v>15</v>
      </c>
      <c r="D448" t="s">
        <v>103</v>
      </c>
      <c r="E448" t="s">
        <v>74</v>
      </c>
      <c r="F448">
        <v>47201</v>
      </c>
      <c r="G448" t="s">
        <v>47</v>
      </c>
      <c r="H448" t="s">
        <v>19</v>
      </c>
      <c r="I448" t="s">
        <v>33</v>
      </c>
      <c r="J448">
        <v>2.91</v>
      </c>
      <c r="K448">
        <v>1</v>
      </c>
      <c r="L448">
        <v>0</v>
      </c>
      <c r="M448">
        <v>1.3676999999999999</v>
      </c>
    </row>
    <row r="449" spans="1:13" x14ac:dyDescent="0.3">
      <c r="A449" t="s">
        <v>13</v>
      </c>
      <c r="B449" t="s">
        <v>14</v>
      </c>
      <c r="C449" t="s">
        <v>15</v>
      </c>
      <c r="D449" t="s">
        <v>190</v>
      </c>
      <c r="E449" t="s">
        <v>76</v>
      </c>
      <c r="F449">
        <v>13021</v>
      </c>
      <c r="G449" t="s">
        <v>57</v>
      </c>
      <c r="H449" t="s">
        <v>26</v>
      </c>
      <c r="I449" t="s">
        <v>34</v>
      </c>
      <c r="J449">
        <v>59.52</v>
      </c>
      <c r="K449">
        <v>3</v>
      </c>
      <c r="L449">
        <v>0</v>
      </c>
      <c r="M449">
        <v>15.475199999999999</v>
      </c>
    </row>
    <row r="450" spans="1:13" x14ac:dyDescent="0.3">
      <c r="A450" t="s">
        <v>13</v>
      </c>
      <c r="B450" t="s">
        <v>14</v>
      </c>
      <c r="C450" t="s">
        <v>15</v>
      </c>
      <c r="D450" t="s">
        <v>190</v>
      </c>
      <c r="E450" t="s">
        <v>76</v>
      </c>
      <c r="F450">
        <v>13021</v>
      </c>
      <c r="G450" t="s">
        <v>57</v>
      </c>
      <c r="H450" t="s">
        <v>26</v>
      </c>
      <c r="I450" t="s">
        <v>32</v>
      </c>
      <c r="J450">
        <v>161.94</v>
      </c>
      <c r="K450">
        <v>3</v>
      </c>
      <c r="L450">
        <v>0</v>
      </c>
      <c r="M450">
        <v>9.7164000000000001</v>
      </c>
    </row>
    <row r="451" spans="1:13" x14ac:dyDescent="0.3">
      <c r="A451" t="s">
        <v>13</v>
      </c>
      <c r="B451" t="s">
        <v>14</v>
      </c>
      <c r="C451" t="s">
        <v>15</v>
      </c>
      <c r="D451" t="s">
        <v>190</v>
      </c>
      <c r="E451" t="s">
        <v>76</v>
      </c>
      <c r="F451">
        <v>13021</v>
      </c>
      <c r="G451" t="s">
        <v>57</v>
      </c>
      <c r="H451" t="s">
        <v>26</v>
      </c>
      <c r="I451" t="s">
        <v>34</v>
      </c>
      <c r="J45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v>30.48</v>
      </c>
      <c r="K452">
        <v>3</v>
      </c>
      <c r="L452">
        <v>0</v>
      </c>
      <c r="M452">
        <v>7.9248000000000003</v>
      </c>
    </row>
    <row r="453" spans="1:13" x14ac:dyDescent="0.3">
      <c r="A453" t="s">
        <v>13</v>
      </c>
      <c r="B453" t="s">
        <v>14</v>
      </c>
      <c r="C453" t="s">
        <v>15</v>
      </c>
      <c r="D453" t="s">
        <v>190</v>
      </c>
      <c r="E453" t="s">
        <v>76</v>
      </c>
      <c r="F453">
        <v>13021</v>
      </c>
      <c r="G453" t="s">
        <v>57</v>
      </c>
      <c r="H453" t="s">
        <v>26</v>
      </c>
      <c r="I453" t="s">
        <v>34</v>
      </c>
      <c r="J453">
        <v>9.84</v>
      </c>
      <c r="K453">
        <v>3</v>
      </c>
      <c r="L453">
        <v>0</v>
      </c>
      <c r="M453">
        <v>2.8536000000000001</v>
      </c>
    </row>
    <row r="454" spans="1:13" x14ac:dyDescent="0.3">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v>63.88</v>
      </c>
      <c r="K457">
        <v>4</v>
      </c>
      <c r="L457">
        <v>0</v>
      </c>
      <c r="M457">
        <v>24.9132</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v>55.48</v>
      </c>
      <c r="K472">
        <v>1</v>
      </c>
      <c r="L472">
        <v>0</v>
      </c>
      <c r="M472">
        <v>26.630400000000002</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v>14.7</v>
      </c>
      <c r="K481">
        <v>5</v>
      </c>
      <c r="L481">
        <v>0</v>
      </c>
      <c r="M481">
        <v>6.6150000000000002</v>
      </c>
    </row>
    <row r="482" spans="1:13" x14ac:dyDescent="0.3">
      <c r="A482" t="s">
        <v>28</v>
      </c>
      <c r="B482" t="s">
        <v>22</v>
      </c>
      <c r="C482" t="s">
        <v>15</v>
      </c>
      <c r="D482" t="s">
        <v>75</v>
      </c>
      <c r="E482" t="s">
        <v>76</v>
      </c>
      <c r="F482">
        <v>10024</v>
      </c>
      <c r="G482" t="s">
        <v>57</v>
      </c>
      <c r="H482" t="s">
        <v>26</v>
      </c>
      <c r="I482" t="s">
        <v>32</v>
      </c>
      <c r="J482">
        <v>704.25</v>
      </c>
      <c r="K482">
        <v>5</v>
      </c>
      <c r="L482">
        <v>0</v>
      </c>
      <c r="M482">
        <v>84.51</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28</v>
      </c>
      <c r="B484" t="s">
        <v>14</v>
      </c>
      <c r="C484" t="s">
        <v>15</v>
      </c>
      <c r="D484" t="s">
        <v>75</v>
      </c>
      <c r="E484" t="s">
        <v>76</v>
      </c>
      <c r="F484">
        <v>10024</v>
      </c>
      <c r="G484" t="s">
        <v>57</v>
      </c>
      <c r="H484" t="s">
        <v>26</v>
      </c>
      <c r="I484" t="s">
        <v>34</v>
      </c>
      <c r="J484">
        <v>5.96</v>
      </c>
      <c r="K484">
        <v>2</v>
      </c>
      <c r="L484">
        <v>0</v>
      </c>
      <c r="M484">
        <v>1.6688000000000001</v>
      </c>
    </row>
    <row r="485" spans="1:13" x14ac:dyDescent="0.3">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v>449.15</v>
      </c>
      <c r="K493">
        <v>5</v>
      </c>
      <c r="L493">
        <v>0</v>
      </c>
      <c r="M493">
        <v>8.9830000000000005</v>
      </c>
    </row>
    <row r="494" spans="1:13" x14ac:dyDescent="0.3">
      <c r="A494" t="s">
        <v>28</v>
      </c>
      <c r="B494" t="s">
        <v>14</v>
      </c>
      <c r="C494" t="s">
        <v>15</v>
      </c>
      <c r="D494" t="s">
        <v>92</v>
      </c>
      <c r="E494" t="s">
        <v>76</v>
      </c>
      <c r="F494">
        <v>14609</v>
      </c>
      <c r="G494" t="s">
        <v>57</v>
      </c>
      <c r="H494" t="s">
        <v>26</v>
      </c>
      <c r="I494" t="s">
        <v>60</v>
      </c>
      <c r="J494">
        <v>11.07</v>
      </c>
      <c r="K494">
        <v>3</v>
      </c>
      <c r="L494">
        <v>0</v>
      </c>
      <c r="M494">
        <v>5.0922000000000001</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v>105.42</v>
      </c>
      <c r="K497">
        <v>2</v>
      </c>
      <c r="L497">
        <v>0</v>
      </c>
      <c r="M497">
        <v>51.655799999999999</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v>2.74</v>
      </c>
      <c r="K508">
        <v>1</v>
      </c>
      <c r="L508">
        <v>0</v>
      </c>
      <c r="M508">
        <v>0.73980000000000001</v>
      </c>
    </row>
    <row r="509" spans="1:13" x14ac:dyDescent="0.3">
      <c r="A509" t="s">
        <v>28</v>
      </c>
      <c r="B509" t="s">
        <v>14</v>
      </c>
      <c r="C509" t="s">
        <v>15</v>
      </c>
      <c r="D509" t="s">
        <v>200</v>
      </c>
      <c r="E509" t="s">
        <v>167</v>
      </c>
      <c r="F509">
        <v>30318</v>
      </c>
      <c r="G509" t="s">
        <v>18</v>
      </c>
      <c r="H509" t="s">
        <v>26</v>
      </c>
      <c r="I509" t="s">
        <v>34</v>
      </c>
      <c r="J509">
        <v>8.34</v>
      </c>
      <c r="K509">
        <v>3</v>
      </c>
      <c r="L509">
        <v>0</v>
      </c>
      <c r="M509">
        <v>2.1684000000000001</v>
      </c>
    </row>
    <row r="510" spans="1:13" x14ac:dyDescent="0.3">
      <c r="A510" t="s">
        <v>28</v>
      </c>
      <c r="B510" t="s">
        <v>14</v>
      </c>
      <c r="C510" t="s">
        <v>15</v>
      </c>
      <c r="D510" t="s">
        <v>200</v>
      </c>
      <c r="E510" t="s">
        <v>167</v>
      </c>
      <c r="F510">
        <v>30318</v>
      </c>
      <c r="G510" t="s">
        <v>18</v>
      </c>
      <c r="H510" t="s">
        <v>26</v>
      </c>
      <c r="I510" t="s">
        <v>32</v>
      </c>
      <c r="J510">
        <v>46.74</v>
      </c>
      <c r="K510">
        <v>3</v>
      </c>
      <c r="L510">
        <v>0</v>
      </c>
      <c r="M510">
        <v>11.685</v>
      </c>
    </row>
    <row r="511" spans="1:13" x14ac:dyDescent="0.3">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v>126.3</v>
      </c>
      <c r="K512">
        <v>3</v>
      </c>
      <c r="L512">
        <v>0</v>
      </c>
      <c r="M512">
        <v>40.415999999999997</v>
      </c>
    </row>
    <row r="513" spans="1:13" x14ac:dyDescent="0.3">
      <c r="A513" t="s">
        <v>62</v>
      </c>
      <c r="B513" t="s">
        <v>14</v>
      </c>
      <c r="C513" t="s">
        <v>15</v>
      </c>
      <c r="D513" t="s">
        <v>201</v>
      </c>
      <c r="E513" t="s">
        <v>112</v>
      </c>
      <c r="F513">
        <v>64118</v>
      </c>
      <c r="G513" t="s">
        <v>47</v>
      </c>
      <c r="H513" t="s">
        <v>35</v>
      </c>
      <c r="I513" t="s">
        <v>59</v>
      </c>
      <c r="J513">
        <v>38.04</v>
      </c>
      <c r="K513">
        <v>2</v>
      </c>
      <c r="L513">
        <v>0</v>
      </c>
      <c r="M513">
        <v>12.172800000000001</v>
      </c>
    </row>
    <row r="514" spans="1:13" x14ac:dyDescent="0.3">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v>210.98</v>
      </c>
      <c r="K524">
        <v>2</v>
      </c>
      <c r="L524">
        <v>0</v>
      </c>
      <c r="M524">
        <v>21.097999999999999</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v>22.2</v>
      </c>
      <c r="K527">
        <v>5</v>
      </c>
      <c r="L527">
        <v>0</v>
      </c>
      <c r="M527">
        <v>10.433999999999999</v>
      </c>
    </row>
    <row r="528" spans="1:13" x14ac:dyDescent="0.3">
      <c r="A528" t="s">
        <v>28</v>
      </c>
      <c r="B528" t="s">
        <v>44</v>
      </c>
      <c r="C528" t="s">
        <v>15</v>
      </c>
      <c r="D528" t="s">
        <v>204</v>
      </c>
      <c r="E528" t="s">
        <v>30</v>
      </c>
      <c r="F528">
        <v>33801</v>
      </c>
      <c r="G528" t="s">
        <v>18</v>
      </c>
      <c r="H528" t="s">
        <v>19</v>
      </c>
      <c r="I528" t="s">
        <v>21</v>
      </c>
      <c r="J528">
        <v>683.952</v>
      </c>
      <c r="K528">
        <v>3</v>
      </c>
      <c r="L528">
        <v>0.2</v>
      </c>
      <c r="M528">
        <v>42.747</v>
      </c>
    </row>
    <row r="529" spans="1:13" x14ac:dyDescent="0.3">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v>52.512</v>
      </c>
      <c r="K532">
        <v>6</v>
      </c>
      <c r="L532">
        <v>0.2</v>
      </c>
      <c r="M532">
        <v>19.692</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14</v>
      </c>
      <c r="C535" t="s">
        <v>15</v>
      </c>
      <c r="D535" t="s">
        <v>205</v>
      </c>
      <c r="E535" t="s">
        <v>88</v>
      </c>
      <c r="F535">
        <v>36116</v>
      </c>
      <c r="G535" t="s">
        <v>18</v>
      </c>
      <c r="H535" t="s">
        <v>35</v>
      </c>
      <c r="I535" t="s">
        <v>36</v>
      </c>
      <c r="J535">
        <v>979.95</v>
      </c>
      <c r="K535">
        <v>5</v>
      </c>
      <c r="L535">
        <v>0</v>
      </c>
      <c r="M535">
        <v>274.38600000000002</v>
      </c>
    </row>
    <row r="536" spans="1:13" x14ac:dyDescent="0.3">
      <c r="A536" t="s">
        <v>13</v>
      </c>
      <c r="B536" t="s">
        <v>14</v>
      </c>
      <c r="C536" t="s">
        <v>15</v>
      </c>
      <c r="D536" t="s">
        <v>205</v>
      </c>
      <c r="E536" t="s">
        <v>88</v>
      </c>
      <c r="F536">
        <v>36116</v>
      </c>
      <c r="G536" t="s">
        <v>18</v>
      </c>
      <c r="H536" t="s">
        <v>26</v>
      </c>
      <c r="I536" t="s">
        <v>37</v>
      </c>
      <c r="J536">
        <v>22.75</v>
      </c>
      <c r="K536">
        <v>5</v>
      </c>
      <c r="L536">
        <v>0</v>
      </c>
      <c r="M536">
        <v>11.375</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v>42.616</v>
      </c>
      <c r="K538">
        <v>7</v>
      </c>
      <c r="L538">
        <v>0.8</v>
      </c>
      <c r="M538">
        <v>-68.185599999999994</v>
      </c>
    </row>
    <row r="539" spans="1:13" x14ac:dyDescent="0.3">
      <c r="A539" t="s">
        <v>28</v>
      </c>
      <c r="B539" t="s">
        <v>44</v>
      </c>
      <c r="C539" t="s">
        <v>15</v>
      </c>
      <c r="D539" t="s">
        <v>75</v>
      </c>
      <c r="E539" t="s">
        <v>76</v>
      </c>
      <c r="F539">
        <v>10009</v>
      </c>
      <c r="G539" t="s">
        <v>57</v>
      </c>
      <c r="H539" t="s">
        <v>26</v>
      </c>
      <c r="I539" t="s">
        <v>37</v>
      </c>
      <c r="J539">
        <v>10.752000000000001</v>
      </c>
      <c r="K539">
        <v>4</v>
      </c>
      <c r="L539">
        <v>0.2</v>
      </c>
      <c r="M539">
        <v>3.36</v>
      </c>
    </row>
    <row r="540" spans="1:13" x14ac:dyDescent="0.3">
      <c r="A540" t="s">
        <v>28</v>
      </c>
      <c r="B540" t="s">
        <v>14</v>
      </c>
      <c r="C540" t="s">
        <v>15</v>
      </c>
      <c r="D540" t="s">
        <v>16</v>
      </c>
      <c r="E540" t="s">
        <v>17</v>
      </c>
      <c r="F540">
        <v>42420</v>
      </c>
      <c r="G540" t="s">
        <v>18</v>
      </c>
      <c r="H540" t="s">
        <v>26</v>
      </c>
      <c r="I540" t="s">
        <v>38</v>
      </c>
      <c r="J540">
        <v>152.94</v>
      </c>
      <c r="K540">
        <v>3</v>
      </c>
      <c r="L540">
        <v>0</v>
      </c>
      <c r="M540">
        <v>41.293799999999997</v>
      </c>
    </row>
    <row r="541" spans="1:13" x14ac:dyDescent="0.3">
      <c r="A541" t="s">
        <v>28</v>
      </c>
      <c r="B541" t="s">
        <v>14</v>
      </c>
      <c r="C541" t="s">
        <v>15</v>
      </c>
      <c r="D541" t="s">
        <v>16</v>
      </c>
      <c r="E541" t="s">
        <v>17</v>
      </c>
      <c r="F541">
        <v>42420</v>
      </c>
      <c r="G541" t="s">
        <v>18</v>
      </c>
      <c r="H541" t="s">
        <v>19</v>
      </c>
      <c r="I541" t="s">
        <v>21</v>
      </c>
      <c r="J541">
        <v>283.92</v>
      </c>
      <c r="K541">
        <v>4</v>
      </c>
      <c r="L541">
        <v>0</v>
      </c>
      <c r="M541">
        <v>70.98</v>
      </c>
    </row>
    <row r="542" spans="1:13" x14ac:dyDescent="0.3">
      <c r="A542" t="s">
        <v>62</v>
      </c>
      <c r="B542" t="s">
        <v>14</v>
      </c>
      <c r="C542" t="s">
        <v>15</v>
      </c>
      <c r="D542" t="s">
        <v>207</v>
      </c>
      <c r="E542" t="s">
        <v>49</v>
      </c>
      <c r="F542">
        <v>54302</v>
      </c>
      <c r="G542" t="s">
        <v>47</v>
      </c>
      <c r="H542" t="s">
        <v>35</v>
      </c>
      <c r="I542" t="s">
        <v>59</v>
      </c>
      <c r="J542">
        <v>468.9</v>
      </c>
      <c r="K542">
        <v>6</v>
      </c>
      <c r="L542">
        <v>0</v>
      </c>
      <c r="M542">
        <v>206.316</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v>41.28</v>
      </c>
      <c r="K548">
        <v>6</v>
      </c>
      <c r="L548">
        <v>0.2</v>
      </c>
      <c r="M548">
        <v>13.932</v>
      </c>
    </row>
    <row r="549" spans="1:13" x14ac:dyDescent="0.3">
      <c r="A549" t="s">
        <v>62</v>
      </c>
      <c r="B549" t="s">
        <v>44</v>
      </c>
      <c r="C549" t="s">
        <v>15</v>
      </c>
      <c r="D549" t="s">
        <v>75</v>
      </c>
      <c r="E549" t="s">
        <v>76</v>
      </c>
      <c r="F549">
        <v>10035</v>
      </c>
      <c r="G549" t="s">
        <v>57</v>
      </c>
      <c r="H549" t="s">
        <v>26</v>
      </c>
      <c r="I549" t="s">
        <v>41</v>
      </c>
      <c r="J549">
        <v>13.36</v>
      </c>
      <c r="K549">
        <v>2</v>
      </c>
      <c r="L549">
        <v>0</v>
      </c>
      <c r="M549">
        <v>6.4127999999999998</v>
      </c>
    </row>
    <row r="550" spans="1:13" x14ac:dyDescent="0.3">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v>8.7200000000000006</v>
      </c>
      <c r="K552">
        <v>5</v>
      </c>
      <c r="L552">
        <v>0.2</v>
      </c>
      <c r="M552">
        <v>-1.744</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v>10.824</v>
      </c>
      <c r="K555">
        <v>3</v>
      </c>
      <c r="L555">
        <v>0.2</v>
      </c>
      <c r="M555">
        <v>2.5707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v>19.456</v>
      </c>
      <c r="K557">
        <v>4</v>
      </c>
      <c r="L557">
        <v>0.2</v>
      </c>
      <c r="M557">
        <v>3.4047999999999998</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v>13</v>
      </c>
      <c r="K563">
        <v>5</v>
      </c>
      <c r="L563">
        <v>0.2</v>
      </c>
      <c r="M563">
        <v>1.3</v>
      </c>
    </row>
    <row r="564" spans="1:13" x14ac:dyDescent="0.3">
      <c r="A564" t="s">
        <v>13</v>
      </c>
      <c r="B564" t="s">
        <v>14</v>
      </c>
      <c r="C564" t="s">
        <v>15</v>
      </c>
      <c r="D564" t="s">
        <v>141</v>
      </c>
      <c r="E564" t="s">
        <v>30</v>
      </c>
      <c r="F564">
        <v>33614</v>
      </c>
      <c r="G564" t="s">
        <v>18</v>
      </c>
      <c r="H564" t="s">
        <v>19</v>
      </c>
      <c r="I564" t="s">
        <v>33</v>
      </c>
      <c r="J564">
        <v>13.128</v>
      </c>
      <c r="K564">
        <v>3</v>
      </c>
      <c r="L564">
        <v>0.2</v>
      </c>
      <c r="M564">
        <v>3.7743000000000002</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14</v>
      </c>
      <c r="C572" t="s">
        <v>15</v>
      </c>
      <c r="D572" t="s">
        <v>75</v>
      </c>
      <c r="E572" t="s">
        <v>76</v>
      </c>
      <c r="F572">
        <v>10024</v>
      </c>
      <c r="G572" t="s">
        <v>57</v>
      </c>
      <c r="H572" t="s">
        <v>26</v>
      </c>
      <c r="I572" t="s">
        <v>27</v>
      </c>
      <c r="J572">
        <v>72.45</v>
      </c>
      <c r="K572">
        <v>7</v>
      </c>
      <c r="L572">
        <v>0</v>
      </c>
      <c r="M572">
        <v>34.776000000000003</v>
      </c>
    </row>
    <row r="573" spans="1:13" x14ac:dyDescent="0.3">
      <c r="A573" t="s">
        <v>28</v>
      </c>
      <c r="B573" t="s">
        <v>14</v>
      </c>
      <c r="C573" t="s">
        <v>15</v>
      </c>
      <c r="D573" t="s">
        <v>75</v>
      </c>
      <c r="E573" t="s">
        <v>76</v>
      </c>
      <c r="F573">
        <v>10024</v>
      </c>
      <c r="G573" t="s">
        <v>57</v>
      </c>
      <c r="H573" t="s">
        <v>26</v>
      </c>
      <c r="I573" t="s">
        <v>77</v>
      </c>
      <c r="J573">
        <v>13.96</v>
      </c>
      <c r="K573">
        <v>4</v>
      </c>
      <c r="L573">
        <v>0</v>
      </c>
      <c r="M573">
        <v>6.4215999999999998</v>
      </c>
    </row>
    <row r="574" spans="1:13" x14ac:dyDescent="0.3">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v>14.85</v>
      </c>
      <c r="K575">
        <v>3</v>
      </c>
      <c r="L575">
        <v>0</v>
      </c>
      <c r="M575">
        <v>4.0095000000000001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v>70.98</v>
      </c>
      <c r="K588">
        <v>1</v>
      </c>
      <c r="L588">
        <v>0</v>
      </c>
      <c r="M588">
        <v>4.9686000000000003</v>
      </c>
    </row>
    <row r="589" spans="1:13" x14ac:dyDescent="0.3">
      <c r="A589" t="s">
        <v>28</v>
      </c>
      <c r="B589" t="s">
        <v>14</v>
      </c>
      <c r="C589" t="s">
        <v>15</v>
      </c>
      <c r="D589" t="s">
        <v>182</v>
      </c>
      <c r="E589" t="s">
        <v>17</v>
      </c>
      <c r="F589">
        <v>40475</v>
      </c>
      <c r="G589" t="s">
        <v>18</v>
      </c>
      <c r="H589" t="s">
        <v>26</v>
      </c>
      <c r="I589" t="s">
        <v>27</v>
      </c>
      <c r="J589">
        <v>294.93</v>
      </c>
      <c r="K589">
        <v>3</v>
      </c>
      <c r="L589">
        <v>0</v>
      </c>
      <c r="M589">
        <v>144.51570000000001</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v>31.2</v>
      </c>
      <c r="K595">
        <v>3</v>
      </c>
      <c r="L595">
        <v>0.2</v>
      </c>
      <c r="M595">
        <v>9.75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62</v>
      </c>
      <c r="B600" t="s">
        <v>14</v>
      </c>
      <c r="C600" t="s">
        <v>15</v>
      </c>
      <c r="D600" t="s">
        <v>55</v>
      </c>
      <c r="E600" t="s">
        <v>56</v>
      </c>
      <c r="F600">
        <v>19134</v>
      </c>
      <c r="G600" t="s">
        <v>57</v>
      </c>
      <c r="H600" t="s">
        <v>26</v>
      </c>
      <c r="I600" t="s">
        <v>110</v>
      </c>
      <c r="J600">
        <v>11.632</v>
      </c>
      <c r="K600">
        <v>2</v>
      </c>
      <c r="L600">
        <v>0.2</v>
      </c>
      <c r="M600">
        <v>1.0178</v>
      </c>
    </row>
    <row r="601" spans="1:13" x14ac:dyDescent="0.3">
      <c r="A601" t="s">
        <v>28</v>
      </c>
      <c r="B601" t="s">
        <v>14</v>
      </c>
      <c r="C601" t="s">
        <v>15</v>
      </c>
      <c r="D601" t="s">
        <v>55</v>
      </c>
      <c r="E601" t="s">
        <v>56</v>
      </c>
      <c r="F601">
        <v>19120</v>
      </c>
      <c r="G601" t="s">
        <v>57</v>
      </c>
      <c r="H601" t="s">
        <v>35</v>
      </c>
      <c r="I601" t="s">
        <v>36</v>
      </c>
      <c r="J60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v>5.84</v>
      </c>
      <c r="K603">
        <v>2</v>
      </c>
      <c r="L603">
        <v>0.2</v>
      </c>
      <c r="M603">
        <v>0.73</v>
      </c>
    </row>
    <row r="604" spans="1:13" x14ac:dyDescent="0.3">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v>7.218</v>
      </c>
      <c r="K606">
        <v>3</v>
      </c>
      <c r="L606">
        <v>0.7</v>
      </c>
      <c r="M606">
        <v>-5.5338000000000003</v>
      </c>
    </row>
    <row r="607" spans="1:13" x14ac:dyDescent="0.3">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v>3.282</v>
      </c>
      <c r="K609">
        <v>2</v>
      </c>
      <c r="L609">
        <v>0.7</v>
      </c>
      <c r="M609">
        <v>-2.6255999999999999</v>
      </c>
    </row>
    <row r="610" spans="1:13" x14ac:dyDescent="0.3">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v>15.712</v>
      </c>
      <c r="K613">
        <v>4</v>
      </c>
      <c r="L613">
        <v>0.2</v>
      </c>
      <c r="M613">
        <v>5.6955999999999998</v>
      </c>
    </row>
    <row r="614" spans="1:13" x14ac:dyDescent="0.3">
      <c r="A614" t="s">
        <v>13</v>
      </c>
      <c r="B614" t="s">
        <v>22</v>
      </c>
      <c r="C614" t="s">
        <v>15</v>
      </c>
      <c r="D614" t="s">
        <v>55</v>
      </c>
      <c r="E614" t="s">
        <v>56</v>
      </c>
      <c r="F614">
        <v>19143</v>
      </c>
      <c r="G614" t="s">
        <v>57</v>
      </c>
      <c r="H614" t="s">
        <v>26</v>
      </c>
      <c r="I614" t="s">
        <v>41</v>
      </c>
      <c r="J614">
        <v>8.4480000000000004</v>
      </c>
      <c r="K614">
        <v>2</v>
      </c>
      <c r="L614">
        <v>0.2</v>
      </c>
      <c r="M614">
        <v>2.64</v>
      </c>
    </row>
    <row r="615" spans="1:13" x14ac:dyDescent="0.3">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v>40.479999999999997</v>
      </c>
      <c r="K618">
        <v>2</v>
      </c>
      <c r="L618">
        <v>0</v>
      </c>
      <c r="M618">
        <v>15.7872</v>
      </c>
    </row>
    <row r="619" spans="1:13" x14ac:dyDescent="0.3">
      <c r="A619" t="s">
        <v>13</v>
      </c>
      <c r="B619" t="s">
        <v>22</v>
      </c>
      <c r="C619" t="s">
        <v>15</v>
      </c>
      <c r="D619" t="s">
        <v>75</v>
      </c>
      <c r="E619" t="s">
        <v>76</v>
      </c>
      <c r="F619">
        <v>10011</v>
      </c>
      <c r="G619" t="s">
        <v>57</v>
      </c>
      <c r="H619" t="s">
        <v>19</v>
      </c>
      <c r="I619" t="s">
        <v>33</v>
      </c>
      <c r="J619">
        <v>9.94</v>
      </c>
      <c r="K619">
        <v>2</v>
      </c>
      <c r="L619">
        <v>0</v>
      </c>
      <c r="M619">
        <v>3.0813999999999999</v>
      </c>
    </row>
    <row r="620" spans="1:13" x14ac:dyDescent="0.3">
      <c r="A620" t="s">
        <v>13</v>
      </c>
      <c r="B620" t="s">
        <v>22</v>
      </c>
      <c r="C620" t="s">
        <v>15</v>
      </c>
      <c r="D620" t="s">
        <v>75</v>
      </c>
      <c r="E620" t="s">
        <v>76</v>
      </c>
      <c r="F620">
        <v>10011</v>
      </c>
      <c r="G620" t="s">
        <v>57</v>
      </c>
      <c r="H620" t="s">
        <v>26</v>
      </c>
      <c r="I620" t="s">
        <v>37</v>
      </c>
      <c r="J620">
        <v>107.42400000000001</v>
      </c>
      <c r="K620">
        <v>9</v>
      </c>
      <c r="L620">
        <v>0.2</v>
      </c>
      <c r="M620">
        <v>33.57</v>
      </c>
    </row>
    <row r="621" spans="1:13" x14ac:dyDescent="0.3">
      <c r="A621" t="s">
        <v>13</v>
      </c>
      <c r="B621" t="s">
        <v>22</v>
      </c>
      <c r="C621" t="s">
        <v>15</v>
      </c>
      <c r="D621" t="s">
        <v>75</v>
      </c>
      <c r="E621" t="s">
        <v>76</v>
      </c>
      <c r="F621">
        <v>10011</v>
      </c>
      <c r="G621" t="s">
        <v>57</v>
      </c>
      <c r="H621" t="s">
        <v>35</v>
      </c>
      <c r="I621" t="s">
        <v>36</v>
      </c>
      <c r="J62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v>88.02</v>
      </c>
      <c r="K622">
        <v>3</v>
      </c>
      <c r="L622">
        <v>0</v>
      </c>
      <c r="M622">
        <v>27.286200000000001</v>
      </c>
    </row>
    <row r="623" spans="1:13" x14ac:dyDescent="0.3">
      <c r="A623" t="s">
        <v>28</v>
      </c>
      <c r="B623" t="s">
        <v>14</v>
      </c>
      <c r="C623" t="s">
        <v>15</v>
      </c>
      <c r="D623" t="s">
        <v>79</v>
      </c>
      <c r="E623" t="s">
        <v>65</v>
      </c>
      <c r="F623">
        <v>60610</v>
      </c>
      <c r="G623" t="s">
        <v>47</v>
      </c>
      <c r="H623" t="s">
        <v>26</v>
      </c>
      <c r="I623" t="s">
        <v>37</v>
      </c>
      <c r="J623">
        <v>8.69</v>
      </c>
      <c r="K623">
        <v>5</v>
      </c>
      <c r="L623">
        <v>0.8</v>
      </c>
      <c r="M623">
        <v>-14.773</v>
      </c>
    </row>
    <row r="624" spans="1:13" x14ac:dyDescent="0.3">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v>523.48</v>
      </c>
      <c r="K626">
        <v>4</v>
      </c>
      <c r="L626">
        <v>0</v>
      </c>
      <c r="M626">
        <v>130.87</v>
      </c>
    </row>
    <row r="627" spans="1:13" x14ac:dyDescent="0.3">
      <c r="A627" t="s">
        <v>28</v>
      </c>
      <c r="B627" t="s">
        <v>22</v>
      </c>
      <c r="C627" t="s">
        <v>15</v>
      </c>
      <c r="D627" t="s">
        <v>213</v>
      </c>
      <c r="E627" t="s">
        <v>70</v>
      </c>
      <c r="F627">
        <v>48126</v>
      </c>
      <c r="G627" t="s">
        <v>47</v>
      </c>
      <c r="H627" t="s">
        <v>26</v>
      </c>
      <c r="I627" t="s">
        <v>34</v>
      </c>
      <c r="J627">
        <v>161.82</v>
      </c>
      <c r="K627">
        <v>9</v>
      </c>
      <c r="L627">
        <v>0</v>
      </c>
      <c r="M627">
        <v>46.927799999999998</v>
      </c>
    </row>
    <row r="628" spans="1:13" x14ac:dyDescent="0.3">
      <c r="A628" t="s">
        <v>28</v>
      </c>
      <c r="B628" t="s">
        <v>44</v>
      </c>
      <c r="C628" t="s">
        <v>15</v>
      </c>
      <c r="D628" t="s">
        <v>75</v>
      </c>
      <c r="E628" t="s">
        <v>76</v>
      </c>
      <c r="F628">
        <v>10009</v>
      </c>
      <c r="G628" t="s">
        <v>57</v>
      </c>
      <c r="H628" t="s">
        <v>19</v>
      </c>
      <c r="I628" t="s">
        <v>33</v>
      </c>
      <c r="J628">
        <v>35.56</v>
      </c>
      <c r="K628">
        <v>7</v>
      </c>
      <c r="L628">
        <v>0</v>
      </c>
      <c r="M628">
        <v>12.090400000000001</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v>17.88</v>
      </c>
      <c r="K635">
        <v>3</v>
      </c>
      <c r="L635">
        <v>0.2</v>
      </c>
      <c r="M635">
        <v>2.4584999999999999</v>
      </c>
    </row>
    <row r="636" spans="1:13" x14ac:dyDescent="0.3">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v>392.94</v>
      </c>
      <c r="K637">
        <v>3</v>
      </c>
      <c r="L637">
        <v>0</v>
      </c>
      <c r="M637">
        <v>43.223399999999998</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v>18.84</v>
      </c>
      <c r="K642">
        <v>3</v>
      </c>
      <c r="L642">
        <v>0</v>
      </c>
      <c r="M642">
        <v>6.0288000000000004</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v>6.48</v>
      </c>
      <c r="K646">
        <v>1</v>
      </c>
      <c r="L646">
        <v>0</v>
      </c>
      <c r="M646">
        <v>3.1751999999999998</v>
      </c>
    </row>
    <row r="647" spans="1:13" x14ac:dyDescent="0.3">
      <c r="A647" t="s">
        <v>28</v>
      </c>
      <c r="B647" t="s">
        <v>44</v>
      </c>
      <c r="C647" t="s">
        <v>15</v>
      </c>
      <c r="D647" t="s">
        <v>103</v>
      </c>
      <c r="E647" t="s">
        <v>74</v>
      </c>
      <c r="F647">
        <v>47201</v>
      </c>
      <c r="G647" t="s">
        <v>47</v>
      </c>
      <c r="H647" t="s">
        <v>26</v>
      </c>
      <c r="I647" t="s">
        <v>38</v>
      </c>
      <c r="J647">
        <v>209.3</v>
      </c>
      <c r="K647">
        <v>2</v>
      </c>
      <c r="L647">
        <v>0</v>
      </c>
      <c r="M647">
        <v>56.511000000000003</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44</v>
      </c>
      <c r="C653" t="s">
        <v>15</v>
      </c>
      <c r="D653" t="s">
        <v>75</v>
      </c>
      <c r="E653" t="s">
        <v>76</v>
      </c>
      <c r="F653">
        <v>10024</v>
      </c>
      <c r="G653" t="s">
        <v>57</v>
      </c>
      <c r="H653" t="s">
        <v>26</v>
      </c>
      <c r="I653" t="s">
        <v>41</v>
      </c>
      <c r="J653">
        <v>379.4</v>
      </c>
      <c r="K653">
        <v>10</v>
      </c>
      <c r="L653">
        <v>0</v>
      </c>
      <c r="M653">
        <v>178.31800000000001</v>
      </c>
    </row>
    <row r="654" spans="1:13" x14ac:dyDescent="0.3">
      <c r="A654" t="s">
        <v>28</v>
      </c>
      <c r="B654" t="s">
        <v>22</v>
      </c>
      <c r="C654" t="s">
        <v>15</v>
      </c>
      <c r="D654" t="s">
        <v>75</v>
      </c>
      <c r="E654" t="s">
        <v>76</v>
      </c>
      <c r="F654">
        <v>10035</v>
      </c>
      <c r="G654" t="s">
        <v>57</v>
      </c>
      <c r="H654" t="s">
        <v>26</v>
      </c>
      <c r="I654" t="s">
        <v>41</v>
      </c>
      <c r="J654">
        <v>97.82</v>
      </c>
      <c r="K654">
        <v>2</v>
      </c>
      <c r="L654">
        <v>0</v>
      </c>
      <c r="M654">
        <v>45.9754</v>
      </c>
    </row>
    <row r="655" spans="1:13" x14ac:dyDescent="0.3">
      <c r="A655" t="s">
        <v>28</v>
      </c>
      <c r="B655" t="s">
        <v>22</v>
      </c>
      <c r="C655" t="s">
        <v>15</v>
      </c>
      <c r="D655" t="s">
        <v>75</v>
      </c>
      <c r="E655" t="s">
        <v>76</v>
      </c>
      <c r="F655">
        <v>10035</v>
      </c>
      <c r="G655" t="s">
        <v>57</v>
      </c>
      <c r="H655" t="s">
        <v>35</v>
      </c>
      <c r="I655" t="s">
        <v>59</v>
      </c>
      <c r="J655">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v>2.7240000000000002</v>
      </c>
      <c r="K664">
        <v>3</v>
      </c>
      <c r="L664">
        <v>0.8</v>
      </c>
      <c r="M664">
        <v>-4.2222</v>
      </c>
    </row>
    <row r="665" spans="1:13" x14ac:dyDescent="0.3">
      <c r="A665" t="s">
        <v>28</v>
      </c>
      <c r="B665" t="s">
        <v>22</v>
      </c>
      <c r="C665" t="s">
        <v>15</v>
      </c>
      <c r="D665" t="s">
        <v>75</v>
      </c>
      <c r="E665" t="s">
        <v>76</v>
      </c>
      <c r="F665">
        <v>10011</v>
      </c>
      <c r="G665" t="s">
        <v>57</v>
      </c>
      <c r="H665" t="s">
        <v>26</v>
      </c>
      <c r="I665" t="s">
        <v>32</v>
      </c>
      <c r="J665">
        <v>459.95</v>
      </c>
      <c r="K665">
        <v>5</v>
      </c>
      <c r="L665">
        <v>0</v>
      </c>
      <c r="M665">
        <v>18.398</v>
      </c>
    </row>
    <row r="666" spans="1:13" x14ac:dyDescent="0.3">
      <c r="A666" t="s">
        <v>168</v>
      </c>
      <c r="B666" t="s">
        <v>14</v>
      </c>
      <c r="C666" t="s">
        <v>15</v>
      </c>
      <c r="D666" t="s">
        <v>183</v>
      </c>
      <c r="E666" t="s">
        <v>17</v>
      </c>
      <c r="F666">
        <v>40214</v>
      </c>
      <c r="G666" t="s">
        <v>18</v>
      </c>
      <c r="H666" t="s">
        <v>26</v>
      </c>
      <c r="I666" t="s">
        <v>77</v>
      </c>
      <c r="J666">
        <v>10.74</v>
      </c>
      <c r="K666">
        <v>3</v>
      </c>
      <c r="L666">
        <v>0</v>
      </c>
      <c r="M666">
        <v>5.2625999999999999</v>
      </c>
    </row>
    <row r="667" spans="1:13" x14ac:dyDescent="0.3">
      <c r="A667" t="s">
        <v>13</v>
      </c>
      <c r="B667" t="s">
        <v>22</v>
      </c>
      <c r="C667" t="s">
        <v>15</v>
      </c>
      <c r="D667" t="s">
        <v>135</v>
      </c>
      <c r="E667" t="s">
        <v>46</v>
      </c>
      <c r="F667">
        <v>75081</v>
      </c>
      <c r="G667" t="s">
        <v>47</v>
      </c>
      <c r="H667" t="s">
        <v>26</v>
      </c>
      <c r="I667" t="s">
        <v>110</v>
      </c>
      <c r="J667">
        <v>23.76</v>
      </c>
      <c r="K667">
        <v>3</v>
      </c>
      <c r="L667">
        <v>0.2</v>
      </c>
      <c r="M667">
        <v>2.0790000000000002</v>
      </c>
    </row>
    <row r="668" spans="1:13" x14ac:dyDescent="0.3">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v>30.36</v>
      </c>
      <c r="K670">
        <v>5</v>
      </c>
      <c r="L670">
        <v>0.2</v>
      </c>
      <c r="M670">
        <v>8.7285000000000004</v>
      </c>
    </row>
    <row r="671" spans="1:13" x14ac:dyDescent="0.3">
      <c r="A671" t="s">
        <v>28</v>
      </c>
      <c r="B671" t="s">
        <v>44</v>
      </c>
      <c r="C671" t="s">
        <v>15</v>
      </c>
      <c r="D671" t="s">
        <v>79</v>
      </c>
      <c r="E671" t="s">
        <v>65</v>
      </c>
      <c r="F671">
        <v>60653</v>
      </c>
      <c r="G671" t="s">
        <v>47</v>
      </c>
      <c r="H671" t="s">
        <v>19</v>
      </c>
      <c r="I671" t="s">
        <v>33</v>
      </c>
      <c r="J67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v>36.351999999999997</v>
      </c>
      <c r="K673">
        <v>8</v>
      </c>
      <c r="L673">
        <v>0.2</v>
      </c>
      <c r="M673">
        <v>11.36</v>
      </c>
    </row>
    <row r="674" spans="1:13" x14ac:dyDescent="0.3">
      <c r="A674" t="s">
        <v>28</v>
      </c>
      <c r="B674" t="s">
        <v>14</v>
      </c>
      <c r="C674" t="s">
        <v>15</v>
      </c>
      <c r="D674" t="s">
        <v>172</v>
      </c>
      <c r="E674" t="s">
        <v>65</v>
      </c>
      <c r="F674">
        <v>62301</v>
      </c>
      <c r="G674" t="s">
        <v>47</v>
      </c>
      <c r="H674" t="s">
        <v>26</v>
      </c>
      <c r="I674" t="s">
        <v>34</v>
      </c>
      <c r="J674">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v>61.44</v>
      </c>
      <c r="K675">
        <v>3</v>
      </c>
      <c r="L675">
        <v>0</v>
      </c>
      <c r="M675">
        <v>16.588799999999999</v>
      </c>
    </row>
    <row r="676" spans="1:13" x14ac:dyDescent="0.3">
      <c r="A676" t="s">
        <v>62</v>
      </c>
      <c r="B676" t="s">
        <v>14</v>
      </c>
      <c r="C676" t="s">
        <v>15</v>
      </c>
      <c r="D676" t="s">
        <v>103</v>
      </c>
      <c r="E676" t="s">
        <v>74</v>
      </c>
      <c r="F676">
        <v>47201</v>
      </c>
      <c r="G676" t="s">
        <v>47</v>
      </c>
      <c r="H676" t="s">
        <v>26</v>
      </c>
      <c r="I676" t="s">
        <v>41</v>
      </c>
      <c r="J676">
        <v>38.9</v>
      </c>
      <c r="K676">
        <v>5</v>
      </c>
      <c r="L676">
        <v>0</v>
      </c>
      <c r="M676">
        <v>17.504999999999999</v>
      </c>
    </row>
    <row r="677" spans="1:13" x14ac:dyDescent="0.3">
      <c r="A677" t="s">
        <v>62</v>
      </c>
      <c r="B677" t="s">
        <v>14</v>
      </c>
      <c r="C677" t="s">
        <v>15</v>
      </c>
      <c r="D677" t="s">
        <v>103</v>
      </c>
      <c r="E677" t="s">
        <v>74</v>
      </c>
      <c r="F677">
        <v>47201</v>
      </c>
      <c r="G677" t="s">
        <v>47</v>
      </c>
      <c r="H677" t="s">
        <v>35</v>
      </c>
      <c r="I677" t="s">
        <v>59</v>
      </c>
      <c r="J677">
        <v>99.39</v>
      </c>
      <c r="K677">
        <v>3</v>
      </c>
      <c r="L677">
        <v>0</v>
      </c>
      <c r="M677">
        <v>40.749899999999997</v>
      </c>
    </row>
    <row r="678" spans="1:13" x14ac:dyDescent="0.3">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v>14.352</v>
      </c>
      <c r="K682">
        <v>3</v>
      </c>
      <c r="L682">
        <v>0.2</v>
      </c>
      <c r="M682">
        <v>4.6643999999999997</v>
      </c>
    </row>
    <row r="683" spans="1:13" x14ac:dyDescent="0.3">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v>167.44</v>
      </c>
      <c r="K686">
        <v>2</v>
      </c>
      <c r="L686">
        <v>0.2</v>
      </c>
      <c r="M686">
        <v>14.651</v>
      </c>
    </row>
    <row r="687" spans="1:13" x14ac:dyDescent="0.3">
      <c r="A687" t="s">
        <v>62</v>
      </c>
      <c r="B687" t="s">
        <v>14</v>
      </c>
      <c r="C687" t="s">
        <v>15</v>
      </c>
      <c r="D687" t="s">
        <v>84</v>
      </c>
      <c r="E687" t="s">
        <v>185</v>
      </c>
      <c r="F687">
        <v>39212</v>
      </c>
      <c r="G687" t="s">
        <v>18</v>
      </c>
      <c r="H687" t="s">
        <v>35</v>
      </c>
      <c r="I687" t="s">
        <v>59</v>
      </c>
      <c r="J687">
        <v>479.97</v>
      </c>
      <c r="K687">
        <v>3</v>
      </c>
      <c r="L687">
        <v>0</v>
      </c>
      <c r="M687">
        <v>163.18979999999999</v>
      </c>
    </row>
    <row r="688" spans="1:13" x14ac:dyDescent="0.3">
      <c r="A688" t="s">
        <v>62</v>
      </c>
      <c r="B688" t="s">
        <v>14</v>
      </c>
      <c r="C688" t="s">
        <v>15</v>
      </c>
      <c r="D688" t="s">
        <v>84</v>
      </c>
      <c r="E688" t="s">
        <v>185</v>
      </c>
      <c r="F688">
        <v>39212</v>
      </c>
      <c r="G688" t="s">
        <v>18</v>
      </c>
      <c r="H688" t="s">
        <v>26</v>
      </c>
      <c r="I688" t="s">
        <v>27</v>
      </c>
      <c r="J688">
        <v>14.62</v>
      </c>
      <c r="K688">
        <v>2</v>
      </c>
      <c r="L688">
        <v>0</v>
      </c>
      <c r="M688">
        <v>6.8714000000000004</v>
      </c>
    </row>
    <row r="689" spans="1:13" x14ac:dyDescent="0.3">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v>284.82</v>
      </c>
      <c r="K692">
        <v>1</v>
      </c>
      <c r="L692">
        <v>0</v>
      </c>
      <c r="M692">
        <v>74.053200000000004</v>
      </c>
    </row>
    <row r="693" spans="1:13" x14ac:dyDescent="0.3">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v>47.36</v>
      </c>
      <c r="K697">
        <v>4</v>
      </c>
      <c r="L697">
        <v>0.2</v>
      </c>
      <c r="M697">
        <v>17.760000000000002</v>
      </c>
    </row>
    <row r="698" spans="1:13" x14ac:dyDescent="0.3">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v>10.368</v>
      </c>
      <c r="K706">
        <v>2</v>
      </c>
      <c r="L706">
        <v>0.2</v>
      </c>
      <c r="M706">
        <v>3.6288</v>
      </c>
    </row>
    <row r="707" spans="1:13" x14ac:dyDescent="0.3">
      <c r="A707" t="s">
        <v>28</v>
      </c>
      <c r="B707" t="s">
        <v>22</v>
      </c>
      <c r="C707" t="s">
        <v>15</v>
      </c>
      <c r="D707" t="s">
        <v>226</v>
      </c>
      <c r="E707" t="s">
        <v>40</v>
      </c>
      <c r="F707">
        <v>27511</v>
      </c>
      <c r="G707" t="s">
        <v>18</v>
      </c>
      <c r="H707" t="s">
        <v>26</v>
      </c>
      <c r="I707" t="s">
        <v>38</v>
      </c>
      <c r="J707">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v>15.215999999999999</v>
      </c>
      <c r="K708">
        <v>1</v>
      </c>
      <c r="L708">
        <v>0.2</v>
      </c>
      <c r="M708">
        <v>2.2824</v>
      </c>
    </row>
    <row r="709" spans="1:13" x14ac:dyDescent="0.3">
      <c r="A709" t="s">
        <v>62</v>
      </c>
      <c r="B709" t="s">
        <v>14</v>
      </c>
      <c r="C709" t="s">
        <v>15</v>
      </c>
      <c r="D709" t="s">
        <v>75</v>
      </c>
      <c r="E709" t="s">
        <v>76</v>
      </c>
      <c r="F709">
        <v>10035</v>
      </c>
      <c r="G709" t="s">
        <v>57</v>
      </c>
      <c r="H709" t="s">
        <v>35</v>
      </c>
      <c r="I709" t="s">
        <v>59</v>
      </c>
      <c r="J709">
        <v>119.96</v>
      </c>
      <c r="K709">
        <v>4</v>
      </c>
      <c r="L709">
        <v>0</v>
      </c>
      <c r="M709">
        <v>52.782400000000003</v>
      </c>
    </row>
    <row r="710" spans="1:13" x14ac:dyDescent="0.3">
      <c r="A710" t="s">
        <v>62</v>
      </c>
      <c r="B710" t="s">
        <v>14</v>
      </c>
      <c r="C710" t="s">
        <v>15</v>
      </c>
      <c r="D710" t="s">
        <v>75</v>
      </c>
      <c r="E710" t="s">
        <v>76</v>
      </c>
      <c r="F710">
        <v>10035</v>
      </c>
      <c r="G710" t="s">
        <v>57</v>
      </c>
      <c r="H710" t="s">
        <v>19</v>
      </c>
      <c r="I710" t="s">
        <v>20</v>
      </c>
      <c r="J710">
        <v>883.92</v>
      </c>
      <c r="K710">
        <v>5</v>
      </c>
      <c r="L710">
        <v>0.2</v>
      </c>
      <c r="M710">
        <v>-110.49</v>
      </c>
    </row>
    <row r="711" spans="1:13" x14ac:dyDescent="0.3">
      <c r="A711" t="s">
        <v>62</v>
      </c>
      <c r="B711" t="s">
        <v>14</v>
      </c>
      <c r="C711" t="s">
        <v>15</v>
      </c>
      <c r="D711" t="s">
        <v>75</v>
      </c>
      <c r="E711" t="s">
        <v>76</v>
      </c>
      <c r="F711">
        <v>10035</v>
      </c>
      <c r="G711" t="s">
        <v>57</v>
      </c>
      <c r="H711" t="s">
        <v>26</v>
      </c>
      <c r="I711" t="s">
        <v>37</v>
      </c>
      <c r="J711">
        <v>46.72</v>
      </c>
      <c r="K711">
        <v>8</v>
      </c>
      <c r="L711">
        <v>0.2</v>
      </c>
      <c r="M711">
        <v>15.768000000000001</v>
      </c>
    </row>
    <row r="712" spans="1:13" x14ac:dyDescent="0.3">
      <c r="A712" t="s">
        <v>62</v>
      </c>
      <c r="B712" t="s">
        <v>44</v>
      </c>
      <c r="C712" t="s">
        <v>15</v>
      </c>
      <c r="D712" t="s">
        <v>75</v>
      </c>
      <c r="E712" t="s">
        <v>76</v>
      </c>
      <c r="F712">
        <v>10035</v>
      </c>
      <c r="G712" t="s">
        <v>57</v>
      </c>
      <c r="H712" t="s">
        <v>26</v>
      </c>
      <c r="I712" t="s">
        <v>41</v>
      </c>
      <c r="J712">
        <v>55.48</v>
      </c>
      <c r="K712">
        <v>1</v>
      </c>
      <c r="L712">
        <v>0</v>
      </c>
      <c r="M712">
        <v>26.630400000000002</v>
      </c>
    </row>
    <row r="713" spans="1:13" x14ac:dyDescent="0.3">
      <c r="A713" t="s">
        <v>28</v>
      </c>
      <c r="B713" t="s">
        <v>14</v>
      </c>
      <c r="C713" t="s">
        <v>15</v>
      </c>
      <c r="D713" t="s">
        <v>227</v>
      </c>
      <c r="E713" t="s">
        <v>30</v>
      </c>
      <c r="F713">
        <v>32137</v>
      </c>
      <c r="G713" t="s">
        <v>18</v>
      </c>
      <c r="H713" t="s">
        <v>26</v>
      </c>
      <c r="I713" t="s">
        <v>60</v>
      </c>
      <c r="J713">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v>307.98</v>
      </c>
      <c r="K715">
        <v>2</v>
      </c>
      <c r="L715">
        <v>0</v>
      </c>
      <c r="M715">
        <v>89.3142</v>
      </c>
    </row>
    <row r="716" spans="1:13" x14ac:dyDescent="0.3">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v>9.94</v>
      </c>
      <c r="K718">
        <v>2</v>
      </c>
      <c r="L718">
        <v>0</v>
      </c>
      <c r="M718">
        <v>3.0813999999999999</v>
      </c>
    </row>
    <row r="719" spans="1:13" x14ac:dyDescent="0.3">
      <c r="A719" t="s">
        <v>28</v>
      </c>
      <c r="B719" t="s">
        <v>14</v>
      </c>
      <c r="C719" t="s">
        <v>15</v>
      </c>
      <c r="D719" t="s">
        <v>114</v>
      </c>
      <c r="E719" t="s">
        <v>104</v>
      </c>
      <c r="F719">
        <v>43055</v>
      </c>
      <c r="G719" t="s">
        <v>57</v>
      </c>
      <c r="H719" t="s">
        <v>19</v>
      </c>
      <c r="I719" t="s">
        <v>33</v>
      </c>
      <c r="J719">
        <v>103.056</v>
      </c>
      <c r="K719">
        <v>3</v>
      </c>
      <c r="L719">
        <v>0.2</v>
      </c>
      <c r="M719">
        <v>24.4758</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22</v>
      </c>
      <c r="C723" t="s">
        <v>15</v>
      </c>
      <c r="D723" t="s">
        <v>140</v>
      </c>
      <c r="E723" t="s">
        <v>70</v>
      </c>
      <c r="F723">
        <v>48205</v>
      </c>
      <c r="G723" t="s">
        <v>47</v>
      </c>
      <c r="H723" t="s">
        <v>19</v>
      </c>
      <c r="I723" t="s">
        <v>31</v>
      </c>
      <c r="J723">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v>296.37</v>
      </c>
      <c r="K724">
        <v>3</v>
      </c>
      <c r="L724">
        <v>0</v>
      </c>
      <c r="M724">
        <v>80.019900000000007</v>
      </c>
    </row>
    <row r="725" spans="1:13" x14ac:dyDescent="0.3">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v>182.72</v>
      </c>
      <c r="K729">
        <v>8</v>
      </c>
      <c r="L729">
        <v>0</v>
      </c>
      <c r="M729">
        <v>84.051199999999994</v>
      </c>
    </row>
    <row r="730" spans="1:13" x14ac:dyDescent="0.3">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v>6.3</v>
      </c>
      <c r="K733">
        <v>2</v>
      </c>
      <c r="L733">
        <v>0</v>
      </c>
      <c r="M733">
        <v>3.024</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v>3.54</v>
      </c>
      <c r="K743">
        <v>2</v>
      </c>
      <c r="L743">
        <v>0.8</v>
      </c>
      <c r="M743">
        <v>-5.4870000000000001</v>
      </c>
    </row>
    <row r="744" spans="1:13" x14ac:dyDescent="0.3">
      <c r="A744" t="s">
        <v>28</v>
      </c>
      <c r="B744" t="s">
        <v>14</v>
      </c>
      <c r="C744" t="s">
        <v>15</v>
      </c>
      <c r="D744" t="s">
        <v>135</v>
      </c>
      <c r="E744" t="s">
        <v>46</v>
      </c>
      <c r="F744">
        <v>75220</v>
      </c>
      <c r="G744" t="s">
        <v>47</v>
      </c>
      <c r="H744" t="s">
        <v>26</v>
      </c>
      <c r="I744" t="s">
        <v>110</v>
      </c>
      <c r="J744">
        <v>51.52</v>
      </c>
      <c r="K744">
        <v>5</v>
      </c>
      <c r="L744">
        <v>0.2</v>
      </c>
      <c r="M744">
        <v>-10.948</v>
      </c>
    </row>
    <row r="745" spans="1:13" x14ac:dyDescent="0.3">
      <c r="A745" t="s">
        <v>28</v>
      </c>
      <c r="B745" t="s">
        <v>14</v>
      </c>
      <c r="C745" t="s">
        <v>15</v>
      </c>
      <c r="D745" t="s">
        <v>135</v>
      </c>
      <c r="E745" t="s">
        <v>46</v>
      </c>
      <c r="F745">
        <v>75220</v>
      </c>
      <c r="G745" t="s">
        <v>47</v>
      </c>
      <c r="H745" t="s">
        <v>26</v>
      </c>
      <c r="I745" t="s">
        <v>41</v>
      </c>
      <c r="J745">
        <v>3.528</v>
      </c>
      <c r="K745">
        <v>1</v>
      </c>
      <c r="L745">
        <v>0.2</v>
      </c>
      <c r="M745">
        <v>1.1466000000000001</v>
      </c>
    </row>
    <row r="746" spans="1:13" x14ac:dyDescent="0.3">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v>58.05</v>
      </c>
      <c r="K751">
        <v>3</v>
      </c>
      <c r="L751">
        <v>0</v>
      </c>
      <c r="M751">
        <v>26.702999999999999</v>
      </c>
    </row>
    <row r="752" spans="1:13" x14ac:dyDescent="0.3">
      <c r="A752" t="s">
        <v>28</v>
      </c>
      <c r="B752" t="s">
        <v>14</v>
      </c>
      <c r="C752" t="s">
        <v>15</v>
      </c>
      <c r="D752" t="s">
        <v>232</v>
      </c>
      <c r="E752" t="s">
        <v>70</v>
      </c>
      <c r="F752">
        <v>48183</v>
      </c>
      <c r="G752" t="s">
        <v>47</v>
      </c>
      <c r="H752" t="s">
        <v>19</v>
      </c>
      <c r="I752" t="s">
        <v>33</v>
      </c>
      <c r="J752">
        <v>157.74</v>
      </c>
      <c r="K752">
        <v>11</v>
      </c>
      <c r="L752">
        <v>0</v>
      </c>
      <c r="M752">
        <v>56.7864</v>
      </c>
    </row>
    <row r="753" spans="1:13" x14ac:dyDescent="0.3">
      <c r="A753" t="s">
        <v>28</v>
      </c>
      <c r="B753" t="s">
        <v>14</v>
      </c>
      <c r="C753" t="s">
        <v>15</v>
      </c>
      <c r="D753" t="s">
        <v>232</v>
      </c>
      <c r="E753" t="s">
        <v>70</v>
      </c>
      <c r="F753">
        <v>48183</v>
      </c>
      <c r="G753" t="s">
        <v>47</v>
      </c>
      <c r="H753" t="s">
        <v>26</v>
      </c>
      <c r="I753" t="s">
        <v>34</v>
      </c>
      <c r="J753">
        <v>56.98</v>
      </c>
      <c r="K753">
        <v>7</v>
      </c>
      <c r="L753">
        <v>0</v>
      </c>
      <c r="M753">
        <v>22.792000000000002</v>
      </c>
    </row>
    <row r="754" spans="1:13" x14ac:dyDescent="0.3">
      <c r="A754" t="s">
        <v>28</v>
      </c>
      <c r="B754" t="s">
        <v>14</v>
      </c>
      <c r="C754" t="s">
        <v>15</v>
      </c>
      <c r="D754" t="s">
        <v>232</v>
      </c>
      <c r="E754" t="s">
        <v>70</v>
      </c>
      <c r="F754">
        <v>48183</v>
      </c>
      <c r="G754" t="s">
        <v>47</v>
      </c>
      <c r="H754" t="s">
        <v>26</v>
      </c>
      <c r="I754" t="s">
        <v>37</v>
      </c>
      <c r="J754">
        <v>2.88</v>
      </c>
      <c r="K754">
        <v>1</v>
      </c>
      <c r="L754">
        <v>0</v>
      </c>
      <c r="M754">
        <v>1.4112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v>24.56</v>
      </c>
      <c r="K758">
        <v>2</v>
      </c>
      <c r="L758">
        <v>0</v>
      </c>
      <c r="M758">
        <v>6.8768000000000002</v>
      </c>
    </row>
    <row r="759" spans="1:13" x14ac:dyDescent="0.3">
      <c r="A759" t="s">
        <v>28</v>
      </c>
      <c r="B759" t="s">
        <v>14</v>
      </c>
      <c r="C759" t="s">
        <v>15</v>
      </c>
      <c r="D759" t="s">
        <v>233</v>
      </c>
      <c r="E759" t="s">
        <v>68</v>
      </c>
      <c r="F759">
        <v>55016</v>
      </c>
      <c r="G759" t="s">
        <v>47</v>
      </c>
      <c r="H759" t="s">
        <v>35</v>
      </c>
      <c r="I759" t="s">
        <v>59</v>
      </c>
      <c r="J759">
        <v>119.8</v>
      </c>
      <c r="K759">
        <v>4</v>
      </c>
      <c r="L759">
        <v>0</v>
      </c>
      <c r="M759">
        <v>47.92</v>
      </c>
    </row>
    <row r="760" spans="1:13" x14ac:dyDescent="0.3">
      <c r="A760" t="s">
        <v>28</v>
      </c>
      <c r="B760" t="s">
        <v>22</v>
      </c>
      <c r="C760" t="s">
        <v>15</v>
      </c>
      <c r="D760" t="s">
        <v>75</v>
      </c>
      <c r="E760" t="s">
        <v>76</v>
      </c>
      <c r="F760">
        <v>10009</v>
      </c>
      <c r="G760" t="s">
        <v>57</v>
      </c>
      <c r="H760" t="s">
        <v>26</v>
      </c>
      <c r="I760" t="s">
        <v>37</v>
      </c>
      <c r="J760">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v>22.72</v>
      </c>
      <c r="K761">
        <v>4</v>
      </c>
      <c r="L761">
        <v>0</v>
      </c>
      <c r="M761">
        <v>10.224</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200</v>
      </c>
      <c r="E763" t="s">
        <v>167</v>
      </c>
      <c r="F763">
        <v>30318</v>
      </c>
      <c r="G763" t="s">
        <v>18</v>
      </c>
      <c r="H763" t="s">
        <v>26</v>
      </c>
      <c r="I763" t="s">
        <v>27</v>
      </c>
      <c r="J763">
        <v>12.39</v>
      </c>
      <c r="K763">
        <v>3</v>
      </c>
      <c r="L763">
        <v>0</v>
      </c>
      <c r="M763">
        <v>5.6993999999999998</v>
      </c>
    </row>
    <row r="764" spans="1:13" x14ac:dyDescent="0.3">
      <c r="A764" t="s">
        <v>28</v>
      </c>
      <c r="B764" t="s">
        <v>14</v>
      </c>
      <c r="C764" t="s">
        <v>15</v>
      </c>
      <c r="D764" t="s">
        <v>103</v>
      </c>
      <c r="E764" t="s">
        <v>104</v>
      </c>
      <c r="F764">
        <v>43229</v>
      </c>
      <c r="G764" t="s">
        <v>57</v>
      </c>
      <c r="H764" t="s">
        <v>35</v>
      </c>
      <c r="I764" t="s">
        <v>36</v>
      </c>
      <c r="J764">
        <v>107.982</v>
      </c>
      <c r="K764">
        <v>3</v>
      </c>
      <c r="L764">
        <v>0.4</v>
      </c>
      <c r="M764">
        <v>-26.9955</v>
      </c>
    </row>
    <row r="765" spans="1:13" x14ac:dyDescent="0.3">
      <c r="A765" t="s">
        <v>13</v>
      </c>
      <c r="B765" t="s">
        <v>22</v>
      </c>
      <c r="C765" t="s">
        <v>15</v>
      </c>
      <c r="D765" t="s">
        <v>234</v>
      </c>
      <c r="E765" t="s">
        <v>125</v>
      </c>
      <c r="F765">
        <v>71111</v>
      </c>
      <c r="G765" t="s">
        <v>18</v>
      </c>
      <c r="H765" t="s">
        <v>26</v>
      </c>
      <c r="I765" t="s">
        <v>60</v>
      </c>
      <c r="J765">
        <v>11.36</v>
      </c>
      <c r="K765">
        <v>2</v>
      </c>
      <c r="L765">
        <v>0</v>
      </c>
      <c r="M765">
        <v>5.3391999999999999</v>
      </c>
    </row>
    <row r="766" spans="1:13" x14ac:dyDescent="0.3">
      <c r="A766" t="s">
        <v>13</v>
      </c>
      <c r="B766" t="s">
        <v>22</v>
      </c>
      <c r="C766" t="s">
        <v>15</v>
      </c>
      <c r="D766" t="s">
        <v>234</v>
      </c>
      <c r="E766" t="s">
        <v>125</v>
      </c>
      <c r="F766">
        <v>71111</v>
      </c>
      <c r="G766" t="s">
        <v>18</v>
      </c>
      <c r="H766" t="s">
        <v>26</v>
      </c>
      <c r="I766" t="s">
        <v>60</v>
      </c>
      <c r="J766">
        <v>50.94</v>
      </c>
      <c r="K766">
        <v>3</v>
      </c>
      <c r="L766">
        <v>0</v>
      </c>
      <c r="M766">
        <v>25.47</v>
      </c>
    </row>
    <row r="767" spans="1:13" x14ac:dyDescent="0.3">
      <c r="A767" t="s">
        <v>13</v>
      </c>
      <c r="B767" t="s">
        <v>22</v>
      </c>
      <c r="C767" t="s">
        <v>15</v>
      </c>
      <c r="D767" t="s">
        <v>234</v>
      </c>
      <c r="E767" t="s">
        <v>125</v>
      </c>
      <c r="F767">
        <v>71111</v>
      </c>
      <c r="G767" t="s">
        <v>18</v>
      </c>
      <c r="H767" t="s">
        <v>35</v>
      </c>
      <c r="I767" t="s">
        <v>59</v>
      </c>
      <c r="J767">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v>5.64</v>
      </c>
      <c r="K768">
        <v>3</v>
      </c>
      <c r="L768">
        <v>0</v>
      </c>
      <c r="M768">
        <v>2.7071999999999998</v>
      </c>
    </row>
    <row r="769" spans="1:13" x14ac:dyDescent="0.3">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v>18.28</v>
      </c>
      <c r="K772">
        <v>2</v>
      </c>
      <c r="L772">
        <v>0</v>
      </c>
      <c r="M772">
        <v>9.14</v>
      </c>
    </row>
    <row r="773" spans="1:13" x14ac:dyDescent="0.3">
      <c r="A773" t="s">
        <v>28</v>
      </c>
      <c r="B773" t="s">
        <v>22</v>
      </c>
      <c r="C773" t="s">
        <v>15</v>
      </c>
      <c r="D773" t="s">
        <v>174</v>
      </c>
      <c r="E773" t="s">
        <v>102</v>
      </c>
      <c r="F773">
        <v>50315</v>
      </c>
      <c r="G773" t="s">
        <v>47</v>
      </c>
      <c r="H773" t="s">
        <v>35</v>
      </c>
      <c r="I773" t="s">
        <v>36</v>
      </c>
      <c r="J773">
        <v>207</v>
      </c>
      <c r="K773">
        <v>3</v>
      </c>
      <c r="L773">
        <v>0</v>
      </c>
      <c r="M773">
        <v>51.75</v>
      </c>
    </row>
    <row r="774" spans="1:13" x14ac:dyDescent="0.3">
      <c r="A774" t="s">
        <v>28</v>
      </c>
      <c r="B774" t="s">
        <v>22</v>
      </c>
      <c r="C774" t="s">
        <v>15</v>
      </c>
      <c r="D774" t="s">
        <v>174</v>
      </c>
      <c r="E774" t="s">
        <v>102</v>
      </c>
      <c r="F774">
        <v>50315</v>
      </c>
      <c r="G774" t="s">
        <v>47</v>
      </c>
      <c r="H774" t="s">
        <v>26</v>
      </c>
      <c r="I774" t="s">
        <v>37</v>
      </c>
      <c r="J774">
        <v>32.35</v>
      </c>
      <c r="K774">
        <v>5</v>
      </c>
      <c r="L774">
        <v>0</v>
      </c>
      <c r="M774">
        <v>16.175000000000001</v>
      </c>
    </row>
    <row r="775" spans="1:13" x14ac:dyDescent="0.3">
      <c r="A775" t="s">
        <v>28</v>
      </c>
      <c r="B775" t="s">
        <v>22</v>
      </c>
      <c r="C775" t="s">
        <v>15</v>
      </c>
      <c r="D775" t="s">
        <v>174</v>
      </c>
      <c r="E775" t="s">
        <v>102</v>
      </c>
      <c r="F775">
        <v>50315</v>
      </c>
      <c r="G775" t="s">
        <v>47</v>
      </c>
      <c r="H775" t="s">
        <v>26</v>
      </c>
      <c r="I775" t="s">
        <v>37</v>
      </c>
      <c r="J775">
        <v>7.71</v>
      </c>
      <c r="K775">
        <v>1</v>
      </c>
      <c r="L775">
        <v>0</v>
      </c>
      <c r="M775">
        <v>3.4695</v>
      </c>
    </row>
    <row r="776" spans="1:13" x14ac:dyDescent="0.3">
      <c r="A776" t="s">
        <v>28</v>
      </c>
      <c r="B776" t="s">
        <v>22</v>
      </c>
      <c r="C776" t="s">
        <v>15</v>
      </c>
      <c r="D776" t="s">
        <v>174</v>
      </c>
      <c r="E776" t="s">
        <v>102</v>
      </c>
      <c r="F776">
        <v>50315</v>
      </c>
      <c r="G776" t="s">
        <v>47</v>
      </c>
      <c r="H776" t="s">
        <v>26</v>
      </c>
      <c r="I776" t="s">
        <v>34</v>
      </c>
      <c r="J776">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v>34.58</v>
      </c>
      <c r="K777">
        <v>7</v>
      </c>
      <c r="L777">
        <v>0</v>
      </c>
      <c r="M777">
        <v>14.5236</v>
      </c>
    </row>
    <row r="778" spans="1:13" x14ac:dyDescent="0.3">
      <c r="A778" t="s">
        <v>28</v>
      </c>
      <c r="B778" t="s">
        <v>14</v>
      </c>
      <c r="C778" t="s">
        <v>15</v>
      </c>
      <c r="D778" t="s">
        <v>148</v>
      </c>
      <c r="E778" t="s">
        <v>104</v>
      </c>
      <c r="F778">
        <v>45231</v>
      </c>
      <c r="G778" t="s">
        <v>57</v>
      </c>
      <c r="H778" t="s">
        <v>26</v>
      </c>
      <c r="I778" t="s">
        <v>34</v>
      </c>
      <c r="J778">
        <v>32.76</v>
      </c>
      <c r="K778">
        <v>7</v>
      </c>
      <c r="L778">
        <v>0.2</v>
      </c>
      <c r="M778">
        <v>3.6855000000000002</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13</v>
      </c>
      <c r="B783" t="s">
        <v>14</v>
      </c>
      <c r="C783" t="s">
        <v>15</v>
      </c>
      <c r="D783" t="s">
        <v>103</v>
      </c>
      <c r="E783" t="s">
        <v>104</v>
      </c>
      <c r="F783">
        <v>43229</v>
      </c>
      <c r="G783" t="s">
        <v>57</v>
      </c>
      <c r="H783" t="s">
        <v>26</v>
      </c>
      <c r="I783" t="s">
        <v>37</v>
      </c>
      <c r="J783">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v>24</v>
      </c>
      <c r="K784">
        <v>2</v>
      </c>
      <c r="L784">
        <v>0.2</v>
      </c>
      <c r="M784">
        <v>-2.7</v>
      </c>
    </row>
    <row r="785" spans="1:13" x14ac:dyDescent="0.3">
      <c r="A785" t="s">
        <v>13</v>
      </c>
      <c r="B785" t="s">
        <v>14</v>
      </c>
      <c r="C785" t="s">
        <v>15</v>
      </c>
      <c r="D785" t="s">
        <v>103</v>
      </c>
      <c r="E785" t="s">
        <v>104</v>
      </c>
      <c r="F785">
        <v>43229</v>
      </c>
      <c r="G785" t="s">
        <v>57</v>
      </c>
      <c r="H785" t="s">
        <v>19</v>
      </c>
      <c r="I785" t="s">
        <v>20</v>
      </c>
      <c r="J785">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
      <c r="A787" t="s">
        <v>28</v>
      </c>
      <c r="B787" t="s">
        <v>22</v>
      </c>
      <c r="C787" t="s">
        <v>15</v>
      </c>
      <c r="D787" t="s">
        <v>90</v>
      </c>
      <c r="E787" t="s">
        <v>91</v>
      </c>
      <c r="F787">
        <v>29203</v>
      </c>
      <c r="G787" t="s">
        <v>18</v>
      </c>
      <c r="H787" t="s">
        <v>26</v>
      </c>
      <c r="I787" t="s">
        <v>60</v>
      </c>
      <c r="J787">
        <v>186.69</v>
      </c>
      <c r="K787">
        <v>3</v>
      </c>
      <c r="L787">
        <v>0</v>
      </c>
      <c r="M787">
        <v>87.744299999999996</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v>143.96</v>
      </c>
      <c r="K790">
        <v>4</v>
      </c>
      <c r="L790">
        <v>0</v>
      </c>
      <c r="M790">
        <v>69.100800000000007</v>
      </c>
    </row>
    <row r="791" spans="1:13" x14ac:dyDescent="0.3">
      <c r="A791" t="s">
        <v>28</v>
      </c>
      <c r="B791" t="s">
        <v>14</v>
      </c>
      <c r="C791" t="s">
        <v>15</v>
      </c>
      <c r="D791" t="s">
        <v>182</v>
      </c>
      <c r="E791" t="s">
        <v>83</v>
      </c>
      <c r="F791">
        <v>23223</v>
      </c>
      <c r="G791" t="s">
        <v>18</v>
      </c>
      <c r="H791" t="s">
        <v>26</v>
      </c>
      <c r="I791" t="s">
        <v>32</v>
      </c>
      <c r="J791">
        <v>15.42</v>
      </c>
      <c r="K791">
        <v>1</v>
      </c>
      <c r="L791">
        <v>0</v>
      </c>
      <c r="M791">
        <v>4.1634000000000002</v>
      </c>
    </row>
    <row r="792" spans="1:13" x14ac:dyDescent="0.3">
      <c r="A792" t="s">
        <v>28</v>
      </c>
      <c r="B792" t="s">
        <v>14</v>
      </c>
      <c r="C792" t="s">
        <v>15</v>
      </c>
      <c r="D792" t="s">
        <v>182</v>
      </c>
      <c r="E792" t="s">
        <v>83</v>
      </c>
      <c r="F792">
        <v>23223</v>
      </c>
      <c r="G792" t="s">
        <v>18</v>
      </c>
      <c r="H792" t="s">
        <v>26</v>
      </c>
      <c r="I792" t="s">
        <v>37</v>
      </c>
      <c r="J792">
        <v>43.04</v>
      </c>
      <c r="K792">
        <v>8</v>
      </c>
      <c r="L792">
        <v>0</v>
      </c>
      <c r="M792">
        <v>21.089600000000001</v>
      </c>
    </row>
    <row r="793" spans="1:13" x14ac:dyDescent="0.3">
      <c r="A793" t="s">
        <v>28</v>
      </c>
      <c r="B793" t="s">
        <v>14</v>
      </c>
      <c r="C793" t="s">
        <v>15</v>
      </c>
      <c r="D793" t="s">
        <v>182</v>
      </c>
      <c r="E793" t="s">
        <v>83</v>
      </c>
      <c r="F793">
        <v>23223</v>
      </c>
      <c r="G793" t="s">
        <v>18</v>
      </c>
      <c r="H793" t="s">
        <v>19</v>
      </c>
      <c r="I793" t="s">
        <v>21</v>
      </c>
      <c r="J793">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92</v>
      </c>
      <c r="E797" t="s">
        <v>68</v>
      </c>
      <c r="F797">
        <v>55901</v>
      </c>
      <c r="G797" t="s">
        <v>47</v>
      </c>
      <c r="H797" t="s">
        <v>26</v>
      </c>
      <c r="I797" t="s">
        <v>37</v>
      </c>
      <c r="J797">
        <v>20.16</v>
      </c>
      <c r="K797">
        <v>7</v>
      </c>
      <c r="L797">
        <v>0</v>
      </c>
      <c r="M797">
        <v>9.8783999999999992</v>
      </c>
    </row>
    <row r="798" spans="1:13" x14ac:dyDescent="0.3">
      <c r="A798" t="s">
        <v>62</v>
      </c>
      <c r="B798" t="s">
        <v>22</v>
      </c>
      <c r="C798" t="s">
        <v>15</v>
      </c>
      <c r="D798" t="s">
        <v>92</v>
      </c>
      <c r="E798" t="s">
        <v>76</v>
      </c>
      <c r="F798">
        <v>14609</v>
      </c>
      <c r="G798" t="s">
        <v>57</v>
      </c>
      <c r="H798" t="s">
        <v>26</v>
      </c>
      <c r="I798" t="s">
        <v>41</v>
      </c>
      <c r="J798">
        <v>132.79</v>
      </c>
      <c r="K798">
        <v>7</v>
      </c>
      <c r="L798">
        <v>0</v>
      </c>
      <c r="M798">
        <v>63.739199999999997</v>
      </c>
    </row>
    <row r="799" spans="1:13" x14ac:dyDescent="0.3">
      <c r="A799" t="s">
        <v>62</v>
      </c>
      <c r="B799" t="s">
        <v>22</v>
      </c>
      <c r="C799" t="s">
        <v>15</v>
      </c>
      <c r="D799" t="s">
        <v>92</v>
      </c>
      <c r="E799" t="s">
        <v>76</v>
      </c>
      <c r="F799">
        <v>14609</v>
      </c>
      <c r="G799" t="s">
        <v>57</v>
      </c>
      <c r="H799" t="s">
        <v>26</v>
      </c>
      <c r="I799" t="s">
        <v>41</v>
      </c>
      <c r="J799">
        <v>12.96</v>
      </c>
      <c r="K799">
        <v>2</v>
      </c>
      <c r="L799">
        <v>0</v>
      </c>
      <c r="M799">
        <v>6.2207999999999997</v>
      </c>
    </row>
    <row r="800" spans="1:13" x14ac:dyDescent="0.3">
      <c r="A800" t="s">
        <v>62</v>
      </c>
      <c r="B800" t="s">
        <v>22</v>
      </c>
      <c r="C800" t="s">
        <v>15</v>
      </c>
      <c r="D800" t="s">
        <v>92</v>
      </c>
      <c r="E800" t="s">
        <v>76</v>
      </c>
      <c r="F800">
        <v>14609</v>
      </c>
      <c r="G800" t="s">
        <v>57</v>
      </c>
      <c r="H800" t="s">
        <v>26</v>
      </c>
      <c r="I800" t="s">
        <v>27</v>
      </c>
      <c r="J800">
        <v>21.56</v>
      </c>
      <c r="K800">
        <v>7</v>
      </c>
      <c r="L800">
        <v>0</v>
      </c>
      <c r="M800">
        <v>10.348800000000001</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v>12.96</v>
      </c>
      <c r="K805">
        <v>2</v>
      </c>
      <c r="L805">
        <v>0</v>
      </c>
      <c r="M805">
        <v>6.2207999999999997</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v>28.4</v>
      </c>
      <c r="K809">
        <v>2</v>
      </c>
      <c r="L809">
        <v>0</v>
      </c>
      <c r="M809">
        <v>11.076000000000001</v>
      </c>
    </row>
    <row r="810" spans="1:13" x14ac:dyDescent="0.3">
      <c r="A810" t="s">
        <v>62</v>
      </c>
      <c r="B810" t="s">
        <v>14</v>
      </c>
      <c r="C810" t="s">
        <v>15</v>
      </c>
      <c r="D810" t="s">
        <v>238</v>
      </c>
      <c r="E810" t="s">
        <v>54</v>
      </c>
      <c r="F810">
        <v>68104</v>
      </c>
      <c r="G810" t="s">
        <v>47</v>
      </c>
      <c r="H810" t="s">
        <v>35</v>
      </c>
      <c r="I810" t="s">
        <v>59</v>
      </c>
      <c r="J810">
        <v>149.97</v>
      </c>
      <c r="K810">
        <v>3</v>
      </c>
      <c r="L810">
        <v>0</v>
      </c>
      <c r="M810">
        <v>50.989800000000002</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v>51.84</v>
      </c>
      <c r="K817">
        <v>8</v>
      </c>
      <c r="L817">
        <v>0</v>
      </c>
      <c r="M817">
        <v>24.883199999999999</v>
      </c>
    </row>
    <row r="818" spans="1:13" x14ac:dyDescent="0.3">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v>1228.4649999999999</v>
      </c>
      <c r="K821">
        <v>5</v>
      </c>
      <c r="L821">
        <v>0.3</v>
      </c>
      <c r="M821">
        <v>0</v>
      </c>
    </row>
    <row r="822" spans="1:13" x14ac:dyDescent="0.3">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v>335.52</v>
      </c>
      <c r="K823">
        <v>4</v>
      </c>
      <c r="L823">
        <v>0.2</v>
      </c>
      <c r="M823">
        <v>117.432</v>
      </c>
    </row>
    <row r="824" spans="1:13" x14ac:dyDescent="0.3">
      <c r="A824" t="s">
        <v>28</v>
      </c>
      <c r="B824" t="s">
        <v>14</v>
      </c>
      <c r="C824" t="s">
        <v>15</v>
      </c>
      <c r="D824" t="s">
        <v>152</v>
      </c>
      <c r="E824" t="s">
        <v>132</v>
      </c>
      <c r="F824">
        <v>7109</v>
      </c>
      <c r="G824" t="s">
        <v>57</v>
      </c>
      <c r="H824" t="s">
        <v>35</v>
      </c>
      <c r="I824" t="s">
        <v>59</v>
      </c>
      <c r="J824">
        <v>239.97</v>
      </c>
      <c r="K824">
        <v>3</v>
      </c>
      <c r="L824">
        <v>0</v>
      </c>
      <c r="M824">
        <v>71.991</v>
      </c>
    </row>
    <row r="825" spans="1:13" x14ac:dyDescent="0.3">
      <c r="A825" t="s">
        <v>28</v>
      </c>
      <c r="B825" t="s">
        <v>14</v>
      </c>
      <c r="C825" t="s">
        <v>15</v>
      </c>
      <c r="D825" t="s">
        <v>152</v>
      </c>
      <c r="E825" t="s">
        <v>132</v>
      </c>
      <c r="F825">
        <v>7109</v>
      </c>
      <c r="G825" t="s">
        <v>57</v>
      </c>
      <c r="H825" t="s">
        <v>26</v>
      </c>
      <c r="I825" t="s">
        <v>27</v>
      </c>
      <c r="J825">
        <v>9.82</v>
      </c>
      <c r="K825">
        <v>2</v>
      </c>
      <c r="L825">
        <v>0</v>
      </c>
      <c r="M825">
        <v>4.8117999999999999</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28</v>
      </c>
      <c r="B828" t="s">
        <v>14</v>
      </c>
      <c r="C828" t="s">
        <v>15</v>
      </c>
      <c r="D828" t="s">
        <v>143</v>
      </c>
      <c r="E828" t="s">
        <v>68</v>
      </c>
      <c r="F828">
        <v>55044</v>
      </c>
      <c r="G828" t="s">
        <v>47</v>
      </c>
      <c r="H828" t="s">
        <v>26</v>
      </c>
      <c r="I828" t="s">
        <v>77</v>
      </c>
      <c r="J828">
        <v>35</v>
      </c>
      <c r="K828">
        <v>7</v>
      </c>
      <c r="L828">
        <v>0</v>
      </c>
      <c r="M828">
        <v>16.8</v>
      </c>
    </row>
    <row r="829" spans="1:13" x14ac:dyDescent="0.3">
      <c r="A829" t="s">
        <v>28</v>
      </c>
      <c r="B829" t="s">
        <v>14</v>
      </c>
      <c r="C829" t="s">
        <v>15</v>
      </c>
      <c r="D829" t="s">
        <v>143</v>
      </c>
      <c r="E829" t="s">
        <v>68</v>
      </c>
      <c r="F829">
        <v>55044</v>
      </c>
      <c r="G829" t="s">
        <v>47</v>
      </c>
      <c r="H829" t="s">
        <v>26</v>
      </c>
      <c r="I829" t="s">
        <v>110</v>
      </c>
      <c r="J829">
        <v>37.24</v>
      </c>
      <c r="K829">
        <v>4</v>
      </c>
      <c r="L829">
        <v>0</v>
      </c>
      <c r="M829">
        <v>10.7996</v>
      </c>
    </row>
    <row r="830" spans="1:13" x14ac:dyDescent="0.3">
      <c r="A830" t="s">
        <v>28</v>
      </c>
      <c r="B830" t="s">
        <v>14</v>
      </c>
      <c r="C830" t="s">
        <v>15</v>
      </c>
      <c r="D830" t="s">
        <v>143</v>
      </c>
      <c r="E830" t="s">
        <v>68</v>
      </c>
      <c r="F830">
        <v>55044</v>
      </c>
      <c r="G830" t="s">
        <v>47</v>
      </c>
      <c r="H830" t="s">
        <v>26</v>
      </c>
      <c r="I830" t="s">
        <v>60</v>
      </c>
      <c r="J830">
        <v>15.28</v>
      </c>
      <c r="K830">
        <v>2</v>
      </c>
      <c r="L830">
        <v>0</v>
      </c>
      <c r="M830">
        <v>7.4871999999999996</v>
      </c>
    </row>
    <row r="831" spans="1:13" x14ac:dyDescent="0.3">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v>180.66</v>
      </c>
      <c r="K832">
        <v>3</v>
      </c>
      <c r="L832">
        <v>0</v>
      </c>
      <c r="M832">
        <v>50.584800000000001</v>
      </c>
    </row>
    <row r="833" spans="1:13" x14ac:dyDescent="0.3">
      <c r="A833" t="s">
        <v>13</v>
      </c>
      <c r="B833" t="s">
        <v>14</v>
      </c>
      <c r="C833" t="s">
        <v>15</v>
      </c>
      <c r="D833" t="s">
        <v>242</v>
      </c>
      <c r="E833" t="s">
        <v>17</v>
      </c>
      <c r="F833">
        <v>41042</v>
      </c>
      <c r="G833" t="s">
        <v>18</v>
      </c>
      <c r="H833" t="s">
        <v>35</v>
      </c>
      <c r="I833" t="s">
        <v>36</v>
      </c>
      <c r="J833">
        <v>191.98</v>
      </c>
      <c r="K833">
        <v>2</v>
      </c>
      <c r="L833">
        <v>0</v>
      </c>
      <c r="M833">
        <v>51.834600000000002</v>
      </c>
    </row>
    <row r="834" spans="1:13" x14ac:dyDescent="0.3">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v>21.071999999999999</v>
      </c>
      <c r="K840">
        <v>3</v>
      </c>
      <c r="L840">
        <v>0.2</v>
      </c>
      <c r="M840">
        <v>1.5804</v>
      </c>
    </row>
    <row r="841" spans="1:13" x14ac:dyDescent="0.3">
      <c r="A841" t="s">
        <v>28</v>
      </c>
      <c r="B841" t="s">
        <v>22</v>
      </c>
      <c r="C841" t="s">
        <v>15</v>
      </c>
      <c r="D841" t="s">
        <v>75</v>
      </c>
      <c r="E841" t="s">
        <v>76</v>
      </c>
      <c r="F841">
        <v>10035</v>
      </c>
      <c r="G841" t="s">
        <v>57</v>
      </c>
      <c r="H841" t="s">
        <v>26</v>
      </c>
      <c r="I841" t="s">
        <v>34</v>
      </c>
      <c r="J841">
        <v>60.45</v>
      </c>
      <c r="K841">
        <v>3</v>
      </c>
      <c r="L841">
        <v>0</v>
      </c>
      <c r="M841">
        <v>16.3215</v>
      </c>
    </row>
    <row r="842" spans="1:13" x14ac:dyDescent="0.3">
      <c r="A842" t="s">
        <v>28</v>
      </c>
      <c r="B842" t="s">
        <v>22</v>
      </c>
      <c r="C842" t="s">
        <v>15</v>
      </c>
      <c r="D842" t="s">
        <v>75</v>
      </c>
      <c r="E842" t="s">
        <v>76</v>
      </c>
      <c r="F842">
        <v>10035</v>
      </c>
      <c r="G842" t="s">
        <v>57</v>
      </c>
      <c r="H842" t="s">
        <v>26</v>
      </c>
      <c r="I842" t="s">
        <v>34</v>
      </c>
      <c r="J842">
        <v>11.52</v>
      </c>
      <c r="K842">
        <v>4</v>
      </c>
      <c r="L842">
        <v>0</v>
      </c>
      <c r="M842">
        <v>3.3408000000000002</v>
      </c>
    </row>
    <row r="843" spans="1:13" x14ac:dyDescent="0.3">
      <c r="A843" t="s">
        <v>28</v>
      </c>
      <c r="B843" t="s">
        <v>22</v>
      </c>
      <c r="C843" t="s">
        <v>15</v>
      </c>
      <c r="D843" t="s">
        <v>75</v>
      </c>
      <c r="E843" t="s">
        <v>76</v>
      </c>
      <c r="F843">
        <v>10035</v>
      </c>
      <c r="G843" t="s">
        <v>57</v>
      </c>
      <c r="H843" t="s">
        <v>19</v>
      </c>
      <c r="I843" t="s">
        <v>20</v>
      </c>
      <c r="J843">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14</v>
      </c>
      <c r="C848" t="s">
        <v>15</v>
      </c>
      <c r="D848" t="s">
        <v>183</v>
      </c>
      <c r="E848" t="s">
        <v>17</v>
      </c>
      <c r="F848">
        <v>40214</v>
      </c>
      <c r="G848" t="s">
        <v>18</v>
      </c>
      <c r="H848" t="s">
        <v>35</v>
      </c>
      <c r="I848" t="s">
        <v>36</v>
      </c>
      <c r="J848">
        <v>83.72</v>
      </c>
      <c r="K848">
        <v>7</v>
      </c>
      <c r="L848">
        <v>0</v>
      </c>
      <c r="M848">
        <v>23.441600000000001</v>
      </c>
    </row>
    <row r="849" spans="1:13" x14ac:dyDescent="0.3">
      <c r="A849" t="s">
        <v>28</v>
      </c>
      <c r="B849" t="s">
        <v>14</v>
      </c>
      <c r="C849" t="s">
        <v>15</v>
      </c>
      <c r="D849" t="s">
        <v>183</v>
      </c>
      <c r="E849" t="s">
        <v>17</v>
      </c>
      <c r="F849">
        <v>40214</v>
      </c>
      <c r="G849" t="s">
        <v>18</v>
      </c>
      <c r="H849" t="s">
        <v>19</v>
      </c>
      <c r="I849" t="s">
        <v>21</v>
      </c>
      <c r="J849">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v>185.88</v>
      </c>
      <c r="K854">
        <v>6</v>
      </c>
      <c r="L854">
        <v>0</v>
      </c>
      <c r="M854">
        <v>50.187600000000003</v>
      </c>
    </row>
    <row r="855" spans="1:13" x14ac:dyDescent="0.3">
      <c r="A855" t="s">
        <v>28</v>
      </c>
      <c r="B855" t="s">
        <v>14</v>
      </c>
      <c r="C855" t="s">
        <v>15</v>
      </c>
      <c r="D855" t="s">
        <v>75</v>
      </c>
      <c r="E855" t="s">
        <v>76</v>
      </c>
      <c r="F855">
        <v>10035</v>
      </c>
      <c r="G855" t="s">
        <v>57</v>
      </c>
      <c r="H855" t="s">
        <v>19</v>
      </c>
      <c r="I855" t="s">
        <v>33</v>
      </c>
      <c r="J855">
        <v>44.46</v>
      </c>
      <c r="K855">
        <v>2</v>
      </c>
      <c r="L855">
        <v>0</v>
      </c>
      <c r="M855">
        <v>14.671799999999999</v>
      </c>
    </row>
    <row r="856" spans="1:13" x14ac:dyDescent="0.3">
      <c r="A856" t="s">
        <v>28</v>
      </c>
      <c r="B856" t="s">
        <v>14</v>
      </c>
      <c r="C856" t="s">
        <v>15</v>
      </c>
      <c r="D856" t="s">
        <v>75</v>
      </c>
      <c r="E856" t="s">
        <v>76</v>
      </c>
      <c r="F856">
        <v>10035</v>
      </c>
      <c r="G856" t="s">
        <v>57</v>
      </c>
      <c r="H856" t="s">
        <v>26</v>
      </c>
      <c r="I856" t="s">
        <v>32</v>
      </c>
      <c r="J856">
        <v>242.94</v>
      </c>
      <c r="K856">
        <v>3</v>
      </c>
      <c r="L856">
        <v>0</v>
      </c>
      <c r="M856">
        <v>9.7175999999999991</v>
      </c>
    </row>
    <row r="857" spans="1:13" x14ac:dyDescent="0.3">
      <c r="A857" t="s">
        <v>28</v>
      </c>
      <c r="B857" t="s">
        <v>14</v>
      </c>
      <c r="C857" t="s">
        <v>15</v>
      </c>
      <c r="D857" t="s">
        <v>75</v>
      </c>
      <c r="E857" t="s">
        <v>76</v>
      </c>
      <c r="F857">
        <v>10035</v>
      </c>
      <c r="G857" t="s">
        <v>57</v>
      </c>
      <c r="H857" t="s">
        <v>26</v>
      </c>
      <c r="I857" t="s">
        <v>41</v>
      </c>
      <c r="J857">
        <v>39.96</v>
      </c>
      <c r="K857">
        <v>2</v>
      </c>
      <c r="L857">
        <v>0</v>
      </c>
      <c r="M857">
        <v>18.781199999999998</v>
      </c>
    </row>
    <row r="858" spans="1:13" x14ac:dyDescent="0.3">
      <c r="A858" t="s">
        <v>28</v>
      </c>
      <c r="B858" t="s">
        <v>14</v>
      </c>
      <c r="C858" t="s">
        <v>15</v>
      </c>
      <c r="D858" t="s">
        <v>75</v>
      </c>
      <c r="E858" t="s">
        <v>76</v>
      </c>
      <c r="F858">
        <v>10035</v>
      </c>
      <c r="G858" t="s">
        <v>57</v>
      </c>
      <c r="H858" t="s">
        <v>26</v>
      </c>
      <c r="I858" t="s">
        <v>110</v>
      </c>
      <c r="J858">
        <v>102.3</v>
      </c>
      <c r="K858">
        <v>10</v>
      </c>
      <c r="L858">
        <v>0</v>
      </c>
      <c r="M858">
        <v>26.597999999999999</v>
      </c>
    </row>
    <row r="859" spans="1:13" x14ac:dyDescent="0.3">
      <c r="A859" t="s">
        <v>28</v>
      </c>
      <c r="B859" t="s">
        <v>14</v>
      </c>
      <c r="C859" t="s">
        <v>15</v>
      </c>
      <c r="D859" t="s">
        <v>75</v>
      </c>
      <c r="E859" t="s">
        <v>76</v>
      </c>
      <c r="F859">
        <v>10035</v>
      </c>
      <c r="G859" t="s">
        <v>57</v>
      </c>
      <c r="H859" t="s">
        <v>26</v>
      </c>
      <c r="I859" t="s">
        <v>32</v>
      </c>
      <c r="J859">
        <v>21.36</v>
      </c>
      <c r="K859">
        <v>2</v>
      </c>
      <c r="L859">
        <v>0</v>
      </c>
      <c r="M859">
        <v>5.7671999999999999</v>
      </c>
    </row>
    <row r="860" spans="1:13" x14ac:dyDescent="0.3">
      <c r="A860" t="s">
        <v>28</v>
      </c>
      <c r="B860" t="s">
        <v>44</v>
      </c>
      <c r="C860" t="s">
        <v>15</v>
      </c>
      <c r="D860" t="s">
        <v>246</v>
      </c>
      <c r="E860" t="s">
        <v>132</v>
      </c>
      <c r="F860">
        <v>8901</v>
      </c>
      <c r="G860" t="s">
        <v>57</v>
      </c>
      <c r="H860" t="s">
        <v>26</v>
      </c>
      <c r="I860" t="s">
        <v>41</v>
      </c>
      <c r="J860">
        <v>7.61</v>
      </c>
      <c r="K860">
        <v>1</v>
      </c>
      <c r="L860">
        <v>0</v>
      </c>
      <c r="M860">
        <v>3.5767000000000002</v>
      </c>
    </row>
    <row r="861" spans="1:13" x14ac:dyDescent="0.3">
      <c r="A861" t="s">
        <v>28</v>
      </c>
      <c r="B861" t="s">
        <v>44</v>
      </c>
      <c r="C861" t="s">
        <v>15</v>
      </c>
      <c r="D861" t="s">
        <v>246</v>
      </c>
      <c r="E861" t="s">
        <v>132</v>
      </c>
      <c r="F861">
        <v>8901</v>
      </c>
      <c r="G861" t="s">
        <v>57</v>
      </c>
      <c r="H861" t="s">
        <v>26</v>
      </c>
      <c r="I861" t="s">
        <v>77</v>
      </c>
      <c r="J861">
        <v>7.16</v>
      </c>
      <c r="K861">
        <v>2</v>
      </c>
      <c r="L861">
        <v>0</v>
      </c>
      <c r="M861">
        <v>3.58</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v>2.89</v>
      </c>
      <c r="K867">
        <v>1</v>
      </c>
      <c r="L867">
        <v>0</v>
      </c>
      <c r="M867">
        <v>1.3583000000000001</v>
      </c>
    </row>
    <row r="868" spans="1:13" x14ac:dyDescent="0.3">
      <c r="A868" t="s">
        <v>28</v>
      </c>
      <c r="B868" t="s">
        <v>22</v>
      </c>
      <c r="C868" t="s">
        <v>15</v>
      </c>
      <c r="D868" t="s">
        <v>82</v>
      </c>
      <c r="E868" t="s">
        <v>83</v>
      </c>
      <c r="F868">
        <v>22153</v>
      </c>
      <c r="G868" t="s">
        <v>18</v>
      </c>
      <c r="H868" t="s">
        <v>19</v>
      </c>
      <c r="I868" t="s">
        <v>33</v>
      </c>
      <c r="J868">
        <v>51.94</v>
      </c>
      <c r="K868">
        <v>1</v>
      </c>
      <c r="L868">
        <v>0</v>
      </c>
      <c r="M868">
        <v>21.295400000000001</v>
      </c>
    </row>
    <row r="869" spans="1:13" x14ac:dyDescent="0.3">
      <c r="A869" t="s">
        <v>62</v>
      </c>
      <c r="B869" t="s">
        <v>22</v>
      </c>
      <c r="C869" t="s">
        <v>15</v>
      </c>
      <c r="D869" t="s">
        <v>55</v>
      </c>
      <c r="E869" t="s">
        <v>56</v>
      </c>
      <c r="F869">
        <v>19140</v>
      </c>
      <c r="G869" t="s">
        <v>57</v>
      </c>
      <c r="H869" t="s">
        <v>26</v>
      </c>
      <c r="I869" t="s">
        <v>27</v>
      </c>
      <c r="J869">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v>44.91</v>
      </c>
      <c r="K870">
        <v>6</v>
      </c>
      <c r="L870">
        <v>0.7</v>
      </c>
      <c r="M870">
        <v>-35.927999999999997</v>
      </c>
    </row>
    <row r="871" spans="1:13" x14ac:dyDescent="0.3">
      <c r="A871" t="s">
        <v>62</v>
      </c>
      <c r="B871" t="s">
        <v>44</v>
      </c>
      <c r="C871" t="s">
        <v>15</v>
      </c>
      <c r="D871" t="s">
        <v>55</v>
      </c>
      <c r="E871" t="s">
        <v>56</v>
      </c>
      <c r="F871">
        <v>19143</v>
      </c>
      <c r="G871" t="s">
        <v>57</v>
      </c>
      <c r="H871" t="s">
        <v>26</v>
      </c>
      <c r="I871" t="s">
        <v>37</v>
      </c>
      <c r="J871">
        <v>1141.47</v>
      </c>
      <c r="K871">
        <v>5</v>
      </c>
      <c r="L871">
        <v>0.7</v>
      </c>
      <c r="M871">
        <v>-760.98</v>
      </c>
    </row>
    <row r="872" spans="1:13" x14ac:dyDescent="0.3">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v>34.44</v>
      </c>
      <c r="K873">
        <v>3</v>
      </c>
      <c r="L873">
        <v>0</v>
      </c>
      <c r="M873">
        <v>17.22</v>
      </c>
    </row>
    <row r="874" spans="1:13" x14ac:dyDescent="0.3">
      <c r="A874" t="s">
        <v>28</v>
      </c>
      <c r="B874" t="s">
        <v>14</v>
      </c>
      <c r="C874" t="s">
        <v>15</v>
      </c>
      <c r="D874" t="s">
        <v>75</v>
      </c>
      <c r="E874" t="s">
        <v>76</v>
      </c>
      <c r="F874">
        <v>10009</v>
      </c>
      <c r="G874" t="s">
        <v>57</v>
      </c>
      <c r="H874" t="s">
        <v>26</v>
      </c>
      <c r="I874" t="s">
        <v>41</v>
      </c>
      <c r="J874">
        <v>11.36</v>
      </c>
      <c r="K874">
        <v>2</v>
      </c>
      <c r="L874">
        <v>0</v>
      </c>
      <c r="M874">
        <v>5.2256</v>
      </c>
    </row>
    <row r="875" spans="1:13" x14ac:dyDescent="0.3">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v>192.16</v>
      </c>
      <c r="K876">
        <v>5</v>
      </c>
      <c r="L876">
        <v>0.2</v>
      </c>
      <c r="M876">
        <v>67.256</v>
      </c>
    </row>
    <row r="877" spans="1:13" x14ac:dyDescent="0.3">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v>29.99</v>
      </c>
      <c r="K878">
        <v>1</v>
      </c>
      <c r="L878">
        <v>0</v>
      </c>
      <c r="M878">
        <v>13.195600000000001</v>
      </c>
    </row>
    <row r="879" spans="1:13" x14ac:dyDescent="0.3">
      <c r="A879" t="s">
        <v>28</v>
      </c>
      <c r="B879" t="s">
        <v>44</v>
      </c>
      <c r="C879" t="s">
        <v>15</v>
      </c>
      <c r="D879" t="s">
        <v>39</v>
      </c>
      <c r="E879" t="s">
        <v>247</v>
      </c>
      <c r="F879">
        <v>3301</v>
      </c>
      <c r="G879" t="s">
        <v>57</v>
      </c>
      <c r="H879" t="s">
        <v>35</v>
      </c>
      <c r="I879" t="s">
        <v>59</v>
      </c>
      <c r="J879">
        <v>371.97</v>
      </c>
      <c r="K879">
        <v>3</v>
      </c>
      <c r="L879">
        <v>0</v>
      </c>
      <c r="M879">
        <v>66.954599999999999</v>
      </c>
    </row>
    <row r="880" spans="1:13" x14ac:dyDescent="0.3">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v>1242.9000000000001</v>
      </c>
      <c r="K882">
        <v>5</v>
      </c>
      <c r="L882">
        <v>0.1</v>
      </c>
      <c r="M882">
        <v>262.39</v>
      </c>
    </row>
    <row r="883" spans="1:13" x14ac:dyDescent="0.3">
      <c r="A883" t="s">
        <v>28</v>
      </c>
      <c r="B883" t="s">
        <v>14</v>
      </c>
      <c r="C883" t="s">
        <v>15</v>
      </c>
      <c r="D883" t="s">
        <v>82</v>
      </c>
      <c r="E883" t="s">
        <v>83</v>
      </c>
      <c r="F883">
        <v>22153</v>
      </c>
      <c r="G883" t="s">
        <v>18</v>
      </c>
      <c r="H883" t="s">
        <v>26</v>
      </c>
      <c r="I883" t="s">
        <v>32</v>
      </c>
      <c r="J883">
        <v>30.84</v>
      </c>
      <c r="K883">
        <v>2</v>
      </c>
      <c r="L883">
        <v>0</v>
      </c>
      <c r="M883">
        <v>8.3268000000000004</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62</v>
      </c>
      <c r="B885" t="s">
        <v>44</v>
      </c>
      <c r="C885" t="s">
        <v>15</v>
      </c>
      <c r="D885" t="s">
        <v>140</v>
      </c>
      <c r="E885" t="s">
        <v>70</v>
      </c>
      <c r="F885">
        <v>48227</v>
      </c>
      <c r="G885" t="s">
        <v>47</v>
      </c>
      <c r="H885" t="s">
        <v>19</v>
      </c>
      <c r="I885" t="s">
        <v>33</v>
      </c>
      <c r="J885">
        <v>31.4</v>
      </c>
      <c r="K885">
        <v>5</v>
      </c>
      <c r="L885">
        <v>0</v>
      </c>
      <c r="M885">
        <v>10.048</v>
      </c>
    </row>
    <row r="886" spans="1:13" x14ac:dyDescent="0.3">
      <c r="A886" t="s">
        <v>28</v>
      </c>
      <c r="B886" t="s">
        <v>14</v>
      </c>
      <c r="C886" t="s">
        <v>15</v>
      </c>
      <c r="D886" t="s">
        <v>92</v>
      </c>
      <c r="E886" t="s">
        <v>76</v>
      </c>
      <c r="F886">
        <v>14609</v>
      </c>
      <c r="G886" t="s">
        <v>57</v>
      </c>
      <c r="H886" t="s">
        <v>19</v>
      </c>
      <c r="I886" t="s">
        <v>33</v>
      </c>
      <c r="J886">
        <v>17.46</v>
      </c>
      <c r="K886">
        <v>2</v>
      </c>
      <c r="L886">
        <v>0</v>
      </c>
      <c r="M886">
        <v>5.9363999999999999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v>4.54</v>
      </c>
      <c r="K893">
        <v>1</v>
      </c>
      <c r="L893">
        <v>0</v>
      </c>
      <c r="M893">
        <v>2.0430000000000001</v>
      </c>
    </row>
    <row r="894" spans="1:13" x14ac:dyDescent="0.3">
      <c r="A894" t="s">
        <v>62</v>
      </c>
      <c r="B894" t="s">
        <v>44</v>
      </c>
      <c r="C894" t="s">
        <v>15</v>
      </c>
      <c r="D894" t="s">
        <v>140</v>
      </c>
      <c r="E894" t="s">
        <v>70</v>
      </c>
      <c r="F894">
        <v>48227</v>
      </c>
      <c r="G894" t="s">
        <v>47</v>
      </c>
      <c r="H894" t="s">
        <v>26</v>
      </c>
      <c r="I894" t="s">
        <v>34</v>
      </c>
      <c r="J894">
        <v>15.92</v>
      </c>
      <c r="K894">
        <v>4</v>
      </c>
      <c r="L894">
        <v>0</v>
      </c>
      <c r="M894">
        <v>5.4127999999999998</v>
      </c>
    </row>
    <row r="895" spans="1:13" x14ac:dyDescent="0.3">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v>103.6</v>
      </c>
      <c r="K899">
        <v>7</v>
      </c>
      <c r="L899">
        <v>0</v>
      </c>
      <c r="M899">
        <v>51.8</v>
      </c>
    </row>
    <row r="900" spans="1:13" x14ac:dyDescent="0.3">
      <c r="A900" t="s">
        <v>13</v>
      </c>
      <c r="B900" t="s">
        <v>22</v>
      </c>
      <c r="C900" t="s">
        <v>15</v>
      </c>
      <c r="D900" t="s">
        <v>190</v>
      </c>
      <c r="E900" t="s">
        <v>76</v>
      </c>
      <c r="F900">
        <v>13021</v>
      </c>
      <c r="G900" t="s">
        <v>57</v>
      </c>
      <c r="H900" t="s">
        <v>26</v>
      </c>
      <c r="I900" t="s">
        <v>41</v>
      </c>
      <c r="J900">
        <v>46.96</v>
      </c>
      <c r="K900">
        <v>8</v>
      </c>
      <c r="L900">
        <v>0</v>
      </c>
      <c r="M900">
        <v>22.540800000000001</v>
      </c>
    </row>
    <row r="901" spans="1:13" x14ac:dyDescent="0.3">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v>10.44</v>
      </c>
      <c r="K902">
        <v>5</v>
      </c>
      <c r="L902">
        <v>0.2</v>
      </c>
      <c r="M902">
        <v>3.3929999999999998</v>
      </c>
    </row>
    <row r="903" spans="1:13" x14ac:dyDescent="0.3">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v>323.976</v>
      </c>
      <c r="K904">
        <v>3</v>
      </c>
      <c r="L904">
        <v>0.2</v>
      </c>
      <c r="M904">
        <v>20.2485</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v>90.93</v>
      </c>
      <c r="K909">
        <v>7</v>
      </c>
      <c r="L909">
        <v>0</v>
      </c>
      <c r="M909">
        <v>2.7279</v>
      </c>
    </row>
    <row r="910" spans="1:13" x14ac:dyDescent="0.3">
      <c r="A910" t="s">
        <v>28</v>
      </c>
      <c r="B910" t="s">
        <v>14</v>
      </c>
      <c r="C910" t="s">
        <v>15</v>
      </c>
      <c r="D910" t="s">
        <v>75</v>
      </c>
      <c r="E910" t="s">
        <v>76</v>
      </c>
      <c r="F910">
        <v>10009</v>
      </c>
      <c r="G910" t="s">
        <v>57</v>
      </c>
      <c r="H910" t="s">
        <v>26</v>
      </c>
      <c r="I910" t="s">
        <v>37</v>
      </c>
      <c r="J910">
        <v>52.776000000000003</v>
      </c>
      <c r="K910">
        <v>3</v>
      </c>
      <c r="L910">
        <v>0.2</v>
      </c>
      <c r="M910">
        <v>19.791</v>
      </c>
    </row>
    <row r="911" spans="1:13" x14ac:dyDescent="0.3">
      <c r="A911" t="s">
        <v>28</v>
      </c>
      <c r="B911" t="s">
        <v>44</v>
      </c>
      <c r="C911" t="s">
        <v>15</v>
      </c>
      <c r="D911" t="s">
        <v>84</v>
      </c>
      <c r="E911" t="s">
        <v>70</v>
      </c>
      <c r="F911">
        <v>49201</v>
      </c>
      <c r="G911" t="s">
        <v>47</v>
      </c>
      <c r="H911" t="s">
        <v>35</v>
      </c>
      <c r="I911" t="s">
        <v>36</v>
      </c>
      <c r="J911">
        <v>1199.8</v>
      </c>
      <c r="K911">
        <v>4</v>
      </c>
      <c r="L911">
        <v>0</v>
      </c>
      <c r="M911">
        <v>323.94600000000003</v>
      </c>
    </row>
    <row r="912" spans="1:13" x14ac:dyDescent="0.3">
      <c r="A912" t="s">
        <v>28</v>
      </c>
      <c r="B912" t="s">
        <v>44</v>
      </c>
      <c r="C912" t="s">
        <v>15</v>
      </c>
      <c r="D912" t="s">
        <v>84</v>
      </c>
      <c r="E912" t="s">
        <v>70</v>
      </c>
      <c r="F912">
        <v>49201</v>
      </c>
      <c r="G912" t="s">
        <v>47</v>
      </c>
      <c r="H912" t="s">
        <v>35</v>
      </c>
      <c r="I912" t="s">
        <v>59</v>
      </c>
      <c r="J912">
        <v>1928.78</v>
      </c>
      <c r="K912">
        <v>7</v>
      </c>
      <c r="L912">
        <v>0</v>
      </c>
      <c r="M912">
        <v>829.37540000000001</v>
      </c>
    </row>
    <row r="913" spans="1:13" x14ac:dyDescent="0.3">
      <c r="A913" t="s">
        <v>28</v>
      </c>
      <c r="B913" t="s">
        <v>44</v>
      </c>
      <c r="C913" t="s">
        <v>15</v>
      </c>
      <c r="D913" t="s">
        <v>84</v>
      </c>
      <c r="E913" t="s">
        <v>70</v>
      </c>
      <c r="F913">
        <v>49201</v>
      </c>
      <c r="G913" t="s">
        <v>47</v>
      </c>
      <c r="H913" t="s">
        <v>26</v>
      </c>
      <c r="I913" t="s">
        <v>32</v>
      </c>
      <c r="J913">
        <v>352.38</v>
      </c>
      <c r="K913">
        <v>2</v>
      </c>
      <c r="L913">
        <v>0</v>
      </c>
      <c r="M913">
        <v>81.047399999999996</v>
      </c>
    </row>
    <row r="914" spans="1:13" x14ac:dyDescent="0.3">
      <c r="A914" t="s">
        <v>28</v>
      </c>
      <c r="B914" t="s">
        <v>44</v>
      </c>
      <c r="C914" t="s">
        <v>15</v>
      </c>
      <c r="D914" t="s">
        <v>250</v>
      </c>
      <c r="E914" t="s">
        <v>127</v>
      </c>
      <c r="F914">
        <v>6360</v>
      </c>
      <c r="G914" t="s">
        <v>57</v>
      </c>
      <c r="H914" t="s">
        <v>19</v>
      </c>
      <c r="I914" t="s">
        <v>33</v>
      </c>
      <c r="J914">
        <v>22.2</v>
      </c>
      <c r="K914">
        <v>6</v>
      </c>
      <c r="L914">
        <v>0</v>
      </c>
      <c r="M914">
        <v>9.1020000000000003</v>
      </c>
    </row>
    <row r="915" spans="1:13" x14ac:dyDescent="0.3">
      <c r="A915" t="s">
        <v>62</v>
      </c>
      <c r="B915" t="s">
        <v>22</v>
      </c>
      <c r="C915" t="s">
        <v>15</v>
      </c>
      <c r="D915" t="s">
        <v>241</v>
      </c>
      <c r="E915" t="s">
        <v>49</v>
      </c>
      <c r="F915">
        <v>53209</v>
      </c>
      <c r="G915" t="s">
        <v>47</v>
      </c>
      <c r="H915" t="s">
        <v>19</v>
      </c>
      <c r="I915" t="s">
        <v>33</v>
      </c>
      <c r="J915">
        <v>46.94</v>
      </c>
      <c r="K915">
        <v>1</v>
      </c>
      <c r="L915">
        <v>0</v>
      </c>
      <c r="M915">
        <v>19.2454</v>
      </c>
    </row>
    <row r="916" spans="1:13" x14ac:dyDescent="0.3">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v>24.56</v>
      </c>
      <c r="K922">
        <v>2</v>
      </c>
      <c r="L922">
        <v>0</v>
      </c>
      <c r="M922">
        <v>6.8768000000000002</v>
      </c>
    </row>
    <row r="923" spans="1:13" x14ac:dyDescent="0.3">
      <c r="A923" t="s">
        <v>28</v>
      </c>
      <c r="B923" t="s">
        <v>14</v>
      </c>
      <c r="C923" t="s">
        <v>15</v>
      </c>
      <c r="D923" t="s">
        <v>75</v>
      </c>
      <c r="E923" t="s">
        <v>76</v>
      </c>
      <c r="F923">
        <v>10009</v>
      </c>
      <c r="G923" t="s">
        <v>57</v>
      </c>
      <c r="H923" t="s">
        <v>35</v>
      </c>
      <c r="I923" t="s">
        <v>59</v>
      </c>
      <c r="J923">
        <v>85.14</v>
      </c>
      <c r="K923">
        <v>3</v>
      </c>
      <c r="L923">
        <v>0</v>
      </c>
      <c r="M923">
        <v>34.907400000000003</v>
      </c>
    </row>
    <row r="924" spans="1:13" x14ac:dyDescent="0.3">
      <c r="A924" t="s">
        <v>28</v>
      </c>
      <c r="B924" t="s">
        <v>14</v>
      </c>
      <c r="C924" t="s">
        <v>15</v>
      </c>
      <c r="D924" t="s">
        <v>75</v>
      </c>
      <c r="E924" t="s">
        <v>76</v>
      </c>
      <c r="F924">
        <v>10009</v>
      </c>
      <c r="G924" t="s">
        <v>57</v>
      </c>
      <c r="H924" t="s">
        <v>35</v>
      </c>
      <c r="I924" t="s">
        <v>36</v>
      </c>
      <c r="J924">
        <v>21.99</v>
      </c>
      <c r="K924">
        <v>1</v>
      </c>
      <c r="L924">
        <v>0</v>
      </c>
      <c r="M924">
        <v>10.555199999999999</v>
      </c>
    </row>
    <row r="925" spans="1:13" x14ac:dyDescent="0.3">
      <c r="A925" t="s">
        <v>28</v>
      </c>
      <c r="B925" t="s">
        <v>14</v>
      </c>
      <c r="C925" t="s">
        <v>15</v>
      </c>
      <c r="D925" t="s">
        <v>75</v>
      </c>
      <c r="E925" t="s">
        <v>76</v>
      </c>
      <c r="F925">
        <v>10009</v>
      </c>
      <c r="G925" t="s">
        <v>57</v>
      </c>
      <c r="H925" t="s">
        <v>26</v>
      </c>
      <c r="I925" t="s">
        <v>38</v>
      </c>
      <c r="J925">
        <v>406.6</v>
      </c>
      <c r="K925">
        <v>5</v>
      </c>
      <c r="L925">
        <v>0</v>
      </c>
      <c r="M925">
        <v>113.848</v>
      </c>
    </row>
    <row r="926" spans="1:13" x14ac:dyDescent="0.3">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v>15.552</v>
      </c>
      <c r="K927">
        <v>3</v>
      </c>
      <c r="L927">
        <v>0.2</v>
      </c>
      <c r="M927">
        <v>5.4432</v>
      </c>
    </row>
    <row r="928" spans="1:13" x14ac:dyDescent="0.3">
      <c r="A928" t="s">
        <v>62</v>
      </c>
      <c r="B928" t="s">
        <v>14</v>
      </c>
      <c r="C928" t="s">
        <v>15</v>
      </c>
      <c r="D928" t="s">
        <v>55</v>
      </c>
      <c r="E928" t="s">
        <v>56</v>
      </c>
      <c r="F928">
        <v>19143</v>
      </c>
      <c r="G928" t="s">
        <v>57</v>
      </c>
      <c r="H928" t="s">
        <v>35</v>
      </c>
      <c r="I928" t="s">
        <v>59</v>
      </c>
      <c r="J928">
        <v>252</v>
      </c>
      <c r="K928">
        <v>5</v>
      </c>
      <c r="L928">
        <v>0.2</v>
      </c>
      <c r="M928">
        <v>53.55</v>
      </c>
    </row>
    <row r="929" spans="1:13" x14ac:dyDescent="0.3">
      <c r="A929" t="s">
        <v>28</v>
      </c>
      <c r="B929" t="s">
        <v>44</v>
      </c>
      <c r="C929" t="s">
        <v>15</v>
      </c>
      <c r="D929" t="s">
        <v>82</v>
      </c>
      <c r="E929" t="s">
        <v>83</v>
      </c>
      <c r="F929">
        <v>22153</v>
      </c>
      <c r="G929" t="s">
        <v>18</v>
      </c>
      <c r="H929" t="s">
        <v>26</v>
      </c>
      <c r="I929" t="s">
        <v>34</v>
      </c>
      <c r="J929">
        <v>46.2</v>
      </c>
      <c r="K929">
        <v>4</v>
      </c>
      <c r="L929">
        <v>0</v>
      </c>
      <c r="M929">
        <v>12.936</v>
      </c>
    </row>
    <row r="930" spans="1:13" x14ac:dyDescent="0.3">
      <c r="A930" t="s">
        <v>28</v>
      </c>
      <c r="B930" t="s">
        <v>44</v>
      </c>
      <c r="C930" t="s">
        <v>15</v>
      </c>
      <c r="D930" t="s">
        <v>82</v>
      </c>
      <c r="E930" t="s">
        <v>83</v>
      </c>
      <c r="F930">
        <v>22153</v>
      </c>
      <c r="G930" t="s">
        <v>18</v>
      </c>
      <c r="H930" t="s">
        <v>26</v>
      </c>
      <c r="I930" t="s">
        <v>38</v>
      </c>
      <c r="J930">
        <v>28.84</v>
      </c>
      <c r="K930">
        <v>2</v>
      </c>
      <c r="L930">
        <v>0</v>
      </c>
      <c r="M930">
        <v>9.5172000000000008</v>
      </c>
    </row>
    <row r="931" spans="1:13" x14ac:dyDescent="0.3">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v>13.872</v>
      </c>
      <c r="K933">
        <v>3</v>
      </c>
      <c r="L933">
        <v>0.2</v>
      </c>
      <c r="M933">
        <v>5.0286</v>
      </c>
    </row>
    <row r="934" spans="1:13" x14ac:dyDescent="0.3">
      <c r="A934" t="s">
        <v>28</v>
      </c>
      <c r="B934" t="s">
        <v>14</v>
      </c>
      <c r="C934" t="s">
        <v>15</v>
      </c>
      <c r="D934" t="s">
        <v>55</v>
      </c>
      <c r="E934" t="s">
        <v>56</v>
      </c>
      <c r="F934">
        <v>19140</v>
      </c>
      <c r="G934" t="s">
        <v>57</v>
      </c>
      <c r="H934" t="s">
        <v>26</v>
      </c>
      <c r="I934" t="s">
        <v>41</v>
      </c>
      <c r="J934">
        <v>12.192</v>
      </c>
      <c r="K934">
        <v>3</v>
      </c>
      <c r="L934">
        <v>0.2</v>
      </c>
      <c r="M934">
        <v>4.1147999999999998</v>
      </c>
    </row>
    <row r="935" spans="1:13" x14ac:dyDescent="0.3">
      <c r="A935" t="s">
        <v>28</v>
      </c>
      <c r="B935" t="s">
        <v>44</v>
      </c>
      <c r="C935" t="s">
        <v>15</v>
      </c>
      <c r="D935" t="s">
        <v>55</v>
      </c>
      <c r="E935" t="s">
        <v>56</v>
      </c>
      <c r="F935">
        <v>19120</v>
      </c>
      <c r="G935" t="s">
        <v>57</v>
      </c>
      <c r="H935" t="s">
        <v>26</v>
      </c>
      <c r="I935" t="s">
        <v>41</v>
      </c>
      <c r="J935">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v>29.718</v>
      </c>
      <c r="K936">
        <v>6</v>
      </c>
      <c r="L936">
        <v>0.7</v>
      </c>
      <c r="M936">
        <v>-21.793199999999999</v>
      </c>
    </row>
    <row r="937" spans="1:13" x14ac:dyDescent="0.3">
      <c r="A937" t="s">
        <v>28</v>
      </c>
      <c r="B937" t="s">
        <v>44</v>
      </c>
      <c r="C937" t="s">
        <v>15</v>
      </c>
      <c r="D937" t="s">
        <v>55</v>
      </c>
      <c r="E937" t="s">
        <v>56</v>
      </c>
      <c r="F937">
        <v>19120</v>
      </c>
      <c r="G937" t="s">
        <v>57</v>
      </c>
      <c r="H937" t="s">
        <v>26</v>
      </c>
      <c r="I937" t="s">
        <v>41</v>
      </c>
      <c r="J937">
        <v>15.552</v>
      </c>
      <c r="K937">
        <v>3</v>
      </c>
      <c r="L937">
        <v>0.2</v>
      </c>
      <c r="M937">
        <v>5.4432</v>
      </c>
    </row>
    <row r="938" spans="1:13" x14ac:dyDescent="0.3">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v>15.552</v>
      </c>
      <c r="K952">
        <v>3</v>
      </c>
      <c r="L952">
        <v>0.2</v>
      </c>
      <c r="M952">
        <v>5.4432</v>
      </c>
    </row>
    <row r="953" spans="1:13" x14ac:dyDescent="0.3">
      <c r="A953" t="s">
        <v>28</v>
      </c>
      <c r="B953" t="s">
        <v>44</v>
      </c>
      <c r="C953" t="s">
        <v>15</v>
      </c>
      <c r="D953" t="s">
        <v>55</v>
      </c>
      <c r="E953" t="s">
        <v>56</v>
      </c>
      <c r="F953">
        <v>19120</v>
      </c>
      <c r="G953" t="s">
        <v>57</v>
      </c>
      <c r="H953" t="s">
        <v>26</v>
      </c>
      <c r="I953" t="s">
        <v>41</v>
      </c>
      <c r="J953">
        <v>25.344000000000001</v>
      </c>
      <c r="K953">
        <v>6</v>
      </c>
      <c r="L953">
        <v>0.2</v>
      </c>
      <c r="M953">
        <v>7.92</v>
      </c>
    </row>
    <row r="954" spans="1:13" x14ac:dyDescent="0.3">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
      <c r="A957" t="s">
        <v>28</v>
      </c>
      <c r="B957" t="s">
        <v>14</v>
      </c>
      <c r="C957" t="s">
        <v>15</v>
      </c>
      <c r="D957" t="s">
        <v>84</v>
      </c>
      <c r="E957" t="s">
        <v>185</v>
      </c>
      <c r="F957">
        <v>39212</v>
      </c>
      <c r="G957" t="s">
        <v>18</v>
      </c>
      <c r="H957" t="s">
        <v>26</v>
      </c>
      <c r="I957" t="s">
        <v>32</v>
      </c>
      <c r="J957">
        <v>173.8</v>
      </c>
      <c r="K957">
        <v>5</v>
      </c>
      <c r="L957">
        <v>0</v>
      </c>
      <c r="M957">
        <v>43.45</v>
      </c>
    </row>
    <row r="958" spans="1:13" x14ac:dyDescent="0.3">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
      <c r="A960" t="s">
        <v>13</v>
      </c>
      <c r="B960" t="s">
        <v>14</v>
      </c>
      <c r="C960" t="s">
        <v>15</v>
      </c>
      <c r="D960" t="s">
        <v>108</v>
      </c>
      <c r="E960" t="s">
        <v>81</v>
      </c>
      <c r="F960">
        <v>85023</v>
      </c>
      <c r="G960" t="s">
        <v>25</v>
      </c>
      <c r="H960" t="s">
        <v>26</v>
      </c>
      <c r="I960" t="s">
        <v>41</v>
      </c>
      <c r="J960">
        <v>15.552</v>
      </c>
      <c r="K960">
        <v>3</v>
      </c>
      <c r="L960">
        <v>0.2</v>
      </c>
      <c r="M960">
        <v>5.6375999999999999</v>
      </c>
    </row>
    <row r="961" spans="1:13" x14ac:dyDescent="0.3">
      <c r="A961" t="s">
        <v>168</v>
      </c>
      <c r="B961" t="s">
        <v>14</v>
      </c>
      <c r="C961" t="s">
        <v>15</v>
      </c>
      <c r="D961" t="s">
        <v>230</v>
      </c>
      <c r="E961" t="s">
        <v>24</v>
      </c>
      <c r="F961">
        <v>92054</v>
      </c>
      <c r="G961" t="s">
        <v>25</v>
      </c>
      <c r="H961" t="s">
        <v>19</v>
      </c>
      <c r="I961" t="s">
        <v>33</v>
      </c>
      <c r="J961">
        <v>204.6</v>
      </c>
      <c r="K961">
        <v>2</v>
      </c>
      <c r="L961">
        <v>0</v>
      </c>
      <c r="M961">
        <v>53.195999999999998</v>
      </c>
    </row>
    <row r="962" spans="1:13" x14ac:dyDescent="0.3">
      <c r="A962" t="s">
        <v>28</v>
      </c>
      <c r="B962" t="s">
        <v>22</v>
      </c>
      <c r="C962" t="s">
        <v>15</v>
      </c>
      <c r="D962" t="s">
        <v>52</v>
      </c>
      <c r="E962" t="s">
        <v>24</v>
      </c>
      <c r="F962">
        <v>94110</v>
      </c>
      <c r="G962" t="s">
        <v>25</v>
      </c>
      <c r="H962" t="s">
        <v>19</v>
      </c>
      <c r="I962" t="s">
        <v>21</v>
      </c>
      <c r="J962">
        <v>321.56799999999998</v>
      </c>
      <c r="K962">
        <v>2</v>
      </c>
      <c r="L962">
        <v>0.2</v>
      </c>
      <c r="M962">
        <v>28.1372</v>
      </c>
    </row>
    <row r="963" spans="1:13" x14ac:dyDescent="0.3">
      <c r="A963" t="s">
        <v>28</v>
      </c>
      <c r="B963" t="s">
        <v>44</v>
      </c>
      <c r="C963" t="s">
        <v>15</v>
      </c>
      <c r="D963" t="s">
        <v>196</v>
      </c>
      <c r="E963" t="s">
        <v>197</v>
      </c>
      <c r="F963">
        <v>72701</v>
      </c>
      <c r="G963" t="s">
        <v>18</v>
      </c>
      <c r="H963" t="s">
        <v>26</v>
      </c>
      <c r="I963" t="s">
        <v>37</v>
      </c>
      <c r="J963">
        <v>6.24</v>
      </c>
      <c r="K963">
        <v>2</v>
      </c>
      <c r="L963">
        <v>0</v>
      </c>
      <c r="M963">
        <v>3.0575999999999999</v>
      </c>
    </row>
    <row r="964" spans="1:13" x14ac:dyDescent="0.3">
      <c r="A964" t="s">
        <v>62</v>
      </c>
      <c r="B964" t="s">
        <v>22</v>
      </c>
      <c r="C964" t="s">
        <v>15</v>
      </c>
      <c r="D964" t="s">
        <v>52</v>
      </c>
      <c r="E964" t="s">
        <v>24</v>
      </c>
      <c r="F964">
        <v>94110</v>
      </c>
      <c r="G964" t="s">
        <v>25</v>
      </c>
      <c r="H964" t="s">
        <v>26</v>
      </c>
      <c r="I964" t="s">
        <v>60</v>
      </c>
      <c r="J964">
        <v>21.88</v>
      </c>
      <c r="K964">
        <v>2</v>
      </c>
      <c r="L964">
        <v>0</v>
      </c>
      <c r="M964">
        <v>10.94</v>
      </c>
    </row>
    <row r="965" spans="1:13" x14ac:dyDescent="0.3">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
      <c r="A966" t="s">
        <v>62</v>
      </c>
      <c r="B966" t="s">
        <v>44</v>
      </c>
      <c r="C966" t="s">
        <v>15</v>
      </c>
      <c r="D966" t="s">
        <v>75</v>
      </c>
      <c r="E966" t="s">
        <v>76</v>
      </c>
      <c r="F966">
        <v>10011</v>
      </c>
      <c r="G966" t="s">
        <v>57</v>
      </c>
      <c r="H966" t="s">
        <v>26</v>
      </c>
      <c r="I966" t="s">
        <v>27</v>
      </c>
      <c r="J966">
        <v>9.82</v>
      </c>
      <c r="K966">
        <v>2</v>
      </c>
      <c r="L966">
        <v>0</v>
      </c>
      <c r="M966">
        <v>4.8117999999999999</v>
      </c>
    </row>
    <row r="967" spans="1:13" x14ac:dyDescent="0.3">
      <c r="A967" t="s">
        <v>62</v>
      </c>
      <c r="B967" t="s">
        <v>44</v>
      </c>
      <c r="C967" t="s">
        <v>15</v>
      </c>
      <c r="D967" t="s">
        <v>75</v>
      </c>
      <c r="E967" t="s">
        <v>76</v>
      </c>
      <c r="F967">
        <v>10011</v>
      </c>
      <c r="G967" t="s">
        <v>57</v>
      </c>
      <c r="H967" t="s">
        <v>26</v>
      </c>
      <c r="I967" t="s">
        <v>34</v>
      </c>
      <c r="J967">
        <v>35.97</v>
      </c>
      <c r="K967">
        <v>3</v>
      </c>
      <c r="L967">
        <v>0</v>
      </c>
      <c r="M967">
        <v>9.7119</v>
      </c>
    </row>
    <row r="968" spans="1:13" x14ac:dyDescent="0.3">
      <c r="A968" t="s">
        <v>62</v>
      </c>
      <c r="B968" t="s">
        <v>44</v>
      </c>
      <c r="C968" t="s">
        <v>15</v>
      </c>
      <c r="D968" t="s">
        <v>75</v>
      </c>
      <c r="E968" t="s">
        <v>76</v>
      </c>
      <c r="F968">
        <v>10011</v>
      </c>
      <c r="G968" t="s">
        <v>57</v>
      </c>
      <c r="H968" t="s">
        <v>26</v>
      </c>
      <c r="I968" t="s">
        <v>41</v>
      </c>
      <c r="J968">
        <v>12.96</v>
      </c>
      <c r="K968">
        <v>2</v>
      </c>
      <c r="L968">
        <v>0</v>
      </c>
      <c r="M968">
        <v>6.2207999999999997</v>
      </c>
    </row>
    <row r="969" spans="1:13" x14ac:dyDescent="0.3">
      <c r="A969" t="s">
        <v>62</v>
      </c>
      <c r="B969" t="s">
        <v>44</v>
      </c>
      <c r="C969" t="s">
        <v>15</v>
      </c>
      <c r="D969" t="s">
        <v>75</v>
      </c>
      <c r="E969" t="s">
        <v>76</v>
      </c>
      <c r="F969">
        <v>10011</v>
      </c>
      <c r="G969" t="s">
        <v>57</v>
      </c>
      <c r="H969" t="s">
        <v>26</v>
      </c>
      <c r="I969" t="s">
        <v>41</v>
      </c>
      <c r="J969">
        <v>191.6</v>
      </c>
      <c r="K969">
        <v>4</v>
      </c>
      <c r="L969">
        <v>0</v>
      </c>
      <c r="M969">
        <v>91.968000000000004</v>
      </c>
    </row>
    <row r="970" spans="1:13" x14ac:dyDescent="0.3">
      <c r="A970" t="s">
        <v>62</v>
      </c>
      <c r="B970" t="s">
        <v>44</v>
      </c>
      <c r="C970" t="s">
        <v>15</v>
      </c>
      <c r="D970" t="s">
        <v>75</v>
      </c>
      <c r="E970" t="s">
        <v>76</v>
      </c>
      <c r="F970">
        <v>10011</v>
      </c>
      <c r="G970" t="s">
        <v>57</v>
      </c>
      <c r="H970" t="s">
        <v>26</v>
      </c>
      <c r="I970" t="s">
        <v>27</v>
      </c>
      <c r="J970">
        <v>8.64</v>
      </c>
      <c r="K970">
        <v>3</v>
      </c>
      <c r="L970">
        <v>0</v>
      </c>
      <c r="M970">
        <v>4.2336</v>
      </c>
    </row>
    <row r="971" spans="1:13" x14ac:dyDescent="0.3">
      <c r="A971" t="s">
        <v>62</v>
      </c>
      <c r="B971" t="s">
        <v>44</v>
      </c>
      <c r="C971" t="s">
        <v>15</v>
      </c>
      <c r="D971" t="s">
        <v>75</v>
      </c>
      <c r="E971" t="s">
        <v>76</v>
      </c>
      <c r="F971">
        <v>10011</v>
      </c>
      <c r="G971" t="s">
        <v>57</v>
      </c>
      <c r="H971" t="s">
        <v>26</v>
      </c>
      <c r="I971" t="s">
        <v>32</v>
      </c>
      <c r="J971">
        <v>501.81</v>
      </c>
      <c r="K971">
        <v>3</v>
      </c>
      <c r="L971">
        <v>0</v>
      </c>
      <c r="M971">
        <v>0</v>
      </c>
    </row>
    <row r="972" spans="1:13" x14ac:dyDescent="0.3">
      <c r="A972" t="s">
        <v>13</v>
      </c>
      <c r="B972" t="s">
        <v>14</v>
      </c>
      <c r="C972" t="s">
        <v>15</v>
      </c>
      <c r="D972" t="s">
        <v>55</v>
      </c>
      <c r="E972" t="s">
        <v>56</v>
      </c>
      <c r="F972">
        <v>19134</v>
      </c>
      <c r="G972" t="s">
        <v>57</v>
      </c>
      <c r="H972" t="s">
        <v>19</v>
      </c>
      <c r="I972" t="s">
        <v>33</v>
      </c>
      <c r="J972">
        <v>127.104</v>
      </c>
      <c r="K972">
        <v>6</v>
      </c>
      <c r="L972">
        <v>0.2</v>
      </c>
      <c r="M972">
        <v>28.598400000000002</v>
      </c>
    </row>
    <row r="973" spans="1:13" x14ac:dyDescent="0.3">
      <c r="A973" t="s">
        <v>13</v>
      </c>
      <c r="B973" t="s">
        <v>14</v>
      </c>
      <c r="C973" t="s">
        <v>15</v>
      </c>
      <c r="D973" t="s">
        <v>55</v>
      </c>
      <c r="E973" t="s">
        <v>56</v>
      </c>
      <c r="F973">
        <v>19134</v>
      </c>
      <c r="G973" t="s">
        <v>57</v>
      </c>
      <c r="H973" t="s">
        <v>35</v>
      </c>
      <c r="I973" t="s">
        <v>36</v>
      </c>
      <c r="J973">
        <v>124.2</v>
      </c>
      <c r="K973">
        <v>3</v>
      </c>
      <c r="L973">
        <v>0.4</v>
      </c>
      <c r="M973">
        <v>-31.05</v>
      </c>
    </row>
    <row r="974" spans="1:13" x14ac:dyDescent="0.3">
      <c r="A974" t="s">
        <v>13</v>
      </c>
      <c r="B974" t="s">
        <v>14</v>
      </c>
      <c r="C974" t="s">
        <v>15</v>
      </c>
      <c r="D974" t="s">
        <v>55</v>
      </c>
      <c r="E974" t="s">
        <v>56</v>
      </c>
      <c r="F974">
        <v>19134</v>
      </c>
      <c r="G974" t="s">
        <v>57</v>
      </c>
      <c r="H974" t="s">
        <v>26</v>
      </c>
      <c r="I974" t="s">
        <v>37</v>
      </c>
      <c r="J974">
        <v>18.588000000000001</v>
      </c>
      <c r="K974">
        <v>2</v>
      </c>
      <c r="L974">
        <v>0.7</v>
      </c>
      <c r="M974">
        <v>-13.6312</v>
      </c>
    </row>
    <row r="975" spans="1:13" x14ac:dyDescent="0.3">
      <c r="A975" t="s">
        <v>13</v>
      </c>
      <c r="B975" t="s">
        <v>14</v>
      </c>
      <c r="C975" t="s">
        <v>15</v>
      </c>
      <c r="D975" t="s">
        <v>55</v>
      </c>
      <c r="E975" t="s">
        <v>56</v>
      </c>
      <c r="F975">
        <v>19134</v>
      </c>
      <c r="G975" t="s">
        <v>57</v>
      </c>
      <c r="H975" t="s">
        <v>26</v>
      </c>
      <c r="I975" t="s">
        <v>27</v>
      </c>
      <c r="J975">
        <v>30.071999999999999</v>
      </c>
      <c r="K975">
        <v>3</v>
      </c>
      <c r="L975">
        <v>0.2</v>
      </c>
      <c r="M975">
        <v>10.1493</v>
      </c>
    </row>
    <row r="976" spans="1:13" x14ac:dyDescent="0.3">
      <c r="A976" t="s">
        <v>13</v>
      </c>
      <c r="B976" t="s">
        <v>44</v>
      </c>
      <c r="C976" t="s">
        <v>15</v>
      </c>
      <c r="D976" t="s">
        <v>75</v>
      </c>
      <c r="E976" t="s">
        <v>76</v>
      </c>
      <c r="F976">
        <v>10011</v>
      </c>
      <c r="G976" t="s">
        <v>57</v>
      </c>
      <c r="H976" t="s">
        <v>35</v>
      </c>
      <c r="I976" t="s">
        <v>36</v>
      </c>
      <c r="J976">
        <v>160.93</v>
      </c>
      <c r="K976">
        <v>7</v>
      </c>
      <c r="L976">
        <v>0</v>
      </c>
      <c r="M976">
        <v>3.2185999999999999</v>
      </c>
    </row>
    <row r="977" spans="1:13" x14ac:dyDescent="0.3">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
      <c r="A978" t="s">
        <v>28</v>
      </c>
      <c r="B978" t="s">
        <v>14</v>
      </c>
      <c r="C978" t="s">
        <v>15</v>
      </c>
      <c r="D978" t="s">
        <v>94</v>
      </c>
      <c r="E978" t="s">
        <v>95</v>
      </c>
      <c r="F978">
        <v>97206</v>
      </c>
      <c r="G978" t="s">
        <v>25</v>
      </c>
      <c r="H978" t="s">
        <v>26</v>
      </c>
      <c r="I978" t="s">
        <v>37</v>
      </c>
      <c r="J978">
        <v>1.08</v>
      </c>
      <c r="K978">
        <v>2</v>
      </c>
      <c r="L978">
        <v>0.7</v>
      </c>
      <c r="M978">
        <v>-0.79200000000000004</v>
      </c>
    </row>
    <row r="979" spans="1:13" x14ac:dyDescent="0.3">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
      <c r="A980" t="s">
        <v>62</v>
      </c>
      <c r="B980" t="s">
        <v>14</v>
      </c>
      <c r="C980" t="s">
        <v>15</v>
      </c>
      <c r="D980" t="s">
        <v>106</v>
      </c>
      <c r="E980" t="s">
        <v>40</v>
      </c>
      <c r="F980">
        <v>28403</v>
      </c>
      <c r="G980" t="s">
        <v>18</v>
      </c>
      <c r="H980" t="s">
        <v>26</v>
      </c>
      <c r="I980" t="s">
        <v>37</v>
      </c>
      <c r="J980">
        <v>3.282</v>
      </c>
      <c r="K980">
        <v>2</v>
      </c>
      <c r="L980">
        <v>0.7</v>
      </c>
      <c r="M980">
        <v>-2.6255999999999999</v>
      </c>
    </row>
    <row r="981" spans="1:13" x14ac:dyDescent="0.3">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
      <c r="A986" t="s">
        <v>28</v>
      </c>
      <c r="B986" t="s">
        <v>44</v>
      </c>
      <c r="C986" t="s">
        <v>15</v>
      </c>
      <c r="D986" t="s">
        <v>113</v>
      </c>
      <c r="E986" t="s">
        <v>46</v>
      </c>
      <c r="F986">
        <v>77506</v>
      </c>
      <c r="G986" t="s">
        <v>47</v>
      </c>
      <c r="H986" t="s">
        <v>26</v>
      </c>
      <c r="I986" t="s">
        <v>27</v>
      </c>
      <c r="J986">
        <v>7.968</v>
      </c>
      <c r="K986">
        <v>2</v>
      </c>
      <c r="L986">
        <v>0.2</v>
      </c>
      <c r="M986">
        <v>2.5895999999999999</v>
      </c>
    </row>
    <row r="987" spans="1:13" x14ac:dyDescent="0.3">
      <c r="A987" t="s">
        <v>28</v>
      </c>
      <c r="B987" t="s">
        <v>44</v>
      </c>
      <c r="C987" t="s">
        <v>15</v>
      </c>
      <c r="D987" t="s">
        <v>113</v>
      </c>
      <c r="E987" t="s">
        <v>46</v>
      </c>
      <c r="F987">
        <v>77506</v>
      </c>
      <c r="G987" t="s">
        <v>47</v>
      </c>
      <c r="H987" t="s">
        <v>26</v>
      </c>
      <c r="I987" t="s">
        <v>60</v>
      </c>
      <c r="J987">
        <v>27.968</v>
      </c>
      <c r="K987">
        <v>4</v>
      </c>
      <c r="L987">
        <v>0.2</v>
      </c>
      <c r="M987">
        <v>9.4391999999999996</v>
      </c>
    </row>
    <row r="988" spans="1:13" x14ac:dyDescent="0.3">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
      <c r="A991" t="s">
        <v>28</v>
      </c>
      <c r="B991" t="s">
        <v>22</v>
      </c>
      <c r="C991" t="s">
        <v>15</v>
      </c>
      <c r="D991" t="s">
        <v>190</v>
      </c>
      <c r="E991" t="s">
        <v>76</v>
      </c>
      <c r="F991">
        <v>13021</v>
      </c>
      <c r="G991" t="s">
        <v>57</v>
      </c>
      <c r="H991" t="s">
        <v>26</v>
      </c>
      <c r="I991" t="s">
        <v>34</v>
      </c>
      <c r="J991">
        <v>17.97</v>
      </c>
      <c r="K991">
        <v>3</v>
      </c>
      <c r="L991">
        <v>0</v>
      </c>
      <c r="M991">
        <v>5.2112999999999996</v>
      </c>
    </row>
    <row r="992" spans="1:13" x14ac:dyDescent="0.3">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
      <c r="A993" t="s">
        <v>62</v>
      </c>
      <c r="B993" t="s">
        <v>14</v>
      </c>
      <c r="C993" t="s">
        <v>15</v>
      </c>
      <c r="D993" t="s">
        <v>75</v>
      </c>
      <c r="E993" t="s">
        <v>76</v>
      </c>
      <c r="F993">
        <v>10024</v>
      </c>
      <c r="G993" t="s">
        <v>57</v>
      </c>
      <c r="H993" t="s">
        <v>26</v>
      </c>
      <c r="I993" t="s">
        <v>37</v>
      </c>
      <c r="J993">
        <v>14.624000000000001</v>
      </c>
      <c r="K993">
        <v>2</v>
      </c>
      <c r="L993">
        <v>0.2</v>
      </c>
      <c r="M993">
        <v>5.484</v>
      </c>
    </row>
    <row r="994" spans="1:13" x14ac:dyDescent="0.3">
      <c r="A994" t="s">
        <v>62</v>
      </c>
      <c r="B994" t="s">
        <v>14</v>
      </c>
      <c r="C994" t="s">
        <v>15</v>
      </c>
      <c r="D994" t="s">
        <v>117</v>
      </c>
      <c r="E994" t="s">
        <v>24</v>
      </c>
      <c r="F994">
        <v>95123</v>
      </c>
      <c r="G994" t="s">
        <v>25</v>
      </c>
      <c r="H994" t="s">
        <v>26</v>
      </c>
      <c r="I994" t="s">
        <v>77</v>
      </c>
      <c r="J994">
        <v>10.23</v>
      </c>
      <c r="K994">
        <v>3</v>
      </c>
      <c r="L994">
        <v>0</v>
      </c>
      <c r="M994">
        <v>4.9104000000000001</v>
      </c>
    </row>
    <row r="995" spans="1:13" x14ac:dyDescent="0.3">
      <c r="A995" t="s">
        <v>62</v>
      </c>
      <c r="B995" t="s">
        <v>14</v>
      </c>
      <c r="C995" t="s">
        <v>15</v>
      </c>
      <c r="D995" t="s">
        <v>117</v>
      </c>
      <c r="E995" t="s">
        <v>24</v>
      </c>
      <c r="F995">
        <v>95123</v>
      </c>
      <c r="G995" t="s">
        <v>25</v>
      </c>
      <c r="H995" t="s">
        <v>26</v>
      </c>
      <c r="I995" t="s">
        <v>41</v>
      </c>
      <c r="J995">
        <v>154.9</v>
      </c>
      <c r="K995">
        <v>5</v>
      </c>
      <c r="L995">
        <v>0</v>
      </c>
      <c r="M995">
        <v>69.704999999999998</v>
      </c>
    </row>
    <row r="996" spans="1:13" x14ac:dyDescent="0.3">
      <c r="A996" t="s">
        <v>28</v>
      </c>
      <c r="B996" t="s">
        <v>22</v>
      </c>
      <c r="C996" t="s">
        <v>15</v>
      </c>
      <c r="D996" t="s">
        <v>258</v>
      </c>
      <c r="E996" t="s">
        <v>83</v>
      </c>
      <c r="F996">
        <v>23464</v>
      </c>
      <c r="G996" t="s">
        <v>18</v>
      </c>
      <c r="H996" t="s">
        <v>26</v>
      </c>
      <c r="I996" t="s">
        <v>37</v>
      </c>
      <c r="J996">
        <v>2715.93</v>
      </c>
      <c r="K996">
        <v>7</v>
      </c>
      <c r="L996">
        <v>0</v>
      </c>
      <c r="M996">
        <v>1276.4871000000001</v>
      </c>
    </row>
    <row r="997" spans="1:13" x14ac:dyDescent="0.3">
      <c r="A997" t="s">
        <v>28</v>
      </c>
      <c r="B997" t="s">
        <v>22</v>
      </c>
      <c r="C997" t="s">
        <v>15</v>
      </c>
      <c r="D997" t="s">
        <v>258</v>
      </c>
      <c r="E997" t="s">
        <v>83</v>
      </c>
      <c r="F997">
        <v>23464</v>
      </c>
      <c r="G997" t="s">
        <v>18</v>
      </c>
      <c r="H997" t="s">
        <v>35</v>
      </c>
      <c r="I997" t="s">
        <v>36</v>
      </c>
      <c r="J997">
        <v>617.97</v>
      </c>
      <c r="K997">
        <v>3</v>
      </c>
      <c r="L997">
        <v>0</v>
      </c>
      <c r="M997">
        <v>173.0316</v>
      </c>
    </row>
    <row r="998" spans="1:13" x14ac:dyDescent="0.3">
      <c r="A998" t="s">
        <v>28</v>
      </c>
      <c r="B998" t="s">
        <v>14</v>
      </c>
      <c r="C998" t="s">
        <v>15</v>
      </c>
      <c r="D998" t="s">
        <v>16</v>
      </c>
      <c r="E998" t="s">
        <v>17</v>
      </c>
      <c r="F998">
        <v>42420</v>
      </c>
      <c r="G998" t="s">
        <v>18</v>
      </c>
      <c r="H998" t="s">
        <v>26</v>
      </c>
      <c r="I998" t="s">
        <v>60</v>
      </c>
      <c r="J998">
        <v>10.67</v>
      </c>
      <c r="K998">
        <v>1</v>
      </c>
      <c r="L998">
        <v>0</v>
      </c>
      <c r="M998">
        <v>4.9081999999999999</v>
      </c>
    </row>
    <row r="999" spans="1:13" x14ac:dyDescent="0.3">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
      <c r="A1001" t="s">
        <v>28</v>
      </c>
      <c r="B1001" t="s">
        <v>14</v>
      </c>
      <c r="C1001" t="s">
        <v>15</v>
      </c>
      <c r="D1001" t="s">
        <v>16</v>
      </c>
      <c r="E1001" t="s">
        <v>17</v>
      </c>
      <c r="F1001">
        <v>42420</v>
      </c>
      <c r="G1001" t="s">
        <v>18</v>
      </c>
      <c r="H1001" t="s">
        <v>19</v>
      </c>
      <c r="I1001" t="s">
        <v>33</v>
      </c>
      <c r="J1001">
        <v>33.11</v>
      </c>
      <c r="K1001">
        <v>7</v>
      </c>
      <c r="L1001">
        <v>0</v>
      </c>
      <c r="M1001">
        <v>12.9129</v>
      </c>
    </row>
    <row r="1002" spans="1:13" x14ac:dyDescent="0.3">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
      <c r="A1017" t="s">
        <v>13</v>
      </c>
      <c r="B1017" t="s">
        <v>44</v>
      </c>
      <c r="C1017" t="s">
        <v>15</v>
      </c>
      <c r="D1017" t="s">
        <v>23</v>
      </c>
      <c r="E1017" t="s">
        <v>24</v>
      </c>
      <c r="F1017">
        <v>90036</v>
      </c>
      <c r="G1017" t="s">
        <v>25</v>
      </c>
      <c r="H1017" t="s">
        <v>26</v>
      </c>
      <c r="I1017" t="s">
        <v>41</v>
      </c>
      <c r="J1017">
        <v>32.4</v>
      </c>
      <c r="K1017">
        <v>5</v>
      </c>
      <c r="L1017">
        <v>0</v>
      </c>
      <c r="M1017">
        <v>15.552</v>
      </c>
    </row>
    <row r="1018" spans="1:13" x14ac:dyDescent="0.3">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
      <c r="A1034" t="s">
        <v>28</v>
      </c>
      <c r="B1034" t="s">
        <v>22</v>
      </c>
      <c r="C1034" t="s">
        <v>15</v>
      </c>
      <c r="D1034" t="s">
        <v>157</v>
      </c>
      <c r="E1034" t="s">
        <v>132</v>
      </c>
      <c r="F1034">
        <v>7601</v>
      </c>
      <c r="G1034" t="s">
        <v>57</v>
      </c>
      <c r="H1034" t="s">
        <v>26</v>
      </c>
      <c r="I1034" t="s">
        <v>27</v>
      </c>
      <c r="J1034">
        <v>14.4</v>
      </c>
      <c r="K1034">
        <v>5</v>
      </c>
      <c r="L1034">
        <v>0</v>
      </c>
      <c r="M1034">
        <v>7.056</v>
      </c>
    </row>
    <row r="1035" spans="1:13" x14ac:dyDescent="0.3">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
      <c r="A1043" t="s">
        <v>13</v>
      </c>
      <c r="B1043" t="s">
        <v>14</v>
      </c>
      <c r="C1043" t="s">
        <v>15</v>
      </c>
      <c r="D1043" t="s">
        <v>75</v>
      </c>
      <c r="E1043" t="s">
        <v>76</v>
      </c>
      <c r="F1043">
        <v>10035</v>
      </c>
      <c r="G1043" t="s">
        <v>57</v>
      </c>
      <c r="H1043" t="s">
        <v>35</v>
      </c>
      <c r="I1043" t="s">
        <v>59</v>
      </c>
      <c r="J1043">
        <v>31.86</v>
      </c>
      <c r="K1043">
        <v>2</v>
      </c>
      <c r="L1043">
        <v>0</v>
      </c>
      <c r="M1043">
        <v>11.151</v>
      </c>
    </row>
    <row r="1044" spans="1:13" x14ac:dyDescent="0.3">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
      <c r="A1074" t="s">
        <v>28</v>
      </c>
      <c r="B1074" t="s">
        <v>14</v>
      </c>
      <c r="C1074" t="s">
        <v>15</v>
      </c>
      <c r="D1074" t="s">
        <v>75</v>
      </c>
      <c r="E1074" t="s">
        <v>76</v>
      </c>
      <c r="F1074">
        <v>10035</v>
      </c>
      <c r="G1074" t="s">
        <v>57</v>
      </c>
      <c r="H1074" t="s">
        <v>26</v>
      </c>
      <c r="I1074" t="s">
        <v>37</v>
      </c>
      <c r="J1074">
        <v>8.64</v>
      </c>
      <c r="K1074">
        <v>2</v>
      </c>
      <c r="L1074">
        <v>0.2</v>
      </c>
      <c r="M1074">
        <v>3.024</v>
      </c>
    </row>
    <row r="1075" spans="1:13" x14ac:dyDescent="0.3">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
      <c r="A1090" t="s">
        <v>13</v>
      </c>
      <c r="B1090" t="s">
        <v>22</v>
      </c>
      <c r="C1090" t="s">
        <v>15</v>
      </c>
      <c r="D1090" t="s">
        <v>267</v>
      </c>
      <c r="E1090" t="s">
        <v>24</v>
      </c>
      <c r="F1090">
        <v>94601</v>
      </c>
      <c r="G1090" t="s">
        <v>25</v>
      </c>
      <c r="H1090" t="s">
        <v>26</v>
      </c>
      <c r="I1090" t="s">
        <v>27</v>
      </c>
      <c r="J1090">
        <v>3.15</v>
      </c>
      <c r="K1090">
        <v>1</v>
      </c>
      <c r="L1090">
        <v>0</v>
      </c>
      <c r="M1090">
        <v>1.512</v>
      </c>
    </row>
    <row r="1091" spans="1:13" x14ac:dyDescent="0.3">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
      <c r="A1095" t="s">
        <v>28</v>
      </c>
      <c r="B1095" t="s">
        <v>44</v>
      </c>
      <c r="C1095" t="s">
        <v>15</v>
      </c>
      <c r="D1095" t="s">
        <v>268</v>
      </c>
      <c r="E1095" t="s">
        <v>248</v>
      </c>
      <c r="F1095">
        <v>20735</v>
      </c>
      <c r="G1095" t="s">
        <v>57</v>
      </c>
      <c r="H1095" t="s">
        <v>26</v>
      </c>
      <c r="I1095" t="s">
        <v>41</v>
      </c>
      <c r="J1095">
        <v>28.9</v>
      </c>
      <c r="K1095">
        <v>5</v>
      </c>
      <c r="L1095">
        <v>0</v>
      </c>
      <c r="M1095">
        <v>14.161</v>
      </c>
    </row>
    <row r="1096" spans="1:13" x14ac:dyDescent="0.3">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
      <c r="A1118" t="s">
        <v>13</v>
      </c>
      <c r="B1118" t="s">
        <v>22</v>
      </c>
      <c r="C1118" t="s">
        <v>15</v>
      </c>
      <c r="D1118" t="s">
        <v>52</v>
      </c>
      <c r="E1118" t="s">
        <v>24</v>
      </c>
      <c r="F1118">
        <v>94110</v>
      </c>
      <c r="G1118" t="s">
        <v>25</v>
      </c>
      <c r="H1118" t="s">
        <v>26</v>
      </c>
      <c r="I1118" t="s">
        <v>27</v>
      </c>
      <c r="J1118">
        <v>6.3</v>
      </c>
      <c r="K1118">
        <v>2</v>
      </c>
      <c r="L1118">
        <v>0</v>
      </c>
      <c r="M1118">
        <v>3.024</v>
      </c>
    </row>
    <row r="1119" spans="1:13" x14ac:dyDescent="0.3">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
      <c r="A1125" t="s">
        <v>28</v>
      </c>
      <c r="B1125" t="s">
        <v>14</v>
      </c>
      <c r="C1125" t="s">
        <v>15</v>
      </c>
      <c r="D1125" t="s">
        <v>271</v>
      </c>
      <c r="E1125" t="s">
        <v>197</v>
      </c>
      <c r="F1125">
        <v>72401</v>
      </c>
      <c r="G1125" t="s">
        <v>18</v>
      </c>
      <c r="H1125" t="s">
        <v>19</v>
      </c>
      <c r="I1125" t="s">
        <v>33</v>
      </c>
      <c r="J1125">
        <v>38.6</v>
      </c>
      <c r="K1125">
        <v>4</v>
      </c>
      <c r="L1125">
        <v>0</v>
      </c>
      <c r="M1125">
        <v>11.58</v>
      </c>
    </row>
    <row r="1126" spans="1:13" x14ac:dyDescent="0.3">
      <c r="A1126" t="s">
        <v>28</v>
      </c>
      <c r="B1126" t="s">
        <v>14</v>
      </c>
      <c r="C1126" t="s">
        <v>15</v>
      </c>
      <c r="D1126" t="s">
        <v>271</v>
      </c>
      <c r="E1126" t="s">
        <v>197</v>
      </c>
      <c r="F1126">
        <v>72401</v>
      </c>
      <c r="G1126" t="s">
        <v>18</v>
      </c>
      <c r="H1126" t="s">
        <v>26</v>
      </c>
      <c r="I1126" t="s">
        <v>34</v>
      </c>
      <c r="J1126">
        <v>6.63</v>
      </c>
      <c r="K1126">
        <v>3</v>
      </c>
      <c r="L1126">
        <v>0</v>
      </c>
      <c r="M1126">
        <v>1.7901</v>
      </c>
    </row>
    <row r="1127" spans="1:13" x14ac:dyDescent="0.3">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
      <c r="A1130" t="s">
        <v>28</v>
      </c>
      <c r="B1130" t="s">
        <v>44</v>
      </c>
      <c r="C1130" t="s">
        <v>15</v>
      </c>
      <c r="D1130" t="s">
        <v>182</v>
      </c>
      <c r="E1130" t="s">
        <v>74</v>
      </c>
      <c r="F1130">
        <v>47374</v>
      </c>
      <c r="G1130" t="s">
        <v>47</v>
      </c>
      <c r="H1130" t="s">
        <v>26</v>
      </c>
      <c r="I1130" t="s">
        <v>60</v>
      </c>
      <c r="J1130">
        <v>101.88</v>
      </c>
      <c r="K1130">
        <v>6</v>
      </c>
      <c r="L1130">
        <v>0</v>
      </c>
      <c r="M1130">
        <v>50.94</v>
      </c>
    </row>
    <row r="1131" spans="1:13" x14ac:dyDescent="0.3">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
      <c r="A1142" t="s">
        <v>13</v>
      </c>
      <c r="B1142" t="s">
        <v>22</v>
      </c>
      <c r="C1142" t="s">
        <v>15</v>
      </c>
      <c r="D1142" t="s">
        <v>274</v>
      </c>
      <c r="E1142" t="s">
        <v>74</v>
      </c>
      <c r="F1142">
        <v>46350</v>
      </c>
      <c r="G1142" t="s">
        <v>47</v>
      </c>
      <c r="H1142" t="s">
        <v>26</v>
      </c>
      <c r="I1142" t="s">
        <v>37</v>
      </c>
      <c r="J1142">
        <v>17.38</v>
      </c>
      <c r="K1142">
        <v>2</v>
      </c>
      <c r="L1142">
        <v>0</v>
      </c>
      <c r="M1142">
        <v>8.69</v>
      </c>
    </row>
    <row r="1143" spans="1:13" x14ac:dyDescent="0.3">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
      <c r="A1151" t="s">
        <v>168</v>
      </c>
      <c r="B1151" t="s">
        <v>14</v>
      </c>
      <c r="C1151" t="s">
        <v>15</v>
      </c>
      <c r="D1151" t="s">
        <v>275</v>
      </c>
      <c r="E1151" t="s">
        <v>70</v>
      </c>
      <c r="F1151">
        <v>48911</v>
      </c>
      <c r="G1151" t="s">
        <v>47</v>
      </c>
      <c r="H1151" t="s">
        <v>35</v>
      </c>
      <c r="I1151" t="s">
        <v>36</v>
      </c>
      <c r="J1151">
        <v>10.95</v>
      </c>
      <c r="K1151">
        <v>1</v>
      </c>
      <c r="L1151">
        <v>0</v>
      </c>
      <c r="M1151">
        <v>0.438</v>
      </c>
    </row>
    <row r="1152" spans="1:13" x14ac:dyDescent="0.3">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
      <c r="A1156" t="s">
        <v>62</v>
      </c>
      <c r="B1156" t="s">
        <v>44</v>
      </c>
      <c r="C1156" t="s">
        <v>15</v>
      </c>
      <c r="D1156" t="s">
        <v>278</v>
      </c>
      <c r="E1156" t="s">
        <v>83</v>
      </c>
      <c r="F1156">
        <v>22801</v>
      </c>
      <c r="G1156" t="s">
        <v>18</v>
      </c>
      <c r="H1156" t="s">
        <v>26</v>
      </c>
      <c r="I1156" t="s">
        <v>32</v>
      </c>
      <c r="J1156">
        <v>122.48</v>
      </c>
      <c r="K1156">
        <v>2</v>
      </c>
      <c r="L1156">
        <v>0</v>
      </c>
      <c r="M1156">
        <v>0</v>
      </c>
    </row>
    <row r="1157" spans="1:13" x14ac:dyDescent="0.3">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
      <c r="A1162" t="s">
        <v>28</v>
      </c>
      <c r="B1162" t="s">
        <v>14</v>
      </c>
      <c r="C1162" t="s">
        <v>15</v>
      </c>
      <c r="D1162" t="s">
        <v>93</v>
      </c>
      <c r="E1162" t="s">
        <v>68</v>
      </c>
      <c r="F1162">
        <v>55407</v>
      </c>
      <c r="G1162" t="s">
        <v>47</v>
      </c>
      <c r="H1162" t="s">
        <v>26</v>
      </c>
      <c r="I1162" t="s">
        <v>37</v>
      </c>
      <c r="J1162">
        <v>11.54</v>
      </c>
      <c r="K1162">
        <v>2</v>
      </c>
      <c r="L1162">
        <v>0</v>
      </c>
      <c r="M1162">
        <v>5.77</v>
      </c>
    </row>
    <row r="1163" spans="1:13" x14ac:dyDescent="0.3">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
      <c r="A1167" t="s">
        <v>28</v>
      </c>
      <c r="B1167" t="s">
        <v>14</v>
      </c>
      <c r="C1167" t="s">
        <v>15</v>
      </c>
      <c r="D1167" t="s">
        <v>84</v>
      </c>
      <c r="E1167" t="s">
        <v>70</v>
      </c>
      <c r="F1167">
        <v>49201</v>
      </c>
      <c r="G1167" t="s">
        <v>47</v>
      </c>
      <c r="H1167" t="s">
        <v>26</v>
      </c>
      <c r="I1167" t="s">
        <v>37</v>
      </c>
      <c r="J1167">
        <v>46.8</v>
      </c>
      <c r="K1167">
        <v>4</v>
      </c>
      <c r="L1167">
        <v>0</v>
      </c>
      <c r="M1167">
        <v>21.06</v>
      </c>
    </row>
    <row r="1168" spans="1:13" x14ac:dyDescent="0.3">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
      <c r="A1170" t="s">
        <v>13</v>
      </c>
      <c r="B1170" t="s">
        <v>14</v>
      </c>
      <c r="C1170" t="s">
        <v>15</v>
      </c>
      <c r="D1170" t="s">
        <v>75</v>
      </c>
      <c r="E1170" t="s">
        <v>76</v>
      </c>
      <c r="F1170">
        <v>10035</v>
      </c>
      <c r="G1170" t="s">
        <v>57</v>
      </c>
      <c r="H1170" t="s">
        <v>26</v>
      </c>
      <c r="I1170" t="s">
        <v>32</v>
      </c>
      <c r="J1170">
        <v>272.94</v>
      </c>
      <c r="K1170">
        <v>3</v>
      </c>
      <c r="L1170">
        <v>0</v>
      </c>
      <c r="M1170">
        <v>0</v>
      </c>
    </row>
    <row r="1171" spans="1:13" x14ac:dyDescent="0.3">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
      <c r="A1179" t="s">
        <v>28</v>
      </c>
      <c r="B1179" t="s">
        <v>14</v>
      </c>
      <c r="C1179" t="s">
        <v>15</v>
      </c>
      <c r="D1179" t="s">
        <v>281</v>
      </c>
      <c r="E1179" t="s">
        <v>248</v>
      </c>
      <c r="F1179">
        <v>20852</v>
      </c>
      <c r="G1179" t="s">
        <v>57</v>
      </c>
      <c r="H1179" t="s">
        <v>19</v>
      </c>
      <c r="I1179" t="s">
        <v>21</v>
      </c>
      <c r="J1179">
        <v>172.5</v>
      </c>
      <c r="K1179">
        <v>2</v>
      </c>
      <c r="L1179">
        <v>0</v>
      </c>
      <c r="M1179">
        <v>51.75</v>
      </c>
    </row>
    <row r="1180" spans="1:13" x14ac:dyDescent="0.3">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
      <c r="A1183" t="s">
        <v>28</v>
      </c>
      <c r="B1183" t="s">
        <v>14</v>
      </c>
      <c r="C1183" t="s">
        <v>15</v>
      </c>
      <c r="D1183" t="s">
        <v>154</v>
      </c>
      <c r="E1183" t="s">
        <v>132</v>
      </c>
      <c r="F1183">
        <v>8701</v>
      </c>
      <c r="G1183" t="s">
        <v>57</v>
      </c>
      <c r="H1183" t="s">
        <v>26</v>
      </c>
      <c r="I1183" t="s">
        <v>34</v>
      </c>
      <c r="J1183">
        <v>3.76</v>
      </c>
      <c r="K1183">
        <v>2</v>
      </c>
      <c r="L1183">
        <v>0</v>
      </c>
      <c r="M1183">
        <v>1.0904</v>
      </c>
    </row>
    <row r="1184" spans="1:13" x14ac:dyDescent="0.3">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
      <c r="A1208" t="s">
        <v>13</v>
      </c>
      <c r="B1208" t="s">
        <v>22</v>
      </c>
      <c r="C1208" t="s">
        <v>15</v>
      </c>
      <c r="D1208" t="s">
        <v>75</v>
      </c>
      <c r="E1208" t="s">
        <v>76</v>
      </c>
      <c r="F1208">
        <v>10009</v>
      </c>
      <c r="G1208" t="s">
        <v>57</v>
      </c>
      <c r="H1208" t="s">
        <v>26</v>
      </c>
      <c r="I1208" t="s">
        <v>32</v>
      </c>
      <c r="J1208">
        <v>11.21</v>
      </c>
      <c r="K1208">
        <v>1</v>
      </c>
      <c r="L1208">
        <v>0</v>
      </c>
      <c r="M1208">
        <v>3.363</v>
      </c>
    </row>
    <row r="1209" spans="1:13" x14ac:dyDescent="0.3">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
      <c r="A1211" t="s">
        <v>13</v>
      </c>
      <c r="B1211" t="s">
        <v>22</v>
      </c>
      <c r="C1211" t="s">
        <v>15</v>
      </c>
      <c r="D1211" t="s">
        <v>75</v>
      </c>
      <c r="E1211" t="s">
        <v>76</v>
      </c>
      <c r="F1211">
        <v>10009</v>
      </c>
      <c r="G1211" t="s">
        <v>57</v>
      </c>
      <c r="H1211" t="s">
        <v>26</v>
      </c>
      <c r="I1211" t="s">
        <v>34</v>
      </c>
      <c r="J1211">
        <v>41.86</v>
      </c>
      <c r="K1211">
        <v>7</v>
      </c>
      <c r="L1211">
        <v>0</v>
      </c>
      <c r="M1211">
        <v>10.465</v>
      </c>
    </row>
    <row r="1212" spans="1:13" x14ac:dyDescent="0.3">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
      <c r="A1226" t="s">
        <v>62</v>
      </c>
      <c r="B1226" t="s">
        <v>14</v>
      </c>
      <c r="C1226" t="s">
        <v>15</v>
      </c>
      <c r="D1226" t="s">
        <v>75</v>
      </c>
      <c r="E1226" t="s">
        <v>76</v>
      </c>
      <c r="F1226">
        <v>10024</v>
      </c>
      <c r="G1226" t="s">
        <v>57</v>
      </c>
      <c r="H1226" t="s">
        <v>26</v>
      </c>
      <c r="I1226" t="s">
        <v>37</v>
      </c>
      <c r="J1226">
        <v>1.728</v>
      </c>
      <c r="K1226">
        <v>1</v>
      </c>
      <c r="L1226">
        <v>0.2</v>
      </c>
      <c r="M1226">
        <v>0.6048</v>
      </c>
    </row>
    <row r="1227" spans="1:13" x14ac:dyDescent="0.3">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
      <c r="A1233" t="s">
        <v>13</v>
      </c>
      <c r="B1233" t="s">
        <v>14</v>
      </c>
      <c r="C1233" t="s">
        <v>15</v>
      </c>
      <c r="D1233" t="s">
        <v>283</v>
      </c>
      <c r="E1233" t="s">
        <v>76</v>
      </c>
      <c r="F1233">
        <v>14215</v>
      </c>
      <c r="G1233" t="s">
        <v>57</v>
      </c>
      <c r="H1233" t="s">
        <v>26</v>
      </c>
      <c r="I1233" t="s">
        <v>34</v>
      </c>
      <c r="J1233">
        <v>2.78</v>
      </c>
      <c r="K1233">
        <v>2</v>
      </c>
      <c r="L1233">
        <v>0</v>
      </c>
      <c r="M1233">
        <v>0.7228</v>
      </c>
    </row>
    <row r="1234" spans="1:13" x14ac:dyDescent="0.3">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
      <c r="A1242" t="s">
        <v>28</v>
      </c>
      <c r="B1242" t="s">
        <v>14</v>
      </c>
      <c r="C1242" t="s">
        <v>15</v>
      </c>
      <c r="D1242" t="s">
        <v>42</v>
      </c>
      <c r="E1242" t="s">
        <v>43</v>
      </c>
      <c r="F1242">
        <v>98105</v>
      </c>
      <c r="G1242" t="s">
        <v>25</v>
      </c>
      <c r="H1242" t="s">
        <v>26</v>
      </c>
      <c r="I1242" t="s">
        <v>77</v>
      </c>
      <c r="J1242">
        <v>22.96</v>
      </c>
      <c r="K1242">
        <v>2</v>
      </c>
      <c r="L1242">
        <v>0</v>
      </c>
      <c r="M1242">
        <v>10.7912</v>
      </c>
    </row>
    <row r="1243" spans="1:13" x14ac:dyDescent="0.3">
      <c r="A1243" t="s">
        <v>28</v>
      </c>
      <c r="B1243" t="s">
        <v>44</v>
      </c>
      <c r="C1243" t="s">
        <v>15</v>
      </c>
      <c r="D1243" t="s">
        <v>75</v>
      </c>
      <c r="E1243" t="s">
        <v>76</v>
      </c>
      <c r="F1243">
        <v>10024</v>
      </c>
      <c r="G1243" t="s">
        <v>57</v>
      </c>
      <c r="H1243" t="s">
        <v>35</v>
      </c>
      <c r="I1243" t="s">
        <v>36</v>
      </c>
      <c r="J1243">
        <v>22</v>
      </c>
      <c r="K1243">
        <v>4</v>
      </c>
      <c r="L1243">
        <v>0</v>
      </c>
      <c r="M1243">
        <v>5.5</v>
      </c>
    </row>
    <row r="1244" spans="1:13" x14ac:dyDescent="0.3">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
      <c r="A1266" t="s">
        <v>62</v>
      </c>
      <c r="B1266" t="s">
        <v>14</v>
      </c>
      <c r="C1266" t="s">
        <v>15</v>
      </c>
      <c r="D1266" t="s">
        <v>274</v>
      </c>
      <c r="E1266" t="s">
        <v>74</v>
      </c>
      <c r="F1266">
        <v>46350</v>
      </c>
      <c r="G1266" t="s">
        <v>47</v>
      </c>
      <c r="H1266" t="s">
        <v>19</v>
      </c>
      <c r="I1266" t="s">
        <v>33</v>
      </c>
      <c r="J1266">
        <v>41.85</v>
      </c>
      <c r="K1266">
        <v>5</v>
      </c>
      <c r="L1266">
        <v>0</v>
      </c>
      <c r="M1266">
        <v>10.881</v>
      </c>
    </row>
    <row r="1267" spans="1:13" x14ac:dyDescent="0.3">
      <c r="A1267" t="s">
        <v>28</v>
      </c>
      <c r="B1267" t="s">
        <v>14</v>
      </c>
      <c r="C1267" t="s">
        <v>15</v>
      </c>
      <c r="D1267" t="s">
        <v>52</v>
      </c>
      <c r="E1267" t="s">
        <v>24</v>
      </c>
      <c r="F1267">
        <v>94122</v>
      </c>
      <c r="G1267" t="s">
        <v>25</v>
      </c>
      <c r="H1267" t="s">
        <v>26</v>
      </c>
      <c r="I1267" t="s">
        <v>34</v>
      </c>
      <c r="J1267">
        <v>6.57</v>
      </c>
      <c r="K1267">
        <v>3</v>
      </c>
      <c r="L1267">
        <v>0</v>
      </c>
      <c r="M1267">
        <v>1.7739</v>
      </c>
    </row>
    <row r="1268" spans="1:13"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
      <c r="A1293" t="s">
        <v>62</v>
      </c>
      <c r="B1293" t="s">
        <v>44</v>
      </c>
      <c r="C1293" t="s">
        <v>15</v>
      </c>
      <c r="D1293" t="s">
        <v>52</v>
      </c>
      <c r="E1293" t="s">
        <v>24</v>
      </c>
      <c r="F1293">
        <v>94122</v>
      </c>
      <c r="G1293" t="s">
        <v>25</v>
      </c>
      <c r="H1293" t="s">
        <v>26</v>
      </c>
      <c r="I1293" t="s">
        <v>41</v>
      </c>
      <c r="J1293">
        <v>32.4</v>
      </c>
      <c r="K1293">
        <v>5</v>
      </c>
      <c r="L1293">
        <v>0</v>
      </c>
      <c r="M1293">
        <v>15.552</v>
      </c>
    </row>
    <row r="1294" spans="1:13" x14ac:dyDescent="0.3">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
      <c r="A1313" t="s">
        <v>28</v>
      </c>
      <c r="B1313" t="s">
        <v>14</v>
      </c>
      <c r="C1313" t="s">
        <v>15</v>
      </c>
      <c r="D1313" t="s">
        <v>184</v>
      </c>
      <c r="E1313" t="s">
        <v>166</v>
      </c>
      <c r="F1313">
        <v>1841</v>
      </c>
      <c r="G1313" t="s">
        <v>57</v>
      </c>
      <c r="H1313" t="s">
        <v>26</v>
      </c>
      <c r="I1313" t="s">
        <v>27</v>
      </c>
      <c r="J1313">
        <v>3.69</v>
      </c>
      <c r="K1313">
        <v>1</v>
      </c>
      <c r="L1313">
        <v>0</v>
      </c>
      <c r="M1313">
        <v>1.7343</v>
      </c>
    </row>
    <row r="1314" spans="1:13" x14ac:dyDescent="0.3">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
      <c r="A1327" t="s">
        <v>62</v>
      </c>
      <c r="B1327" t="s">
        <v>14</v>
      </c>
      <c r="C1327" t="s">
        <v>15</v>
      </c>
      <c r="D1327" t="s">
        <v>79</v>
      </c>
      <c r="E1327" t="s">
        <v>65</v>
      </c>
      <c r="F1327">
        <v>60653</v>
      </c>
      <c r="G1327" t="s">
        <v>47</v>
      </c>
      <c r="H1327" t="s">
        <v>26</v>
      </c>
      <c r="I1327" t="s">
        <v>37</v>
      </c>
      <c r="J1327">
        <v>17.46</v>
      </c>
      <c r="K1327">
        <v>6</v>
      </c>
      <c r="L1327">
        <v>0.8</v>
      </c>
      <c r="M1327">
        <v>-30.555</v>
      </c>
    </row>
    <row r="1328" spans="1:13" x14ac:dyDescent="0.3">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
      <c r="A1334" t="s">
        <v>28</v>
      </c>
      <c r="B1334" t="s">
        <v>14</v>
      </c>
      <c r="C1334" t="s">
        <v>15</v>
      </c>
      <c r="D1334" t="s">
        <v>135</v>
      </c>
      <c r="E1334" t="s">
        <v>46</v>
      </c>
      <c r="F1334">
        <v>75220</v>
      </c>
      <c r="G1334" t="s">
        <v>47</v>
      </c>
      <c r="H1334" t="s">
        <v>26</v>
      </c>
      <c r="I1334" t="s">
        <v>37</v>
      </c>
      <c r="J1334">
        <v>1.08</v>
      </c>
      <c r="K1334">
        <v>3</v>
      </c>
      <c r="L1334">
        <v>0.8</v>
      </c>
      <c r="M1334">
        <v>-1.728</v>
      </c>
    </row>
    <row r="1335" spans="1:13" x14ac:dyDescent="0.3">
      <c r="A1335" t="s">
        <v>28</v>
      </c>
      <c r="B1335" t="s">
        <v>14</v>
      </c>
      <c r="C1335" t="s">
        <v>15</v>
      </c>
      <c r="D1335" t="s">
        <v>135</v>
      </c>
      <c r="E1335" t="s">
        <v>46</v>
      </c>
      <c r="F1335">
        <v>75220</v>
      </c>
      <c r="G1335" t="s">
        <v>47</v>
      </c>
      <c r="H1335" t="s">
        <v>26</v>
      </c>
      <c r="I1335" t="s">
        <v>38</v>
      </c>
      <c r="J1335">
        <v>7.96</v>
      </c>
      <c r="K1335">
        <v>2</v>
      </c>
      <c r="L1335">
        <v>0.8</v>
      </c>
      <c r="M1335">
        <v>-13.93</v>
      </c>
    </row>
    <row r="1336" spans="1:13"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
      <c r="A1338" t="s">
        <v>28</v>
      </c>
      <c r="B1338" t="s">
        <v>14</v>
      </c>
      <c r="C1338" t="s">
        <v>15</v>
      </c>
      <c r="D1338" t="s">
        <v>23</v>
      </c>
      <c r="E1338" t="s">
        <v>24</v>
      </c>
      <c r="F1338">
        <v>90008</v>
      </c>
      <c r="G1338" t="s">
        <v>25</v>
      </c>
      <c r="H1338" t="s">
        <v>19</v>
      </c>
      <c r="I1338" t="s">
        <v>33</v>
      </c>
      <c r="J1338">
        <v>25.11</v>
      </c>
      <c r="K1338">
        <v>3</v>
      </c>
      <c r="L1338">
        <v>0</v>
      </c>
      <c r="M1338">
        <v>6.5286</v>
      </c>
    </row>
    <row r="1339" spans="1:13" x14ac:dyDescent="0.3">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
      <c r="A1345" t="s">
        <v>28</v>
      </c>
      <c r="B1345" t="s">
        <v>14</v>
      </c>
      <c r="C1345" t="s">
        <v>15</v>
      </c>
      <c r="D1345" t="s">
        <v>295</v>
      </c>
      <c r="E1345" t="s">
        <v>76</v>
      </c>
      <c r="F1345">
        <v>11520</v>
      </c>
      <c r="G1345" t="s">
        <v>57</v>
      </c>
      <c r="H1345" t="s">
        <v>26</v>
      </c>
      <c r="I1345" t="s">
        <v>34</v>
      </c>
      <c r="J1345">
        <v>47.82</v>
      </c>
      <c r="K1345">
        <v>3</v>
      </c>
      <c r="L1345">
        <v>0</v>
      </c>
      <c r="M1345">
        <v>14.346</v>
      </c>
    </row>
    <row r="1346" spans="1:13" x14ac:dyDescent="0.3">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
      <c r="A1348" t="s">
        <v>28</v>
      </c>
      <c r="B1348" t="s">
        <v>14</v>
      </c>
      <c r="C1348" t="s">
        <v>15</v>
      </c>
      <c r="D1348" t="s">
        <v>143</v>
      </c>
      <c r="E1348" t="s">
        <v>68</v>
      </c>
      <c r="F1348">
        <v>55044</v>
      </c>
      <c r="G1348" t="s">
        <v>47</v>
      </c>
      <c r="H1348" t="s">
        <v>26</v>
      </c>
      <c r="I1348" t="s">
        <v>41</v>
      </c>
      <c r="J1348">
        <v>47.18</v>
      </c>
      <c r="K1348">
        <v>7</v>
      </c>
      <c r="L1348">
        <v>0</v>
      </c>
      <c r="M1348">
        <v>23.59</v>
      </c>
    </row>
    <row r="1349" spans="1:13" x14ac:dyDescent="0.3">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
      <c r="A1353" t="s">
        <v>62</v>
      </c>
      <c r="B1353" t="s">
        <v>22</v>
      </c>
      <c r="C1353" t="s">
        <v>15</v>
      </c>
      <c r="D1353" t="s">
        <v>155</v>
      </c>
      <c r="E1353" t="s">
        <v>83</v>
      </c>
      <c r="F1353">
        <v>22204</v>
      </c>
      <c r="G1353" t="s">
        <v>18</v>
      </c>
      <c r="H1353" t="s">
        <v>26</v>
      </c>
      <c r="I1353" t="s">
        <v>32</v>
      </c>
      <c r="J1353">
        <v>31.4</v>
      </c>
      <c r="K1353">
        <v>2</v>
      </c>
      <c r="L1353">
        <v>0</v>
      </c>
      <c r="M1353">
        <v>7.85</v>
      </c>
    </row>
    <row r="1354" spans="1:13" x14ac:dyDescent="0.3">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
      <c r="A1360" t="s">
        <v>62</v>
      </c>
      <c r="B1360" t="s">
        <v>14</v>
      </c>
      <c r="C1360" t="s">
        <v>15</v>
      </c>
      <c r="D1360" t="s">
        <v>45</v>
      </c>
      <c r="E1360" t="s">
        <v>46</v>
      </c>
      <c r="F1360">
        <v>76106</v>
      </c>
      <c r="G1360" t="s">
        <v>47</v>
      </c>
      <c r="H1360" t="s">
        <v>19</v>
      </c>
      <c r="I1360" t="s">
        <v>33</v>
      </c>
      <c r="J1360">
        <v>1.988</v>
      </c>
      <c r="K1360">
        <v>1</v>
      </c>
      <c r="L1360">
        <v>0.6</v>
      </c>
      <c r="M1360">
        <v>-1.4413</v>
      </c>
    </row>
    <row r="1361" spans="1:13" x14ac:dyDescent="0.3">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
      <c r="A1363" t="s">
        <v>28</v>
      </c>
      <c r="B1363" t="s">
        <v>22</v>
      </c>
      <c r="C1363" t="s">
        <v>15</v>
      </c>
      <c r="D1363" t="s">
        <v>55</v>
      </c>
      <c r="E1363" t="s">
        <v>56</v>
      </c>
      <c r="F1363">
        <v>19120</v>
      </c>
      <c r="G1363" t="s">
        <v>57</v>
      </c>
      <c r="H1363" t="s">
        <v>26</v>
      </c>
      <c r="I1363" t="s">
        <v>41</v>
      </c>
      <c r="J1363">
        <v>23.68</v>
      </c>
      <c r="K1363">
        <v>4</v>
      </c>
      <c r="L1363">
        <v>0.2</v>
      </c>
      <c r="M1363">
        <v>7.4</v>
      </c>
    </row>
    <row r="1364" spans="1:13" x14ac:dyDescent="0.3">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
      <c r="A1374" t="s">
        <v>13</v>
      </c>
      <c r="B1374" t="s">
        <v>14</v>
      </c>
      <c r="C1374" t="s">
        <v>15</v>
      </c>
      <c r="D1374" t="s">
        <v>215</v>
      </c>
      <c r="E1374" t="s">
        <v>24</v>
      </c>
      <c r="F1374">
        <v>94591</v>
      </c>
      <c r="G1374" t="s">
        <v>25</v>
      </c>
      <c r="H1374" t="s">
        <v>26</v>
      </c>
      <c r="I1374" t="s">
        <v>27</v>
      </c>
      <c r="J1374">
        <v>29.6</v>
      </c>
      <c r="K1374">
        <v>2</v>
      </c>
      <c r="L1374">
        <v>0</v>
      </c>
      <c r="M1374">
        <v>14.8</v>
      </c>
    </row>
    <row r="1375" spans="1:13"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
      <c r="A1409" t="s">
        <v>28</v>
      </c>
      <c r="B1409" t="s">
        <v>14</v>
      </c>
      <c r="C1409" t="s">
        <v>15</v>
      </c>
      <c r="D1409" t="s">
        <v>75</v>
      </c>
      <c r="E1409" t="s">
        <v>76</v>
      </c>
      <c r="F1409">
        <v>10024</v>
      </c>
      <c r="G1409" t="s">
        <v>57</v>
      </c>
      <c r="H1409" t="s">
        <v>26</v>
      </c>
      <c r="I1409" t="s">
        <v>34</v>
      </c>
      <c r="J1409">
        <v>75.48</v>
      </c>
      <c r="K1409">
        <v>2</v>
      </c>
      <c r="L1409">
        <v>0</v>
      </c>
      <c r="M1409">
        <v>19.6248</v>
      </c>
    </row>
    <row r="1410" spans="1:13" x14ac:dyDescent="0.3">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
      <c r="A1429" t="s">
        <v>13</v>
      </c>
      <c r="B1429" t="s">
        <v>22</v>
      </c>
      <c r="C1429" t="s">
        <v>15</v>
      </c>
      <c r="D1429" t="s">
        <v>245</v>
      </c>
      <c r="E1429" t="s">
        <v>24</v>
      </c>
      <c r="F1429">
        <v>93905</v>
      </c>
      <c r="G1429" t="s">
        <v>25</v>
      </c>
      <c r="H1429" t="s">
        <v>26</v>
      </c>
      <c r="I1429" t="s">
        <v>60</v>
      </c>
      <c r="J1429">
        <v>14.75</v>
      </c>
      <c r="K1429">
        <v>5</v>
      </c>
      <c r="L1429">
        <v>0</v>
      </c>
      <c r="M1429">
        <v>7.08</v>
      </c>
    </row>
    <row r="1430" spans="1:13" x14ac:dyDescent="0.3">
      <c r="A1430" t="s">
        <v>13</v>
      </c>
      <c r="B1430" t="s">
        <v>22</v>
      </c>
      <c r="C1430" t="s">
        <v>15</v>
      </c>
      <c r="D1430" t="s">
        <v>245</v>
      </c>
      <c r="E1430" t="s">
        <v>24</v>
      </c>
      <c r="F1430">
        <v>93905</v>
      </c>
      <c r="G1430" t="s">
        <v>25</v>
      </c>
      <c r="H1430" t="s">
        <v>26</v>
      </c>
      <c r="I1430" t="s">
        <v>37</v>
      </c>
      <c r="J1430">
        <v>29.8</v>
      </c>
      <c r="K1430">
        <v>5</v>
      </c>
      <c r="L1430">
        <v>0.2</v>
      </c>
      <c r="M1430">
        <v>9.3125</v>
      </c>
    </row>
    <row r="1431" spans="1:13" x14ac:dyDescent="0.3">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
      <c r="A1441" t="s">
        <v>13</v>
      </c>
      <c r="B1441" t="s">
        <v>14</v>
      </c>
      <c r="C1441" t="s">
        <v>15</v>
      </c>
      <c r="D1441" t="s">
        <v>290</v>
      </c>
      <c r="E1441" t="s">
        <v>179</v>
      </c>
      <c r="F1441">
        <v>2908</v>
      </c>
      <c r="G1441" t="s">
        <v>57</v>
      </c>
      <c r="H1441" t="s">
        <v>26</v>
      </c>
      <c r="I1441" t="s">
        <v>37</v>
      </c>
      <c r="J1441">
        <v>29.7</v>
      </c>
      <c r="K1441">
        <v>5</v>
      </c>
      <c r="L1441">
        <v>0</v>
      </c>
      <c r="M1441">
        <v>13.365</v>
      </c>
    </row>
    <row r="1442" spans="1:13" x14ac:dyDescent="0.3">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
      <c r="A1454" t="s">
        <v>62</v>
      </c>
      <c r="B1454" t="s">
        <v>22</v>
      </c>
      <c r="C1454" t="s">
        <v>15</v>
      </c>
      <c r="D1454" t="s">
        <v>301</v>
      </c>
      <c r="E1454" t="s">
        <v>88</v>
      </c>
      <c r="F1454">
        <v>36608</v>
      </c>
      <c r="G1454" t="s">
        <v>18</v>
      </c>
      <c r="H1454" t="s">
        <v>26</v>
      </c>
      <c r="I1454" t="s">
        <v>37</v>
      </c>
      <c r="J1454">
        <v>91.68</v>
      </c>
      <c r="K1454">
        <v>3</v>
      </c>
      <c r="L1454">
        <v>0</v>
      </c>
      <c r="M1454">
        <v>45.84</v>
      </c>
    </row>
    <row r="1455" spans="1:13" x14ac:dyDescent="0.3">
      <c r="A1455" t="s">
        <v>62</v>
      </c>
      <c r="B1455" t="s">
        <v>22</v>
      </c>
      <c r="C1455" t="s">
        <v>15</v>
      </c>
      <c r="D1455" t="s">
        <v>301</v>
      </c>
      <c r="E1455" t="s">
        <v>88</v>
      </c>
      <c r="F1455">
        <v>36608</v>
      </c>
      <c r="G1455" t="s">
        <v>18</v>
      </c>
      <c r="H1455" t="s">
        <v>26</v>
      </c>
      <c r="I1455" t="s">
        <v>37</v>
      </c>
      <c r="J1455">
        <v>33.75</v>
      </c>
      <c r="K1455">
        <v>5</v>
      </c>
      <c r="L1455">
        <v>0</v>
      </c>
      <c r="M1455">
        <v>16.875</v>
      </c>
    </row>
    <row r="1456" spans="1:13" x14ac:dyDescent="0.3">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
      <c r="A1459" t="s">
        <v>28</v>
      </c>
      <c r="B1459" t="s">
        <v>22</v>
      </c>
      <c r="C1459" t="s">
        <v>15</v>
      </c>
      <c r="D1459" t="s">
        <v>302</v>
      </c>
      <c r="E1459" t="s">
        <v>166</v>
      </c>
      <c r="F1459">
        <v>2740</v>
      </c>
      <c r="G1459" t="s">
        <v>57</v>
      </c>
      <c r="H1459" t="s">
        <v>26</v>
      </c>
      <c r="I1459" t="s">
        <v>37</v>
      </c>
      <c r="J1459">
        <v>52.2</v>
      </c>
      <c r="K1459">
        <v>9</v>
      </c>
      <c r="L1459">
        <v>0</v>
      </c>
      <c r="M1459">
        <v>23.49</v>
      </c>
    </row>
    <row r="1460" spans="1:13" x14ac:dyDescent="0.3">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
      <c r="A1478" t="s">
        <v>28</v>
      </c>
      <c r="B1478" t="s">
        <v>44</v>
      </c>
      <c r="C1478" t="s">
        <v>15</v>
      </c>
      <c r="D1478" t="s">
        <v>75</v>
      </c>
      <c r="E1478" t="s">
        <v>76</v>
      </c>
      <c r="F1478">
        <v>10024</v>
      </c>
      <c r="G1478" t="s">
        <v>57</v>
      </c>
      <c r="H1478" t="s">
        <v>26</v>
      </c>
      <c r="I1478" t="s">
        <v>27</v>
      </c>
      <c r="J1478">
        <v>28.91</v>
      </c>
      <c r="K1478">
        <v>7</v>
      </c>
      <c r="L1478">
        <v>0</v>
      </c>
      <c r="M1478">
        <v>13.2986</v>
      </c>
    </row>
    <row r="1479" spans="1:13" x14ac:dyDescent="0.3">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
      <c r="A1486" t="s">
        <v>28</v>
      </c>
      <c r="B1486" t="s">
        <v>22</v>
      </c>
      <c r="C1486" t="s">
        <v>15</v>
      </c>
      <c r="D1486" t="s">
        <v>42</v>
      </c>
      <c r="E1486" t="s">
        <v>43</v>
      </c>
      <c r="F1486">
        <v>98115</v>
      </c>
      <c r="G1486" t="s">
        <v>25</v>
      </c>
      <c r="H1486" t="s">
        <v>35</v>
      </c>
      <c r="I1486" t="s">
        <v>59</v>
      </c>
      <c r="J1486">
        <v>177</v>
      </c>
      <c r="K1486">
        <v>3</v>
      </c>
      <c r="L1486">
        <v>0</v>
      </c>
      <c r="M1486">
        <v>30.09</v>
      </c>
    </row>
    <row r="1487" spans="1:13" x14ac:dyDescent="0.3">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
      <c r="A1491" t="s">
        <v>28</v>
      </c>
      <c r="B1491" t="s">
        <v>14</v>
      </c>
      <c r="C1491" t="s">
        <v>15</v>
      </c>
      <c r="D1491" t="s">
        <v>55</v>
      </c>
      <c r="E1491" t="s">
        <v>56</v>
      </c>
      <c r="F1491">
        <v>19143</v>
      </c>
      <c r="G1491" t="s">
        <v>57</v>
      </c>
      <c r="H1491" t="s">
        <v>26</v>
      </c>
      <c r="I1491" t="s">
        <v>27</v>
      </c>
      <c r="J1491">
        <v>5.04</v>
      </c>
      <c r="K1491">
        <v>2</v>
      </c>
      <c r="L1491">
        <v>0.2</v>
      </c>
      <c r="M1491">
        <v>1.764</v>
      </c>
    </row>
    <row r="1492" spans="1:13" x14ac:dyDescent="0.3">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
      <c r="A1506" t="s">
        <v>28</v>
      </c>
      <c r="B1506" t="s">
        <v>44</v>
      </c>
      <c r="C1506" t="s">
        <v>15</v>
      </c>
      <c r="D1506" t="s">
        <v>23</v>
      </c>
      <c r="E1506" t="s">
        <v>24</v>
      </c>
      <c r="F1506">
        <v>90004</v>
      </c>
      <c r="G1506" t="s">
        <v>25</v>
      </c>
      <c r="H1506" t="s">
        <v>26</v>
      </c>
      <c r="I1506" t="s">
        <v>34</v>
      </c>
      <c r="J1506">
        <v>6.72</v>
      </c>
      <c r="K1506">
        <v>4</v>
      </c>
      <c r="L1506">
        <v>0</v>
      </c>
      <c r="M1506">
        <v>3.36</v>
      </c>
    </row>
    <row r="1507" spans="1:13" x14ac:dyDescent="0.3">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
      <c r="A1510" t="s">
        <v>168</v>
      </c>
      <c r="B1510" t="s">
        <v>44</v>
      </c>
      <c r="C1510" t="s">
        <v>15</v>
      </c>
      <c r="D1510" t="s">
        <v>238</v>
      </c>
      <c r="E1510" t="s">
        <v>54</v>
      </c>
      <c r="F1510">
        <v>68104</v>
      </c>
      <c r="G1510" t="s">
        <v>47</v>
      </c>
      <c r="H1510" t="s">
        <v>26</v>
      </c>
      <c r="I1510" t="s">
        <v>37</v>
      </c>
      <c r="J1510">
        <v>34.5</v>
      </c>
      <c r="K1510">
        <v>3</v>
      </c>
      <c r="L1510">
        <v>0</v>
      </c>
      <c r="M1510">
        <v>15.525</v>
      </c>
    </row>
    <row r="1511" spans="1:13" x14ac:dyDescent="0.3">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
      <c r="A1531" t="s">
        <v>13</v>
      </c>
      <c r="B1531" t="s">
        <v>22</v>
      </c>
      <c r="C1531" t="s">
        <v>15</v>
      </c>
      <c r="D1531" t="s">
        <v>114</v>
      </c>
      <c r="E1531" t="s">
        <v>72</v>
      </c>
      <c r="F1531">
        <v>19711</v>
      </c>
      <c r="G1531" t="s">
        <v>57</v>
      </c>
      <c r="H1531" t="s">
        <v>26</v>
      </c>
      <c r="I1531" t="s">
        <v>41</v>
      </c>
      <c r="J1531">
        <v>7.3</v>
      </c>
      <c r="K1531">
        <v>2</v>
      </c>
      <c r="L1531">
        <v>0</v>
      </c>
      <c r="M1531">
        <v>3.431</v>
      </c>
    </row>
    <row r="1532" spans="1:13" x14ac:dyDescent="0.3">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
      <c r="A1535" t="s">
        <v>28</v>
      </c>
      <c r="B1535" t="s">
        <v>22</v>
      </c>
      <c r="C1535" t="s">
        <v>15</v>
      </c>
      <c r="D1535" t="s">
        <v>75</v>
      </c>
      <c r="E1535" t="s">
        <v>76</v>
      </c>
      <c r="F1535">
        <v>10035</v>
      </c>
      <c r="G1535" t="s">
        <v>57</v>
      </c>
      <c r="H1535" t="s">
        <v>26</v>
      </c>
      <c r="I1535" t="s">
        <v>32</v>
      </c>
      <c r="J1535">
        <v>212.88</v>
      </c>
      <c r="K1535">
        <v>6</v>
      </c>
      <c r="L1535">
        <v>0</v>
      </c>
      <c r="M1535">
        <v>0</v>
      </c>
    </row>
    <row r="1536" spans="1:13" x14ac:dyDescent="0.3">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
      <c r="A1559" t="s">
        <v>28</v>
      </c>
      <c r="B1559" t="s">
        <v>14</v>
      </c>
      <c r="C1559" t="s">
        <v>15</v>
      </c>
      <c r="D1559" t="s">
        <v>55</v>
      </c>
      <c r="E1559" t="s">
        <v>56</v>
      </c>
      <c r="F1559">
        <v>19140</v>
      </c>
      <c r="G1559" t="s">
        <v>57</v>
      </c>
      <c r="H1559" t="s">
        <v>26</v>
      </c>
      <c r="I1559" t="s">
        <v>34</v>
      </c>
      <c r="J1559">
        <v>79.36</v>
      </c>
      <c r="K1559">
        <v>5</v>
      </c>
      <c r="L1559">
        <v>0.2</v>
      </c>
      <c r="M1559">
        <v>9.92</v>
      </c>
    </row>
    <row r="1560" spans="1:13" x14ac:dyDescent="0.3">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
      <c r="A1563" t="s">
        <v>62</v>
      </c>
      <c r="B1563" t="s">
        <v>44</v>
      </c>
      <c r="C1563" t="s">
        <v>15</v>
      </c>
      <c r="D1563" t="s">
        <v>42</v>
      </c>
      <c r="E1563" t="s">
        <v>43</v>
      </c>
      <c r="F1563">
        <v>98115</v>
      </c>
      <c r="G1563" t="s">
        <v>25</v>
      </c>
      <c r="H1563" t="s">
        <v>26</v>
      </c>
      <c r="I1563" t="s">
        <v>34</v>
      </c>
      <c r="J1563">
        <v>2.78</v>
      </c>
      <c r="K1563">
        <v>1</v>
      </c>
      <c r="L1563">
        <v>0</v>
      </c>
      <c r="M1563">
        <v>0.7228</v>
      </c>
    </row>
    <row r="1564" spans="1:13" x14ac:dyDescent="0.3">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
      <c r="A1573" t="s">
        <v>62</v>
      </c>
      <c r="B1573" t="s">
        <v>14</v>
      </c>
      <c r="C1573" t="s">
        <v>15</v>
      </c>
      <c r="D1573" t="s">
        <v>23</v>
      </c>
      <c r="E1573" t="s">
        <v>24</v>
      </c>
      <c r="F1573">
        <v>90004</v>
      </c>
      <c r="G1573" t="s">
        <v>25</v>
      </c>
      <c r="H1573" t="s">
        <v>26</v>
      </c>
      <c r="I1573" t="s">
        <v>60</v>
      </c>
      <c r="J1573">
        <v>21.84</v>
      </c>
      <c r="K1573">
        <v>3</v>
      </c>
      <c r="L1573">
        <v>0</v>
      </c>
      <c r="M1573">
        <v>10.4832</v>
      </c>
    </row>
    <row r="1574" spans="1:13" x14ac:dyDescent="0.3">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
      <c r="A1575" t="s">
        <v>62</v>
      </c>
      <c r="B1575" t="s">
        <v>14</v>
      </c>
      <c r="C1575" t="s">
        <v>15</v>
      </c>
      <c r="D1575" t="s">
        <v>23</v>
      </c>
      <c r="E1575" t="s">
        <v>24</v>
      </c>
      <c r="F1575">
        <v>90004</v>
      </c>
      <c r="G1575" t="s">
        <v>25</v>
      </c>
      <c r="H1575" t="s">
        <v>19</v>
      </c>
      <c r="I1575" t="s">
        <v>21</v>
      </c>
      <c r="J1575">
        <v>381.44</v>
      </c>
      <c r="K1575">
        <v>2</v>
      </c>
      <c r="L1575">
        <v>0.2</v>
      </c>
      <c r="M1575">
        <v>23.84</v>
      </c>
    </row>
    <row r="1576" spans="1:13" x14ac:dyDescent="0.3">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
      <c r="A1590" t="s">
        <v>62</v>
      </c>
      <c r="B1590" t="s">
        <v>14</v>
      </c>
      <c r="C1590" t="s">
        <v>15</v>
      </c>
      <c r="D1590" t="s">
        <v>75</v>
      </c>
      <c r="E1590" t="s">
        <v>76</v>
      </c>
      <c r="F1590">
        <v>10024</v>
      </c>
      <c r="G1590" t="s">
        <v>57</v>
      </c>
      <c r="H1590" t="s">
        <v>35</v>
      </c>
      <c r="I1590" t="s">
        <v>59</v>
      </c>
      <c r="J1590">
        <v>247.8</v>
      </c>
      <c r="K1590">
        <v>4</v>
      </c>
      <c r="L1590">
        <v>0</v>
      </c>
      <c r="M1590">
        <v>34.692</v>
      </c>
    </row>
    <row r="1591" spans="1:13" x14ac:dyDescent="0.3">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
      <c r="A1606" t="s">
        <v>13</v>
      </c>
      <c r="B1606" t="s">
        <v>14</v>
      </c>
      <c r="C1606" t="s">
        <v>15</v>
      </c>
      <c r="D1606" t="s">
        <v>23</v>
      </c>
      <c r="E1606" t="s">
        <v>24</v>
      </c>
      <c r="F1606">
        <v>90049</v>
      </c>
      <c r="G1606" t="s">
        <v>25</v>
      </c>
      <c r="H1606" t="s">
        <v>35</v>
      </c>
      <c r="I1606" t="s">
        <v>36</v>
      </c>
      <c r="J1606">
        <v>39.96</v>
      </c>
      <c r="K1606">
        <v>5</v>
      </c>
      <c r="L1606">
        <v>0.2</v>
      </c>
      <c r="M1606">
        <v>12.987</v>
      </c>
    </row>
    <row r="1607" spans="1:13" x14ac:dyDescent="0.3">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
      <c r="A1610" t="s">
        <v>13</v>
      </c>
      <c r="B1610" t="s">
        <v>14</v>
      </c>
      <c r="C1610" t="s">
        <v>15</v>
      </c>
      <c r="D1610" t="s">
        <v>23</v>
      </c>
      <c r="E1610" t="s">
        <v>24</v>
      </c>
      <c r="F1610">
        <v>90049</v>
      </c>
      <c r="G1610" t="s">
        <v>25</v>
      </c>
      <c r="H1610" t="s">
        <v>26</v>
      </c>
      <c r="I1610" t="s">
        <v>41</v>
      </c>
      <c r="J1610">
        <v>22.72</v>
      </c>
      <c r="K1610">
        <v>4</v>
      </c>
      <c r="L1610">
        <v>0</v>
      </c>
      <c r="M1610">
        <v>10.224</v>
      </c>
    </row>
    <row r="1611" spans="1:13"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
      <c r="A1617" t="s">
        <v>28</v>
      </c>
      <c r="B1617" t="s">
        <v>44</v>
      </c>
      <c r="C1617" t="s">
        <v>15</v>
      </c>
      <c r="D1617" t="s">
        <v>67</v>
      </c>
      <c r="E1617" t="s">
        <v>68</v>
      </c>
      <c r="F1617">
        <v>55122</v>
      </c>
      <c r="G1617" t="s">
        <v>47</v>
      </c>
      <c r="H1617" t="s">
        <v>26</v>
      </c>
      <c r="I1617" t="s">
        <v>27</v>
      </c>
      <c r="J1617">
        <v>3.75</v>
      </c>
      <c r="K1617">
        <v>1</v>
      </c>
      <c r="L1617">
        <v>0</v>
      </c>
      <c r="M1617">
        <v>1.8</v>
      </c>
    </row>
    <row r="1618" spans="1:13" x14ac:dyDescent="0.3">
      <c r="A1618" t="s">
        <v>28</v>
      </c>
      <c r="B1618" t="s">
        <v>44</v>
      </c>
      <c r="C1618" t="s">
        <v>15</v>
      </c>
      <c r="D1618" t="s">
        <v>67</v>
      </c>
      <c r="E1618" t="s">
        <v>68</v>
      </c>
      <c r="F1618">
        <v>55122</v>
      </c>
      <c r="G1618" t="s">
        <v>47</v>
      </c>
      <c r="H1618" t="s">
        <v>26</v>
      </c>
      <c r="I1618" t="s">
        <v>27</v>
      </c>
      <c r="J1618">
        <v>41.4</v>
      </c>
      <c r="K1618">
        <v>4</v>
      </c>
      <c r="L1618">
        <v>0</v>
      </c>
      <c r="M1618">
        <v>19.872</v>
      </c>
    </row>
    <row r="1619" spans="1:13" x14ac:dyDescent="0.3">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
      <c r="A1622" t="s">
        <v>28</v>
      </c>
      <c r="B1622" t="s">
        <v>14</v>
      </c>
      <c r="C1622" t="s">
        <v>15</v>
      </c>
      <c r="D1622" t="s">
        <v>324</v>
      </c>
      <c r="E1622" t="s">
        <v>43</v>
      </c>
      <c r="F1622">
        <v>98031</v>
      </c>
      <c r="G1622" t="s">
        <v>25</v>
      </c>
      <c r="H1622" t="s">
        <v>19</v>
      </c>
      <c r="I1622" t="s">
        <v>33</v>
      </c>
      <c r="J1622">
        <v>198.46</v>
      </c>
      <c r="K1622">
        <v>2</v>
      </c>
      <c r="L1622">
        <v>0</v>
      </c>
      <c r="M1622">
        <v>99.23</v>
      </c>
    </row>
    <row r="1623" spans="1:13" x14ac:dyDescent="0.3">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
      <c r="A1625" t="s">
        <v>28</v>
      </c>
      <c r="B1625" t="s">
        <v>14</v>
      </c>
      <c r="C1625" t="s">
        <v>15</v>
      </c>
      <c r="D1625" t="s">
        <v>324</v>
      </c>
      <c r="E1625" t="s">
        <v>43</v>
      </c>
      <c r="F1625">
        <v>98031</v>
      </c>
      <c r="G1625" t="s">
        <v>25</v>
      </c>
      <c r="H1625" t="s">
        <v>35</v>
      </c>
      <c r="I1625" t="s">
        <v>59</v>
      </c>
      <c r="J1625">
        <v>50</v>
      </c>
      <c r="K1625">
        <v>2</v>
      </c>
      <c r="L1625">
        <v>0</v>
      </c>
      <c r="M1625">
        <v>10.5</v>
      </c>
    </row>
    <row r="1626" spans="1:13" x14ac:dyDescent="0.3">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
      <c r="A1678" t="s">
        <v>28</v>
      </c>
      <c r="B1678" t="s">
        <v>14</v>
      </c>
      <c r="C1678" t="s">
        <v>15</v>
      </c>
      <c r="D1678" t="s">
        <v>52</v>
      </c>
      <c r="E1678" t="s">
        <v>24</v>
      </c>
      <c r="F1678">
        <v>94110</v>
      </c>
      <c r="G1678" t="s">
        <v>25</v>
      </c>
      <c r="H1678" t="s">
        <v>26</v>
      </c>
      <c r="I1678" t="s">
        <v>32</v>
      </c>
      <c r="J1678">
        <v>104.28</v>
      </c>
      <c r="K1678">
        <v>3</v>
      </c>
      <c r="L1678">
        <v>0</v>
      </c>
      <c r="M1678">
        <v>26.07</v>
      </c>
    </row>
    <row r="1679" spans="1:13"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
      <c r="A1686" t="s">
        <v>62</v>
      </c>
      <c r="B1686" t="s">
        <v>22</v>
      </c>
      <c r="C1686" t="s">
        <v>15</v>
      </c>
      <c r="D1686" t="s">
        <v>55</v>
      </c>
      <c r="E1686" t="s">
        <v>56</v>
      </c>
      <c r="F1686">
        <v>19143</v>
      </c>
      <c r="G1686" t="s">
        <v>57</v>
      </c>
      <c r="H1686" t="s">
        <v>26</v>
      </c>
      <c r="I1686" t="s">
        <v>38</v>
      </c>
      <c r="J1686">
        <v>99.28</v>
      </c>
      <c r="K1686">
        <v>2</v>
      </c>
      <c r="L1686">
        <v>0.2</v>
      </c>
      <c r="M1686">
        <v>12.41</v>
      </c>
    </row>
    <row r="1687" spans="1:13" x14ac:dyDescent="0.3">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
      <c r="A1698" t="s">
        <v>13</v>
      </c>
      <c r="B1698" t="s">
        <v>44</v>
      </c>
      <c r="C1698" t="s">
        <v>15</v>
      </c>
      <c r="D1698" t="s">
        <v>331</v>
      </c>
      <c r="E1698" t="s">
        <v>132</v>
      </c>
      <c r="F1698">
        <v>7002</v>
      </c>
      <c r="G1698" t="s">
        <v>57</v>
      </c>
      <c r="H1698" t="s">
        <v>35</v>
      </c>
      <c r="I1698" t="s">
        <v>36</v>
      </c>
      <c r="J1698">
        <v>104.98</v>
      </c>
      <c r="K1698">
        <v>2</v>
      </c>
      <c r="L1698">
        <v>0</v>
      </c>
      <c r="M1698">
        <v>52.49</v>
      </c>
    </row>
    <row r="1699" spans="1:13" x14ac:dyDescent="0.3">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
      <c r="A1705" t="s">
        <v>28</v>
      </c>
      <c r="B1705" t="s">
        <v>44</v>
      </c>
      <c r="C1705" t="s">
        <v>15</v>
      </c>
      <c r="D1705" t="s">
        <v>144</v>
      </c>
      <c r="E1705" t="s">
        <v>24</v>
      </c>
      <c r="F1705">
        <v>92037</v>
      </c>
      <c r="G1705" t="s">
        <v>25</v>
      </c>
      <c r="H1705" t="s">
        <v>26</v>
      </c>
      <c r="I1705" t="s">
        <v>77</v>
      </c>
      <c r="J1705">
        <v>12.35</v>
      </c>
      <c r="K1705">
        <v>5</v>
      </c>
      <c r="L1705">
        <v>0</v>
      </c>
      <c r="M1705">
        <v>5.8045</v>
      </c>
    </row>
    <row r="1706" spans="1:13" x14ac:dyDescent="0.3">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
      <c r="A1708" t="s">
        <v>28</v>
      </c>
      <c r="B1708" t="s">
        <v>14</v>
      </c>
      <c r="C1708" t="s">
        <v>15</v>
      </c>
      <c r="D1708" t="s">
        <v>52</v>
      </c>
      <c r="E1708" t="s">
        <v>24</v>
      </c>
      <c r="F1708">
        <v>94122</v>
      </c>
      <c r="G1708" t="s">
        <v>25</v>
      </c>
      <c r="H1708" t="s">
        <v>26</v>
      </c>
      <c r="I1708" t="s">
        <v>27</v>
      </c>
      <c r="J1708">
        <v>43.86</v>
      </c>
      <c r="K1708">
        <v>6</v>
      </c>
      <c r="L1708">
        <v>0</v>
      </c>
      <c r="M1708">
        <v>20.6142</v>
      </c>
    </row>
    <row r="1709" spans="1:13"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
      <c r="A1710" t="s">
        <v>28</v>
      </c>
      <c r="B1710" t="s">
        <v>14</v>
      </c>
      <c r="C1710" t="s">
        <v>15</v>
      </c>
      <c r="D1710" t="s">
        <v>52</v>
      </c>
      <c r="E1710" t="s">
        <v>24</v>
      </c>
      <c r="F1710">
        <v>94122</v>
      </c>
      <c r="G1710" t="s">
        <v>25</v>
      </c>
      <c r="H1710" t="s">
        <v>26</v>
      </c>
      <c r="I1710" t="s">
        <v>41</v>
      </c>
      <c r="J1710">
        <v>7.42</v>
      </c>
      <c r="K1710">
        <v>2</v>
      </c>
      <c r="L1710">
        <v>0</v>
      </c>
      <c r="M1710">
        <v>3.71</v>
      </c>
    </row>
    <row r="1711" spans="1:13"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
      <c r="A1719" t="s">
        <v>28</v>
      </c>
      <c r="B1719" t="s">
        <v>14</v>
      </c>
      <c r="C1719" t="s">
        <v>15</v>
      </c>
      <c r="D1719" t="s">
        <v>75</v>
      </c>
      <c r="E1719" t="s">
        <v>76</v>
      </c>
      <c r="F1719">
        <v>10011</v>
      </c>
      <c r="G1719" t="s">
        <v>57</v>
      </c>
      <c r="H1719" t="s">
        <v>26</v>
      </c>
      <c r="I1719" t="s">
        <v>32</v>
      </c>
      <c r="J1719">
        <v>454.9</v>
      </c>
      <c r="K1719">
        <v>5</v>
      </c>
      <c r="L1719">
        <v>0</v>
      </c>
      <c r="M1719">
        <v>0</v>
      </c>
    </row>
    <row r="1720" spans="1:13" x14ac:dyDescent="0.3">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
      <c r="A1721" t="s">
        <v>28</v>
      </c>
      <c r="B1721" t="s">
        <v>14</v>
      </c>
      <c r="C1721" t="s">
        <v>15</v>
      </c>
      <c r="D1721" t="s">
        <v>75</v>
      </c>
      <c r="E1721" t="s">
        <v>76</v>
      </c>
      <c r="F1721">
        <v>10011</v>
      </c>
      <c r="G1721" t="s">
        <v>57</v>
      </c>
      <c r="H1721" t="s">
        <v>19</v>
      </c>
      <c r="I1721" t="s">
        <v>33</v>
      </c>
      <c r="J1721">
        <v>39.76</v>
      </c>
      <c r="K1721">
        <v>8</v>
      </c>
      <c r="L1721">
        <v>0</v>
      </c>
      <c r="M1721">
        <v>12.3256</v>
      </c>
    </row>
    <row r="1722" spans="1:13" x14ac:dyDescent="0.3">
      <c r="A1722" t="s">
        <v>28</v>
      </c>
      <c r="B1722" t="s">
        <v>14</v>
      </c>
      <c r="C1722" t="s">
        <v>15</v>
      </c>
      <c r="D1722" t="s">
        <v>75</v>
      </c>
      <c r="E1722" t="s">
        <v>76</v>
      </c>
      <c r="F1722">
        <v>10011</v>
      </c>
      <c r="G1722" t="s">
        <v>57</v>
      </c>
      <c r="H1722" t="s">
        <v>26</v>
      </c>
      <c r="I1722" t="s">
        <v>37</v>
      </c>
      <c r="J1722">
        <v>47.744</v>
      </c>
      <c r="K1722">
        <v>4</v>
      </c>
      <c r="L1722">
        <v>0.2</v>
      </c>
      <c r="M1722">
        <v>14.92</v>
      </c>
    </row>
    <row r="1723" spans="1:13" x14ac:dyDescent="0.3">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
      <c r="A1730" t="s">
        <v>168</v>
      </c>
      <c r="B1730" t="s">
        <v>14</v>
      </c>
      <c r="C1730" t="s">
        <v>15</v>
      </c>
      <c r="D1730" t="s">
        <v>82</v>
      </c>
      <c r="E1730" t="s">
        <v>83</v>
      </c>
      <c r="F1730">
        <v>22153</v>
      </c>
      <c r="G1730" t="s">
        <v>18</v>
      </c>
      <c r="H1730" t="s">
        <v>35</v>
      </c>
      <c r="I1730" t="s">
        <v>59</v>
      </c>
      <c r="J1730">
        <v>100</v>
      </c>
      <c r="K1730">
        <v>4</v>
      </c>
      <c r="L1730">
        <v>0</v>
      </c>
      <c r="M1730">
        <v>21</v>
      </c>
    </row>
    <row r="1731" spans="1:13" x14ac:dyDescent="0.3">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
      <c r="A1737" t="s">
        <v>13</v>
      </c>
      <c r="B1737" t="s">
        <v>14</v>
      </c>
      <c r="C1737" t="s">
        <v>15</v>
      </c>
      <c r="D1737" t="s">
        <v>189</v>
      </c>
      <c r="E1737" t="s">
        <v>40</v>
      </c>
      <c r="F1737">
        <v>28540</v>
      </c>
      <c r="G1737" t="s">
        <v>18</v>
      </c>
      <c r="H1737" t="s">
        <v>35</v>
      </c>
      <c r="I1737" t="s">
        <v>36</v>
      </c>
      <c r="J1737">
        <v>22</v>
      </c>
      <c r="K1737">
        <v>5</v>
      </c>
      <c r="L1737">
        <v>0.2</v>
      </c>
      <c r="M1737">
        <v>1.375</v>
      </c>
    </row>
    <row r="1738" spans="1:13" x14ac:dyDescent="0.3">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
      <c r="A1746" t="s">
        <v>28</v>
      </c>
      <c r="B1746" t="s">
        <v>14</v>
      </c>
      <c r="C1746" t="s">
        <v>15</v>
      </c>
      <c r="D1746" t="s">
        <v>55</v>
      </c>
      <c r="E1746" t="s">
        <v>56</v>
      </c>
      <c r="F1746">
        <v>19140</v>
      </c>
      <c r="G1746" t="s">
        <v>57</v>
      </c>
      <c r="H1746" t="s">
        <v>35</v>
      </c>
      <c r="I1746" t="s">
        <v>59</v>
      </c>
      <c r="J1746">
        <v>442.4</v>
      </c>
      <c r="K1746">
        <v>7</v>
      </c>
      <c r="L1746">
        <v>0.2</v>
      </c>
      <c r="M1746">
        <v>-55.3</v>
      </c>
    </row>
    <row r="1747" spans="1:13" x14ac:dyDescent="0.3">
      <c r="A1747" t="s">
        <v>62</v>
      </c>
      <c r="B1747" t="s">
        <v>14</v>
      </c>
      <c r="C1747" t="s">
        <v>15</v>
      </c>
      <c r="D1747" t="s">
        <v>92</v>
      </c>
      <c r="E1747" t="s">
        <v>76</v>
      </c>
      <c r="F1747">
        <v>14609</v>
      </c>
      <c r="G1747" t="s">
        <v>57</v>
      </c>
      <c r="H1747" t="s">
        <v>26</v>
      </c>
      <c r="I1747" t="s">
        <v>34</v>
      </c>
      <c r="J1747">
        <v>13.36</v>
      </c>
      <c r="K1747">
        <v>2</v>
      </c>
      <c r="L1747">
        <v>0</v>
      </c>
      <c r="M1747">
        <v>4.9432</v>
      </c>
    </row>
    <row r="1748" spans="1:13" x14ac:dyDescent="0.3">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
      <c r="A1749" t="s">
        <v>13</v>
      </c>
      <c r="B1749" t="s">
        <v>14</v>
      </c>
      <c r="C1749" t="s">
        <v>15</v>
      </c>
      <c r="D1749" t="s">
        <v>189</v>
      </c>
      <c r="E1749" t="s">
        <v>40</v>
      </c>
      <c r="F1749">
        <v>28540</v>
      </c>
      <c r="G1749" t="s">
        <v>18</v>
      </c>
      <c r="H1749" t="s">
        <v>26</v>
      </c>
      <c r="I1749" t="s">
        <v>41</v>
      </c>
      <c r="J1749">
        <v>10.272</v>
      </c>
      <c r="K1749">
        <v>3</v>
      </c>
      <c r="L1749">
        <v>0.2</v>
      </c>
      <c r="M1749">
        <v>3.21</v>
      </c>
    </row>
    <row r="1750" spans="1:13" x14ac:dyDescent="0.3">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
      <c r="A1767" t="s">
        <v>28</v>
      </c>
      <c r="B1767" t="s">
        <v>44</v>
      </c>
      <c r="C1767" t="s">
        <v>15</v>
      </c>
      <c r="D1767" t="s">
        <v>329</v>
      </c>
      <c r="E1767" t="s">
        <v>83</v>
      </c>
      <c r="F1767">
        <v>23434</v>
      </c>
      <c r="G1767" t="s">
        <v>18</v>
      </c>
      <c r="H1767" t="s">
        <v>19</v>
      </c>
      <c r="I1767" t="s">
        <v>33</v>
      </c>
      <c r="J1767">
        <v>109.8</v>
      </c>
      <c r="K1767">
        <v>9</v>
      </c>
      <c r="L1767">
        <v>0</v>
      </c>
      <c r="M1767">
        <v>46.116</v>
      </c>
    </row>
    <row r="1768" spans="1:13" x14ac:dyDescent="0.3">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
      <c r="A1774" t="s">
        <v>13</v>
      </c>
      <c r="B1774" t="s">
        <v>22</v>
      </c>
      <c r="C1774" t="s">
        <v>15</v>
      </c>
      <c r="D1774" t="s">
        <v>79</v>
      </c>
      <c r="E1774" t="s">
        <v>65</v>
      </c>
      <c r="F1774">
        <v>60623</v>
      </c>
      <c r="G1774" t="s">
        <v>47</v>
      </c>
      <c r="H1774" t="s">
        <v>35</v>
      </c>
      <c r="I1774" t="s">
        <v>59</v>
      </c>
      <c r="J1774">
        <v>62.4</v>
      </c>
      <c r="K1774">
        <v>6</v>
      </c>
      <c r="L1774">
        <v>0.2</v>
      </c>
      <c r="M1774">
        <v>19.5</v>
      </c>
    </row>
    <row r="1775" spans="1:13" x14ac:dyDescent="0.3">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
      <c r="A1778" t="s">
        <v>28</v>
      </c>
      <c r="B1778" t="s">
        <v>22</v>
      </c>
      <c r="C1778" t="s">
        <v>15</v>
      </c>
      <c r="D1778" t="s">
        <v>333</v>
      </c>
      <c r="E1778" t="s">
        <v>248</v>
      </c>
      <c r="F1778">
        <v>21215</v>
      </c>
      <c r="G1778" t="s">
        <v>57</v>
      </c>
      <c r="H1778" t="s">
        <v>26</v>
      </c>
      <c r="I1778" t="s">
        <v>27</v>
      </c>
      <c r="J1778">
        <v>3.15</v>
      </c>
      <c r="K1778">
        <v>1</v>
      </c>
      <c r="L1778">
        <v>0</v>
      </c>
      <c r="M1778">
        <v>1.512</v>
      </c>
    </row>
    <row r="1779" spans="1:13" x14ac:dyDescent="0.3">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
      <c r="A1781" t="s">
        <v>28</v>
      </c>
      <c r="B1781" t="s">
        <v>14</v>
      </c>
      <c r="C1781" t="s">
        <v>15</v>
      </c>
      <c r="D1781" t="s">
        <v>75</v>
      </c>
      <c r="E1781" t="s">
        <v>76</v>
      </c>
      <c r="F1781">
        <v>10011</v>
      </c>
      <c r="G1781" t="s">
        <v>57</v>
      </c>
      <c r="H1781" t="s">
        <v>35</v>
      </c>
      <c r="I1781" t="s">
        <v>59</v>
      </c>
      <c r="J1781">
        <v>59.97</v>
      </c>
      <c r="K1781">
        <v>3</v>
      </c>
      <c r="L1781">
        <v>0</v>
      </c>
      <c r="M1781">
        <v>14.9925</v>
      </c>
    </row>
    <row r="1782" spans="1:13" x14ac:dyDescent="0.3">
      <c r="A1782" t="s">
        <v>28</v>
      </c>
      <c r="B1782" t="s">
        <v>14</v>
      </c>
      <c r="C1782" t="s">
        <v>15</v>
      </c>
      <c r="D1782" t="s">
        <v>75</v>
      </c>
      <c r="E1782" t="s">
        <v>76</v>
      </c>
      <c r="F1782">
        <v>10011</v>
      </c>
      <c r="G1782" t="s">
        <v>57</v>
      </c>
      <c r="H1782" t="s">
        <v>26</v>
      </c>
      <c r="I1782" t="s">
        <v>32</v>
      </c>
      <c r="J1782">
        <v>83.36</v>
      </c>
      <c r="K1782">
        <v>1</v>
      </c>
      <c r="L1782">
        <v>0</v>
      </c>
      <c r="M1782">
        <v>20.84</v>
      </c>
    </row>
    <row r="1783" spans="1:13" x14ac:dyDescent="0.3">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
      <c r="A1792" t="s">
        <v>28</v>
      </c>
      <c r="B1792" t="s">
        <v>14</v>
      </c>
      <c r="C1792" t="s">
        <v>15</v>
      </c>
      <c r="D1792" t="s">
        <v>75</v>
      </c>
      <c r="E1792" t="s">
        <v>76</v>
      </c>
      <c r="F1792">
        <v>10011</v>
      </c>
      <c r="G1792" t="s">
        <v>57</v>
      </c>
      <c r="H1792" t="s">
        <v>26</v>
      </c>
      <c r="I1792" t="s">
        <v>41</v>
      </c>
      <c r="J1792">
        <v>48.94</v>
      </c>
      <c r="K1792">
        <v>1</v>
      </c>
      <c r="L1792">
        <v>0</v>
      </c>
      <c r="M1792">
        <v>24.47</v>
      </c>
    </row>
    <row r="1793" spans="1:13" x14ac:dyDescent="0.3">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
      <c r="A1794" t="s">
        <v>62</v>
      </c>
      <c r="B1794" t="s">
        <v>14</v>
      </c>
      <c r="C1794" t="s">
        <v>15</v>
      </c>
      <c r="D1794" t="s">
        <v>48</v>
      </c>
      <c r="E1794" t="s">
        <v>49</v>
      </c>
      <c r="F1794">
        <v>53711</v>
      </c>
      <c r="G1794" t="s">
        <v>47</v>
      </c>
      <c r="H1794" t="s">
        <v>26</v>
      </c>
      <c r="I1794" t="s">
        <v>34</v>
      </c>
      <c r="J1794">
        <v>46.64</v>
      </c>
      <c r="K1794">
        <v>4</v>
      </c>
      <c r="L1794">
        <v>0</v>
      </c>
      <c r="M1794">
        <v>12.5928</v>
      </c>
    </row>
    <row r="1795" spans="1:13" x14ac:dyDescent="0.3">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
      <c r="A1808" t="s">
        <v>62</v>
      </c>
      <c r="B1808" t="s">
        <v>22</v>
      </c>
      <c r="C1808" t="s">
        <v>15</v>
      </c>
      <c r="D1808" t="s">
        <v>23</v>
      </c>
      <c r="E1808" t="s">
        <v>24</v>
      </c>
      <c r="F1808">
        <v>90049</v>
      </c>
      <c r="G1808" t="s">
        <v>25</v>
      </c>
      <c r="H1808" t="s">
        <v>26</v>
      </c>
      <c r="I1808" t="s">
        <v>41</v>
      </c>
      <c r="J1808">
        <v>45.36</v>
      </c>
      <c r="K1808">
        <v>7</v>
      </c>
      <c r="L1808">
        <v>0</v>
      </c>
      <c r="M1808">
        <v>21.7728</v>
      </c>
    </row>
    <row r="1809" spans="1:13" x14ac:dyDescent="0.3">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
      <c r="A1821" t="s">
        <v>28</v>
      </c>
      <c r="B1821" t="s">
        <v>14</v>
      </c>
      <c r="C1821" t="s">
        <v>15</v>
      </c>
      <c r="D1821" t="s">
        <v>79</v>
      </c>
      <c r="E1821" t="s">
        <v>65</v>
      </c>
      <c r="F1821">
        <v>60623</v>
      </c>
      <c r="G1821" t="s">
        <v>47</v>
      </c>
      <c r="H1821" t="s">
        <v>19</v>
      </c>
      <c r="I1821" t="s">
        <v>33</v>
      </c>
      <c r="J1821">
        <v>29.32</v>
      </c>
      <c r="K1821">
        <v>2</v>
      </c>
      <c r="L1821">
        <v>0.6</v>
      </c>
      <c r="M1821">
        <v>-24.189</v>
      </c>
    </row>
    <row r="1822" spans="1:13" x14ac:dyDescent="0.3">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
      <c r="A1834" t="s">
        <v>28</v>
      </c>
      <c r="B1834" t="s">
        <v>22</v>
      </c>
      <c r="C1834" t="s">
        <v>15</v>
      </c>
      <c r="D1834" t="s">
        <v>124</v>
      </c>
      <c r="E1834" t="s">
        <v>40</v>
      </c>
      <c r="F1834">
        <v>28110</v>
      </c>
      <c r="G1834" t="s">
        <v>18</v>
      </c>
      <c r="H1834" t="s">
        <v>19</v>
      </c>
      <c r="I1834" t="s">
        <v>21</v>
      </c>
      <c r="J1834">
        <v>207</v>
      </c>
      <c r="K1834">
        <v>3</v>
      </c>
      <c r="L1834">
        <v>0.2</v>
      </c>
      <c r="M1834">
        <v>25.875</v>
      </c>
    </row>
    <row r="1835" spans="1:13" x14ac:dyDescent="0.3">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
      <c r="A1852" t="s">
        <v>13</v>
      </c>
      <c r="B1852" t="s">
        <v>14</v>
      </c>
      <c r="C1852" t="s">
        <v>15</v>
      </c>
      <c r="D1852" t="s">
        <v>343</v>
      </c>
      <c r="E1852" t="s">
        <v>74</v>
      </c>
      <c r="F1852">
        <v>46614</v>
      </c>
      <c r="G1852" t="s">
        <v>47</v>
      </c>
      <c r="H1852" t="s">
        <v>35</v>
      </c>
      <c r="I1852" t="s">
        <v>59</v>
      </c>
      <c r="J1852">
        <v>831.2</v>
      </c>
      <c r="K1852">
        <v>5</v>
      </c>
      <c r="L1852">
        <v>0</v>
      </c>
      <c r="M1852">
        <v>124.68</v>
      </c>
    </row>
    <row r="1853" spans="1:13" x14ac:dyDescent="0.3">
      <c r="A1853" t="s">
        <v>13</v>
      </c>
      <c r="B1853" t="s">
        <v>14</v>
      </c>
      <c r="C1853" t="s">
        <v>15</v>
      </c>
      <c r="D1853" t="s">
        <v>343</v>
      </c>
      <c r="E1853" t="s">
        <v>74</v>
      </c>
      <c r="F1853">
        <v>46614</v>
      </c>
      <c r="G1853" t="s">
        <v>47</v>
      </c>
      <c r="H1853" t="s">
        <v>26</v>
      </c>
      <c r="I1853" t="s">
        <v>41</v>
      </c>
      <c r="J1853">
        <v>26.4</v>
      </c>
      <c r="K1853">
        <v>5</v>
      </c>
      <c r="L1853">
        <v>0</v>
      </c>
      <c r="M1853">
        <v>11.88</v>
      </c>
    </row>
    <row r="1854" spans="1:13" x14ac:dyDescent="0.3">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
      <c r="A1858" t="s">
        <v>13</v>
      </c>
      <c r="B1858" t="s">
        <v>22</v>
      </c>
      <c r="C1858" t="s">
        <v>15</v>
      </c>
      <c r="D1858" t="s">
        <v>61</v>
      </c>
      <c r="E1858" t="s">
        <v>46</v>
      </c>
      <c r="F1858">
        <v>77041</v>
      </c>
      <c r="G1858" t="s">
        <v>47</v>
      </c>
      <c r="H1858" t="s">
        <v>26</v>
      </c>
      <c r="I1858" t="s">
        <v>32</v>
      </c>
      <c r="J1858">
        <v>127.92</v>
      </c>
      <c r="K1858">
        <v>5</v>
      </c>
      <c r="L1858">
        <v>0.2</v>
      </c>
      <c r="M1858">
        <v>-15.99</v>
      </c>
    </row>
    <row r="1859" spans="1:13" x14ac:dyDescent="0.3">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
      <c r="A1882" t="s">
        <v>168</v>
      </c>
      <c r="B1882" t="s">
        <v>14</v>
      </c>
      <c r="C1882" t="s">
        <v>15</v>
      </c>
      <c r="D1882" t="s">
        <v>75</v>
      </c>
      <c r="E1882" t="s">
        <v>76</v>
      </c>
      <c r="F1882">
        <v>10011</v>
      </c>
      <c r="G1882" t="s">
        <v>57</v>
      </c>
      <c r="H1882" t="s">
        <v>26</v>
      </c>
      <c r="I1882" t="s">
        <v>60</v>
      </c>
      <c r="J1882">
        <v>29.34</v>
      </c>
      <c r="K1882">
        <v>3</v>
      </c>
      <c r="L1882">
        <v>0</v>
      </c>
      <c r="M1882">
        <v>14.67</v>
      </c>
    </row>
    <row r="1883" spans="1:13" x14ac:dyDescent="0.3">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
      <c r="A1886" t="s">
        <v>13</v>
      </c>
      <c r="B1886" t="s">
        <v>14</v>
      </c>
      <c r="C1886" t="s">
        <v>15</v>
      </c>
      <c r="D1886" t="s">
        <v>345</v>
      </c>
      <c r="E1886" t="s">
        <v>46</v>
      </c>
      <c r="F1886">
        <v>76248</v>
      </c>
      <c r="G1886" t="s">
        <v>47</v>
      </c>
      <c r="H1886" t="s">
        <v>26</v>
      </c>
      <c r="I1886" t="s">
        <v>27</v>
      </c>
      <c r="J1886">
        <v>6</v>
      </c>
      <c r="K1886">
        <v>2</v>
      </c>
      <c r="L1886">
        <v>0.2</v>
      </c>
      <c r="M1886">
        <v>2.1</v>
      </c>
    </row>
    <row r="1887" spans="1:13" x14ac:dyDescent="0.3">
      <c r="A1887" t="s">
        <v>13</v>
      </c>
      <c r="B1887" t="s">
        <v>14</v>
      </c>
      <c r="C1887" t="s">
        <v>15</v>
      </c>
      <c r="D1887" t="s">
        <v>52</v>
      </c>
      <c r="E1887" t="s">
        <v>24</v>
      </c>
      <c r="F1887">
        <v>94122</v>
      </c>
      <c r="G1887" t="s">
        <v>25</v>
      </c>
      <c r="H1887" t="s">
        <v>19</v>
      </c>
      <c r="I1887" t="s">
        <v>33</v>
      </c>
      <c r="J1887">
        <v>31.56</v>
      </c>
      <c r="K1887">
        <v>3</v>
      </c>
      <c r="L1887">
        <v>0</v>
      </c>
      <c r="M1887">
        <v>10.4148</v>
      </c>
    </row>
    <row r="1888" spans="1:13" x14ac:dyDescent="0.3">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
      <c r="A1896" t="s">
        <v>62</v>
      </c>
      <c r="B1896" t="s">
        <v>14</v>
      </c>
      <c r="C1896" t="s">
        <v>15</v>
      </c>
      <c r="D1896" t="s">
        <v>348</v>
      </c>
      <c r="E1896" t="s">
        <v>83</v>
      </c>
      <c r="F1896">
        <v>22901</v>
      </c>
      <c r="G1896" t="s">
        <v>18</v>
      </c>
      <c r="H1896" t="s">
        <v>26</v>
      </c>
      <c r="I1896" t="s">
        <v>34</v>
      </c>
      <c r="J1896">
        <v>34.65</v>
      </c>
      <c r="K1896">
        <v>3</v>
      </c>
      <c r="L1896">
        <v>0</v>
      </c>
      <c r="M1896">
        <v>10.395</v>
      </c>
    </row>
    <row r="1897" spans="1:13" x14ac:dyDescent="0.3">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
      <c r="A1911" t="s">
        <v>28</v>
      </c>
      <c r="B1911" t="s">
        <v>14</v>
      </c>
      <c r="C1911" t="s">
        <v>15</v>
      </c>
      <c r="D1911" t="s">
        <v>230</v>
      </c>
      <c r="E1911" t="s">
        <v>76</v>
      </c>
      <c r="F1911">
        <v>11572</v>
      </c>
      <c r="G1911" t="s">
        <v>57</v>
      </c>
      <c r="H1911" t="s">
        <v>19</v>
      </c>
      <c r="I1911" t="s">
        <v>33</v>
      </c>
      <c r="J1911">
        <v>18.96</v>
      </c>
      <c r="K1911">
        <v>2</v>
      </c>
      <c r="L1911">
        <v>0</v>
      </c>
      <c r="M1911">
        <v>8.532</v>
      </c>
    </row>
    <row r="1912" spans="1:13" x14ac:dyDescent="0.3">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
      <c r="A1926" t="s">
        <v>13</v>
      </c>
      <c r="B1926" t="s">
        <v>14</v>
      </c>
      <c r="C1926" t="s">
        <v>15</v>
      </c>
      <c r="D1926" t="s">
        <v>144</v>
      </c>
      <c r="E1926" t="s">
        <v>24</v>
      </c>
      <c r="F1926">
        <v>92024</v>
      </c>
      <c r="G1926" t="s">
        <v>25</v>
      </c>
      <c r="H1926" t="s">
        <v>26</v>
      </c>
      <c r="I1926" t="s">
        <v>41</v>
      </c>
      <c r="J1926">
        <v>92.94</v>
      </c>
      <c r="K1926">
        <v>3</v>
      </c>
      <c r="L1926">
        <v>0</v>
      </c>
      <c r="M1926">
        <v>41.823</v>
      </c>
    </row>
    <row r="1927" spans="1:13" x14ac:dyDescent="0.3">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
      <c r="A1938" t="s">
        <v>13</v>
      </c>
      <c r="B1938" t="s">
        <v>44</v>
      </c>
      <c r="C1938" t="s">
        <v>15</v>
      </c>
      <c r="D1938" t="s">
        <v>52</v>
      </c>
      <c r="E1938" t="s">
        <v>24</v>
      </c>
      <c r="F1938">
        <v>94109</v>
      </c>
      <c r="G1938" t="s">
        <v>25</v>
      </c>
      <c r="H1938" t="s">
        <v>19</v>
      </c>
      <c r="I1938" t="s">
        <v>33</v>
      </c>
      <c r="J1938">
        <v>14.73</v>
      </c>
      <c r="K1938">
        <v>3</v>
      </c>
      <c r="L1938">
        <v>0</v>
      </c>
      <c r="M1938">
        <v>4.8609</v>
      </c>
    </row>
    <row r="1939" spans="1:13" x14ac:dyDescent="0.3">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
      <c r="A1948" t="s">
        <v>28</v>
      </c>
      <c r="B1948" t="s">
        <v>22</v>
      </c>
      <c r="C1948" t="s">
        <v>15</v>
      </c>
      <c r="D1948" t="s">
        <v>75</v>
      </c>
      <c r="E1948" t="s">
        <v>76</v>
      </c>
      <c r="F1948">
        <v>10009</v>
      </c>
      <c r="G1948" t="s">
        <v>57</v>
      </c>
      <c r="H1948" t="s">
        <v>26</v>
      </c>
      <c r="I1948" t="s">
        <v>34</v>
      </c>
      <c r="J1948">
        <v>23.1</v>
      </c>
      <c r="K1948">
        <v>2</v>
      </c>
      <c r="L1948">
        <v>0</v>
      </c>
      <c r="M1948">
        <v>6.468</v>
      </c>
    </row>
    <row r="1949" spans="1:13" x14ac:dyDescent="0.3">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
      <c r="A1956" t="s">
        <v>28</v>
      </c>
      <c r="B1956" t="s">
        <v>22</v>
      </c>
      <c r="C1956" t="s">
        <v>15</v>
      </c>
      <c r="D1956" t="s">
        <v>75</v>
      </c>
      <c r="E1956" t="s">
        <v>76</v>
      </c>
      <c r="F1956">
        <v>10009</v>
      </c>
      <c r="G1956" t="s">
        <v>57</v>
      </c>
      <c r="H1956" t="s">
        <v>26</v>
      </c>
      <c r="I1956" t="s">
        <v>34</v>
      </c>
      <c r="J1956">
        <v>4.92</v>
      </c>
      <c r="K1956">
        <v>3</v>
      </c>
      <c r="L1956">
        <v>0</v>
      </c>
      <c r="M1956">
        <v>2.214</v>
      </c>
    </row>
    <row r="1957" spans="1:13" x14ac:dyDescent="0.3">
      <c r="A1957" t="s">
        <v>28</v>
      </c>
      <c r="B1957" t="s">
        <v>22</v>
      </c>
      <c r="C1957" t="s">
        <v>15</v>
      </c>
      <c r="D1957" t="s">
        <v>75</v>
      </c>
      <c r="E1957" t="s">
        <v>76</v>
      </c>
      <c r="F1957">
        <v>10009</v>
      </c>
      <c r="G1957" t="s">
        <v>57</v>
      </c>
      <c r="H1957" t="s">
        <v>35</v>
      </c>
      <c r="I1957" t="s">
        <v>59</v>
      </c>
      <c r="J1957">
        <v>238</v>
      </c>
      <c r="K1957">
        <v>2</v>
      </c>
      <c r="L1957">
        <v>0</v>
      </c>
      <c r="M1957">
        <v>38.08</v>
      </c>
    </row>
    <row r="1958" spans="1:13" x14ac:dyDescent="0.3">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
      <c r="A1964" t="s">
        <v>13</v>
      </c>
      <c r="B1964" t="s">
        <v>14</v>
      </c>
      <c r="C1964" t="s">
        <v>15</v>
      </c>
      <c r="D1964" t="s">
        <v>82</v>
      </c>
      <c r="E1964" t="s">
        <v>112</v>
      </c>
      <c r="F1964">
        <v>65807</v>
      </c>
      <c r="G1964" t="s">
        <v>47</v>
      </c>
      <c r="H1964" t="s">
        <v>26</v>
      </c>
      <c r="I1964" t="s">
        <v>37</v>
      </c>
      <c r="J1964">
        <v>13.71</v>
      </c>
      <c r="K1964">
        <v>3</v>
      </c>
      <c r="L1964">
        <v>0</v>
      </c>
      <c r="M1964">
        <v>6.5808</v>
      </c>
    </row>
    <row r="1965" spans="1:13" x14ac:dyDescent="0.3">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
      <c r="A1983" t="s">
        <v>13</v>
      </c>
      <c r="B1983" t="s">
        <v>22</v>
      </c>
      <c r="C1983" t="s">
        <v>15</v>
      </c>
      <c r="D1983" t="s">
        <v>103</v>
      </c>
      <c r="E1983" t="s">
        <v>167</v>
      </c>
      <c r="F1983">
        <v>31907</v>
      </c>
      <c r="G1983" t="s">
        <v>18</v>
      </c>
      <c r="H1983" t="s">
        <v>26</v>
      </c>
      <c r="I1983" t="s">
        <v>37</v>
      </c>
      <c r="J1983">
        <v>3.76</v>
      </c>
      <c r="K1983">
        <v>2</v>
      </c>
      <c r="L1983">
        <v>0</v>
      </c>
      <c r="M1983">
        <v>1.8048</v>
      </c>
    </row>
    <row r="1984" spans="1:13" x14ac:dyDescent="0.3">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
      <c r="A1999" t="s">
        <v>62</v>
      </c>
      <c r="B1999" t="s">
        <v>22</v>
      </c>
      <c r="C1999" t="s">
        <v>15</v>
      </c>
      <c r="D1999" t="s">
        <v>355</v>
      </c>
      <c r="E1999" t="s">
        <v>83</v>
      </c>
      <c r="F1999">
        <v>23320</v>
      </c>
      <c r="G1999" t="s">
        <v>18</v>
      </c>
      <c r="H1999" t="s">
        <v>26</v>
      </c>
      <c r="I1999" t="s">
        <v>27</v>
      </c>
      <c r="J1999">
        <v>15</v>
      </c>
      <c r="K1999">
        <v>4</v>
      </c>
      <c r="L1999">
        <v>0</v>
      </c>
      <c r="M1999">
        <v>7.2</v>
      </c>
    </row>
    <row r="2000" spans="1:13" x14ac:dyDescent="0.3">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
      <c r="A2032" t="s">
        <v>28</v>
      </c>
      <c r="B2032" t="s">
        <v>22</v>
      </c>
      <c r="C2032" t="s">
        <v>15</v>
      </c>
      <c r="D2032" t="s">
        <v>359</v>
      </c>
      <c r="E2032" t="s">
        <v>166</v>
      </c>
      <c r="F2032">
        <v>1453</v>
      </c>
      <c r="G2032" t="s">
        <v>57</v>
      </c>
      <c r="H2032" t="s">
        <v>26</v>
      </c>
      <c r="I2032" t="s">
        <v>37</v>
      </c>
      <c r="J2032">
        <v>61.04</v>
      </c>
      <c r="K2032">
        <v>4</v>
      </c>
      <c r="L2032">
        <v>0</v>
      </c>
      <c r="M2032">
        <v>30.52</v>
      </c>
    </row>
    <row r="2033" spans="1:13" x14ac:dyDescent="0.3">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
      <c r="A2060" t="s">
        <v>62</v>
      </c>
      <c r="B2060" t="s">
        <v>14</v>
      </c>
      <c r="C2060" t="s">
        <v>15</v>
      </c>
      <c r="D2060" t="s">
        <v>140</v>
      </c>
      <c r="E2060" t="s">
        <v>70</v>
      </c>
      <c r="F2060">
        <v>48227</v>
      </c>
      <c r="G2060" t="s">
        <v>47</v>
      </c>
      <c r="H2060" t="s">
        <v>19</v>
      </c>
      <c r="I2060" t="s">
        <v>31</v>
      </c>
      <c r="J2060">
        <v>411.8</v>
      </c>
      <c r="K2060">
        <v>2</v>
      </c>
      <c r="L2060">
        <v>0</v>
      </c>
      <c r="M2060">
        <v>70.006</v>
      </c>
    </row>
    <row r="2061" spans="1:13" x14ac:dyDescent="0.3">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
      <c r="A2062" t="s">
        <v>28</v>
      </c>
      <c r="B2062" t="s">
        <v>22</v>
      </c>
      <c r="C2062" t="s">
        <v>15</v>
      </c>
      <c r="D2062" t="s">
        <v>23</v>
      </c>
      <c r="E2062" t="s">
        <v>24</v>
      </c>
      <c r="F2062">
        <v>90049</v>
      </c>
      <c r="G2062" t="s">
        <v>25</v>
      </c>
      <c r="H2062" t="s">
        <v>26</v>
      </c>
      <c r="I2062" t="s">
        <v>32</v>
      </c>
      <c r="J2062">
        <v>80.3</v>
      </c>
      <c r="K2062">
        <v>5</v>
      </c>
      <c r="L2062">
        <v>0</v>
      </c>
      <c r="M2062">
        <v>20.878</v>
      </c>
    </row>
    <row r="2063" spans="1:13" x14ac:dyDescent="0.3">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
      <c r="A2078" t="s">
        <v>62</v>
      </c>
      <c r="B2078" t="s">
        <v>14</v>
      </c>
      <c r="C2078" t="s">
        <v>15</v>
      </c>
      <c r="D2078" t="s">
        <v>333</v>
      </c>
      <c r="E2078" t="s">
        <v>248</v>
      </c>
      <c r="F2078">
        <v>21215</v>
      </c>
      <c r="G2078" t="s">
        <v>57</v>
      </c>
      <c r="H2078" t="s">
        <v>26</v>
      </c>
      <c r="I2078" t="s">
        <v>41</v>
      </c>
      <c r="J2078">
        <v>39.9</v>
      </c>
      <c r="K2078">
        <v>5</v>
      </c>
      <c r="L2078">
        <v>0</v>
      </c>
      <c r="M2078">
        <v>19.95</v>
      </c>
    </row>
    <row r="2079" spans="1:13" x14ac:dyDescent="0.3">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
      <c r="A2087" t="s">
        <v>28</v>
      </c>
      <c r="B2087" t="s">
        <v>14</v>
      </c>
      <c r="C2087" t="s">
        <v>15</v>
      </c>
      <c r="D2087" t="s">
        <v>75</v>
      </c>
      <c r="E2087" t="s">
        <v>76</v>
      </c>
      <c r="F2087">
        <v>10009</v>
      </c>
      <c r="G2087" t="s">
        <v>57</v>
      </c>
      <c r="H2087" t="s">
        <v>26</v>
      </c>
      <c r="I2087" t="s">
        <v>27</v>
      </c>
      <c r="J2087">
        <v>18.45</v>
      </c>
      <c r="K2087">
        <v>5</v>
      </c>
      <c r="L2087">
        <v>0</v>
      </c>
      <c r="M2087">
        <v>8.6715</v>
      </c>
    </row>
    <row r="2088" spans="1:13" x14ac:dyDescent="0.3">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
      <c r="A2091" t="s">
        <v>28</v>
      </c>
      <c r="B2091" t="s">
        <v>22</v>
      </c>
      <c r="C2091" t="s">
        <v>15</v>
      </c>
      <c r="D2091" t="s">
        <v>363</v>
      </c>
      <c r="E2091" t="s">
        <v>24</v>
      </c>
      <c r="F2091">
        <v>91730</v>
      </c>
      <c r="G2091" t="s">
        <v>25</v>
      </c>
      <c r="H2091" t="s">
        <v>26</v>
      </c>
      <c r="I2091" t="s">
        <v>27</v>
      </c>
      <c r="J2091">
        <v>5.76</v>
      </c>
      <c r="K2091">
        <v>2</v>
      </c>
      <c r="L2091">
        <v>0</v>
      </c>
      <c r="M2091">
        <v>2.6496</v>
      </c>
    </row>
    <row r="2092" spans="1:13" x14ac:dyDescent="0.3">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
      <c r="A2096" t="s">
        <v>28</v>
      </c>
      <c r="B2096" t="s">
        <v>14</v>
      </c>
      <c r="C2096" t="s">
        <v>15</v>
      </c>
      <c r="D2096" t="s">
        <v>106</v>
      </c>
      <c r="E2096" t="s">
        <v>40</v>
      </c>
      <c r="F2096">
        <v>28403</v>
      </c>
      <c r="G2096" t="s">
        <v>18</v>
      </c>
      <c r="H2096" t="s">
        <v>26</v>
      </c>
      <c r="I2096" t="s">
        <v>34</v>
      </c>
      <c r="J2096">
        <v>13.12</v>
      </c>
      <c r="K2096">
        <v>5</v>
      </c>
      <c r="L2096">
        <v>0.2</v>
      </c>
      <c r="M2096">
        <v>1.476</v>
      </c>
    </row>
    <row r="2097" spans="1:13" x14ac:dyDescent="0.3">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
      <c r="A2100" t="s">
        <v>28</v>
      </c>
      <c r="B2100" t="s">
        <v>14</v>
      </c>
      <c r="C2100" t="s">
        <v>15</v>
      </c>
      <c r="D2100" t="s">
        <v>94</v>
      </c>
      <c r="E2100" t="s">
        <v>95</v>
      </c>
      <c r="F2100">
        <v>97206</v>
      </c>
      <c r="G2100" t="s">
        <v>25</v>
      </c>
      <c r="H2100" t="s">
        <v>26</v>
      </c>
      <c r="I2100" t="s">
        <v>32</v>
      </c>
      <c r="J2100">
        <v>37.68</v>
      </c>
      <c r="K2100">
        <v>3</v>
      </c>
      <c r="L2100">
        <v>0.2</v>
      </c>
      <c r="M2100">
        <v>2.355</v>
      </c>
    </row>
    <row r="2101" spans="1:13"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
      <c r="A2106" t="s">
        <v>13</v>
      </c>
      <c r="B2106" t="s">
        <v>22</v>
      </c>
      <c r="C2106" t="s">
        <v>15</v>
      </c>
      <c r="D2106" t="s">
        <v>75</v>
      </c>
      <c r="E2106" t="s">
        <v>76</v>
      </c>
      <c r="F2106">
        <v>10009</v>
      </c>
      <c r="G2106" t="s">
        <v>57</v>
      </c>
      <c r="H2106" t="s">
        <v>35</v>
      </c>
      <c r="I2106" t="s">
        <v>59</v>
      </c>
      <c r="J2106">
        <v>26</v>
      </c>
      <c r="K2106">
        <v>2</v>
      </c>
      <c r="L2106">
        <v>0</v>
      </c>
      <c r="M2106">
        <v>11.7</v>
      </c>
    </row>
    <row r="2107" spans="1:13" x14ac:dyDescent="0.3">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
      <c r="A2111" t="s">
        <v>168</v>
      </c>
      <c r="B2111" t="s">
        <v>14</v>
      </c>
      <c r="C2111" t="s">
        <v>15</v>
      </c>
      <c r="D2111" t="s">
        <v>129</v>
      </c>
      <c r="E2111" t="s">
        <v>24</v>
      </c>
      <c r="F2111">
        <v>92374</v>
      </c>
      <c r="G2111" t="s">
        <v>25</v>
      </c>
      <c r="H2111" t="s">
        <v>26</v>
      </c>
      <c r="I2111" t="s">
        <v>34</v>
      </c>
      <c r="J2111">
        <v>5.04</v>
      </c>
      <c r="K2111">
        <v>3</v>
      </c>
      <c r="L2111">
        <v>0</v>
      </c>
      <c r="M2111">
        <v>1.26</v>
      </c>
    </row>
    <row r="2112" spans="1:13" x14ac:dyDescent="0.3">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
      <c r="A2137" t="s">
        <v>28</v>
      </c>
      <c r="B2137" t="s">
        <v>14</v>
      </c>
      <c r="C2137" t="s">
        <v>15</v>
      </c>
      <c r="D2137" t="s">
        <v>55</v>
      </c>
      <c r="E2137" t="s">
        <v>56</v>
      </c>
      <c r="F2137">
        <v>19134</v>
      </c>
      <c r="G2137" t="s">
        <v>57</v>
      </c>
      <c r="H2137" t="s">
        <v>35</v>
      </c>
      <c r="I2137" t="s">
        <v>36</v>
      </c>
      <c r="J2137">
        <v>94.92</v>
      </c>
      <c r="K2137">
        <v>4</v>
      </c>
      <c r="L2137">
        <v>0.4</v>
      </c>
      <c r="M2137">
        <v>15.82</v>
      </c>
    </row>
    <row r="2138" spans="1:13" x14ac:dyDescent="0.3">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
      <c r="A2140" t="s">
        <v>168</v>
      </c>
      <c r="B2140" t="s">
        <v>14</v>
      </c>
      <c r="C2140" t="s">
        <v>15</v>
      </c>
      <c r="D2140" t="s">
        <v>75</v>
      </c>
      <c r="E2140" t="s">
        <v>76</v>
      </c>
      <c r="F2140">
        <v>10009</v>
      </c>
      <c r="G2140" t="s">
        <v>57</v>
      </c>
      <c r="H2140" t="s">
        <v>26</v>
      </c>
      <c r="I2140" t="s">
        <v>41</v>
      </c>
      <c r="J2140">
        <v>146.82</v>
      </c>
      <c r="K2140">
        <v>3</v>
      </c>
      <c r="L2140">
        <v>0</v>
      </c>
      <c r="M2140">
        <v>73.41</v>
      </c>
    </row>
    <row r="2141" spans="1:13" x14ac:dyDescent="0.3">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
      <c r="A2151" t="s">
        <v>28</v>
      </c>
      <c r="B2151" t="s">
        <v>14</v>
      </c>
      <c r="C2151" t="s">
        <v>15</v>
      </c>
      <c r="D2151" t="s">
        <v>75</v>
      </c>
      <c r="E2151" t="s">
        <v>76</v>
      </c>
      <c r="F2151">
        <v>10035</v>
      </c>
      <c r="G2151" t="s">
        <v>57</v>
      </c>
      <c r="H2151" t="s">
        <v>35</v>
      </c>
      <c r="I2151" t="s">
        <v>36</v>
      </c>
      <c r="J2151">
        <v>84.95</v>
      </c>
      <c r="K2151">
        <v>5</v>
      </c>
      <c r="L2151">
        <v>0</v>
      </c>
      <c r="M2151">
        <v>22.087</v>
      </c>
    </row>
    <row r="2152" spans="1:13" x14ac:dyDescent="0.3">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
      <c r="A2155" t="s">
        <v>28</v>
      </c>
      <c r="B2155" t="s">
        <v>22</v>
      </c>
      <c r="C2155" t="s">
        <v>15</v>
      </c>
      <c r="D2155" t="s">
        <v>75</v>
      </c>
      <c r="E2155" t="s">
        <v>76</v>
      </c>
      <c r="F2155">
        <v>10009</v>
      </c>
      <c r="G2155" t="s">
        <v>57</v>
      </c>
      <c r="H2155" t="s">
        <v>26</v>
      </c>
      <c r="I2155" t="s">
        <v>37</v>
      </c>
      <c r="J2155">
        <v>14.16</v>
      </c>
      <c r="K2155">
        <v>2</v>
      </c>
      <c r="L2155">
        <v>0.2</v>
      </c>
      <c r="M2155">
        <v>5.133</v>
      </c>
    </row>
    <row r="2156" spans="1:13" x14ac:dyDescent="0.3">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
      <c r="A2157" t="s">
        <v>13</v>
      </c>
      <c r="B2157" t="s">
        <v>14</v>
      </c>
      <c r="C2157" t="s">
        <v>15</v>
      </c>
      <c r="D2157" t="s">
        <v>23</v>
      </c>
      <c r="E2157" t="s">
        <v>24</v>
      </c>
      <c r="F2157">
        <v>90032</v>
      </c>
      <c r="G2157" t="s">
        <v>25</v>
      </c>
      <c r="H2157" t="s">
        <v>26</v>
      </c>
      <c r="I2157" t="s">
        <v>77</v>
      </c>
      <c r="J2157">
        <v>21.48</v>
      </c>
      <c r="K2157">
        <v>6</v>
      </c>
      <c r="L2157">
        <v>0</v>
      </c>
      <c r="M2157">
        <v>10.74</v>
      </c>
    </row>
    <row r="2158" spans="1:13" x14ac:dyDescent="0.3">
      <c r="A2158" t="s">
        <v>62</v>
      </c>
      <c r="B2158" t="s">
        <v>14</v>
      </c>
      <c r="C2158" t="s">
        <v>15</v>
      </c>
      <c r="D2158" t="s">
        <v>93</v>
      </c>
      <c r="E2158" t="s">
        <v>68</v>
      </c>
      <c r="F2158">
        <v>55407</v>
      </c>
      <c r="G2158" t="s">
        <v>47</v>
      </c>
      <c r="H2158" t="s">
        <v>26</v>
      </c>
      <c r="I2158" t="s">
        <v>32</v>
      </c>
      <c r="J2158">
        <v>501.81</v>
      </c>
      <c r="K2158">
        <v>3</v>
      </c>
      <c r="L2158">
        <v>0</v>
      </c>
      <c r="M2158">
        <v>0</v>
      </c>
    </row>
    <row r="2159" spans="1:13" x14ac:dyDescent="0.3">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
      <c r="A2182" t="s">
        <v>28</v>
      </c>
      <c r="B2182" t="s">
        <v>14</v>
      </c>
      <c r="C2182" t="s">
        <v>15</v>
      </c>
      <c r="D2182" t="s">
        <v>75</v>
      </c>
      <c r="E2182" t="s">
        <v>76</v>
      </c>
      <c r="F2182">
        <v>10009</v>
      </c>
      <c r="G2182" t="s">
        <v>57</v>
      </c>
      <c r="H2182" t="s">
        <v>26</v>
      </c>
      <c r="I2182" t="s">
        <v>27</v>
      </c>
      <c r="J2182">
        <v>44.4</v>
      </c>
      <c r="K2182">
        <v>3</v>
      </c>
      <c r="L2182">
        <v>0</v>
      </c>
      <c r="M2182">
        <v>22.2</v>
      </c>
    </row>
    <row r="2183" spans="1:13" x14ac:dyDescent="0.3">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
      <c r="A2188" t="s">
        <v>168</v>
      </c>
      <c r="B2188" t="s">
        <v>14</v>
      </c>
      <c r="C2188" t="s">
        <v>15</v>
      </c>
      <c r="D2188" t="s">
        <v>195</v>
      </c>
      <c r="E2188" t="s">
        <v>88</v>
      </c>
      <c r="F2188">
        <v>35810</v>
      </c>
      <c r="G2188" t="s">
        <v>18</v>
      </c>
      <c r="H2188" t="s">
        <v>35</v>
      </c>
      <c r="I2188" t="s">
        <v>59</v>
      </c>
      <c r="J2188">
        <v>29</v>
      </c>
      <c r="K2188">
        <v>2</v>
      </c>
      <c r="L2188">
        <v>0</v>
      </c>
      <c r="M2188">
        <v>7.25</v>
      </c>
    </row>
    <row r="2189" spans="1:13" x14ac:dyDescent="0.3">
      <c r="A2189" t="s">
        <v>28</v>
      </c>
      <c r="B2189" t="s">
        <v>14</v>
      </c>
      <c r="C2189" t="s">
        <v>15</v>
      </c>
      <c r="D2189" t="s">
        <v>103</v>
      </c>
      <c r="E2189" t="s">
        <v>74</v>
      </c>
      <c r="F2189">
        <v>47201</v>
      </c>
      <c r="G2189" t="s">
        <v>47</v>
      </c>
      <c r="H2189" t="s">
        <v>26</v>
      </c>
      <c r="I2189" t="s">
        <v>60</v>
      </c>
      <c r="J2189">
        <v>70.08</v>
      </c>
      <c r="K2189">
        <v>6</v>
      </c>
      <c r="L2189">
        <v>0</v>
      </c>
      <c r="M2189">
        <v>35.04</v>
      </c>
    </row>
    <row r="2190" spans="1:13" x14ac:dyDescent="0.3">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
      <c r="A2194" t="s">
        <v>28</v>
      </c>
      <c r="B2194" t="s">
        <v>14</v>
      </c>
      <c r="C2194" t="s">
        <v>15</v>
      </c>
      <c r="D2194" t="s">
        <v>42</v>
      </c>
      <c r="E2194" t="s">
        <v>43</v>
      </c>
      <c r="F2194">
        <v>98105</v>
      </c>
      <c r="G2194" t="s">
        <v>25</v>
      </c>
      <c r="H2194" t="s">
        <v>26</v>
      </c>
      <c r="I2194" t="s">
        <v>38</v>
      </c>
      <c r="J2194">
        <v>65.34</v>
      </c>
      <c r="K2194">
        <v>3</v>
      </c>
      <c r="L2194">
        <v>0</v>
      </c>
      <c r="M2194">
        <v>22.869</v>
      </c>
    </row>
    <row r="2195" spans="1:13" x14ac:dyDescent="0.3">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
      <c r="A2196" t="s">
        <v>28</v>
      </c>
      <c r="B2196" t="s">
        <v>14</v>
      </c>
      <c r="C2196" t="s">
        <v>15</v>
      </c>
      <c r="D2196" t="s">
        <v>42</v>
      </c>
      <c r="E2196" t="s">
        <v>43</v>
      </c>
      <c r="F2196">
        <v>98105</v>
      </c>
      <c r="G2196" t="s">
        <v>25</v>
      </c>
      <c r="H2196" t="s">
        <v>26</v>
      </c>
      <c r="I2196" t="s">
        <v>38</v>
      </c>
      <c r="J2196">
        <v>35.1</v>
      </c>
      <c r="K2196">
        <v>3</v>
      </c>
      <c r="L2196">
        <v>0</v>
      </c>
      <c r="M2196">
        <v>12.285</v>
      </c>
    </row>
    <row r="2197" spans="1:13" x14ac:dyDescent="0.3">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
      <c r="A2214" t="s">
        <v>28</v>
      </c>
      <c r="B2214" t="s">
        <v>14</v>
      </c>
      <c r="C2214" t="s">
        <v>15</v>
      </c>
      <c r="D2214" t="s">
        <v>75</v>
      </c>
      <c r="E2214" t="s">
        <v>76</v>
      </c>
      <c r="F2214">
        <v>10035</v>
      </c>
      <c r="G2214" t="s">
        <v>57</v>
      </c>
      <c r="H2214" t="s">
        <v>19</v>
      </c>
      <c r="I2214" t="s">
        <v>33</v>
      </c>
      <c r="J2214">
        <v>27.42</v>
      </c>
      <c r="K2214">
        <v>1</v>
      </c>
      <c r="L2214">
        <v>0</v>
      </c>
      <c r="M2214">
        <v>11.2422</v>
      </c>
    </row>
    <row r="2215" spans="1:13" x14ac:dyDescent="0.3">
      <c r="A2215" t="s">
        <v>62</v>
      </c>
      <c r="B2215" t="s">
        <v>14</v>
      </c>
      <c r="C2215" t="s">
        <v>15</v>
      </c>
      <c r="D2215" t="s">
        <v>117</v>
      </c>
      <c r="E2215" t="s">
        <v>24</v>
      </c>
      <c r="F2215">
        <v>95123</v>
      </c>
      <c r="G2215" t="s">
        <v>25</v>
      </c>
      <c r="H2215" t="s">
        <v>26</v>
      </c>
      <c r="I2215" t="s">
        <v>37</v>
      </c>
      <c r="J2215">
        <v>1.44</v>
      </c>
      <c r="K2215">
        <v>1</v>
      </c>
      <c r="L2215">
        <v>0.2</v>
      </c>
      <c r="M2215">
        <v>0.504</v>
      </c>
    </row>
    <row r="2216" spans="1:13"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
      <c r="A2217" t="s">
        <v>62</v>
      </c>
      <c r="B2217" t="s">
        <v>14</v>
      </c>
      <c r="C2217" t="s">
        <v>15</v>
      </c>
      <c r="D2217" t="s">
        <v>117</v>
      </c>
      <c r="E2217" t="s">
        <v>24</v>
      </c>
      <c r="F2217">
        <v>95123</v>
      </c>
      <c r="G2217" t="s">
        <v>25</v>
      </c>
      <c r="H2217" t="s">
        <v>26</v>
      </c>
      <c r="I2217" t="s">
        <v>38</v>
      </c>
      <c r="J2217">
        <v>241.96</v>
      </c>
      <c r="K2217">
        <v>2</v>
      </c>
      <c r="L2217">
        <v>0</v>
      </c>
      <c r="M2217">
        <v>60.49</v>
      </c>
    </row>
    <row r="2218" spans="1:13" x14ac:dyDescent="0.3">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
      <c r="A2232" t="s">
        <v>28</v>
      </c>
      <c r="B2232" t="s">
        <v>14</v>
      </c>
      <c r="C2232" t="s">
        <v>15</v>
      </c>
      <c r="D2232" t="s">
        <v>52</v>
      </c>
      <c r="E2232" t="s">
        <v>24</v>
      </c>
      <c r="F2232">
        <v>94122</v>
      </c>
      <c r="G2232" t="s">
        <v>25</v>
      </c>
      <c r="H2232" t="s">
        <v>26</v>
      </c>
      <c r="I2232" t="s">
        <v>38</v>
      </c>
      <c r="J2232">
        <v>52.98</v>
      </c>
      <c r="K2232">
        <v>2</v>
      </c>
      <c r="L2232">
        <v>0</v>
      </c>
      <c r="M2232">
        <v>14.8344</v>
      </c>
    </row>
    <row r="2233" spans="1:13" x14ac:dyDescent="0.3">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
      <c r="A2239" t="s">
        <v>28</v>
      </c>
      <c r="B2239" t="s">
        <v>44</v>
      </c>
      <c r="C2239" t="s">
        <v>15</v>
      </c>
      <c r="D2239" t="s">
        <v>297</v>
      </c>
      <c r="E2239" t="s">
        <v>51</v>
      </c>
      <c r="F2239">
        <v>84604</v>
      </c>
      <c r="G2239" t="s">
        <v>25</v>
      </c>
      <c r="H2239" t="s">
        <v>26</v>
      </c>
      <c r="I2239" t="s">
        <v>110</v>
      </c>
      <c r="J2239">
        <v>44.4</v>
      </c>
      <c r="K2239">
        <v>5</v>
      </c>
      <c r="L2239">
        <v>0</v>
      </c>
      <c r="M2239">
        <v>12.432</v>
      </c>
    </row>
    <row r="2240" spans="1:13" x14ac:dyDescent="0.3">
      <c r="A2240" t="s">
        <v>28</v>
      </c>
      <c r="B2240" t="s">
        <v>44</v>
      </c>
      <c r="C2240" t="s">
        <v>15</v>
      </c>
      <c r="D2240" t="s">
        <v>79</v>
      </c>
      <c r="E2240" t="s">
        <v>65</v>
      </c>
      <c r="F2240">
        <v>60610</v>
      </c>
      <c r="G2240" t="s">
        <v>47</v>
      </c>
      <c r="H2240" t="s">
        <v>19</v>
      </c>
      <c r="I2240" t="s">
        <v>33</v>
      </c>
      <c r="J2240">
        <v>44.4</v>
      </c>
      <c r="K2240">
        <v>2</v>
      </c>
      <c r="L2240">
        <v>0.6</v>
      </c>
      <c r="M2240">
        <v>-52.17</v>
      </c>
    </row>
    <row r="2241" spans="1:13" x14ac:dyDescent="0.3">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
      <c r="A2245" t="s">
        <v>28</v>
      </c>
      <c r="B2245" t="s">
        <v>44</v>
      </c>
      <c r="C2245" t="s">
        <v>15</v>
      </c>
      <c r="D2245" t="s">
        <v>113</v>
      </c>
      <c r="E2245" t="s">
        <v>24</v>
      </c>
      <c r="F2245">
        <v>91104</v>
      </c>
      <c r="G2245" t="s">
        <v>25</v>
      </c>
      <c r="H2245" t="s">
        <v>26</v>
      </c>
      <c r="I2245" t="s">
        <v>34</v>
      </c>
      <c r="J2245">
        <v>5.56</v>
      </c>
      <c r="K2245">
        <v>2</v>
      </c>
      <c r="L2245">
        <v>0</v>
      </c>
      <c r="M2245">
        <v>1.4456</v>
      </c>
    </row>
    <row r="2246" spans="1:13" x14ac:dyDescent="0.3">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
      <c r="A2255" t="s">
        <v>62</v>
      </c>
      <c r="B2255" t="s">
        <v>22</v>
      </c>
      <c r="C2255" t="s">
        <v>15</v>
      </c>
      <c r="D2255" t="s">
        <v>52</v>
      </c>
      <c r="E2255" t="s">
        <v>24</v>
      </c>
      <c r="F2255">
        <v>94110</v>
      </c>
      <c r="G2255" t="s">
        <v>25</v>
      </c>
      <c r="H2255" t="s">
        <v>26</v>
      </c>
      <c r="I2255" t="s">
        <v>38</v>
      </c>
      <c r="J2255">
        <v>43.26</v>
      </c>
      <c r="K2255">
        <v>3</v>
      </c>
      <c r="L2255">
        <v>0</v>
      </c>
      <c r="M2255">
        <v>14.2758</v>
      </c>
    </row>
    <row r="2256" spans="1:13" x14ac:dyDescent="0.3">
      <c r="A2256" t="s">
        <v>62</v>
      </c>
      <c r="B2256" t="s">
        <v>22</v>
      </c>
      <c r="C2256" t="s">
        <v>15</v>
      </c>
      <c r="D2256" t="s">
        <v>52</v>
      </c>
      <c r="E2256" t="s">
        <v>24</v>
      </c>
      <c r="F2256">
        <v>94110</v>
      </c>
      <c r="G2256" t="s">
        <v>25</v>
      </c>
      <c r="H2256" t="s">
        <v>26</v>
      </c>
      <c r="I2256" t="s">
        <v>38</v>
      </c>
      <c r="J2256">
        <v>43.56</v>
      </c>
      <c r="K2256">
        <v>2</v>
      </c>
      <c r="L2256">
        <v>0</v>
      </c>
      <c r="M2256">
        <v>15.246</v>
      </c>
    </row>
    <row r="2257" spans="1:13" x14ac:dyDescent="0.3">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
      <c r="A2261" t="s">
        <v>13</v>
      </c>
      <c r="B2261" t="s">
        <v>44</v>
      </c>
      <c r="C2261" t="s">
        <v>15</v>
      </c>
      <c r="D2261" t="s">
        <v>144</v>
      </c>
      <c r="E2261" t="s">
        <v>24</v>
      </c>
      <c r="F2261">
        <v>92024</v>
      </c>
      <c r="G2261" t="s">
        <v>25</v>
      </c>
      <c r="H2261" t="s">
        <v>26</v>
      </c>
      <c r="I2261" t="s">
        <v>77</v>
      </c>
      <c r="J2261">
        <v>5</v>
      </c>
      <c r="K2261">
        <v>1</v>
      </c>
      <c r="L2261">
        <v>0</v>
      </c>
      <c r="M2261">
        <v>2.4</v>
      </c>
    </row>
    <row r="2262" spans="1:13" x14ac:dyDescent="0.3">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
      <c r="A2271" t="s">
        <v>28</v>
      </c>
      <c r="B2271" t="s">
        <v>22</v>
      </c>
      <c r="C2271" t="s">
        <v>15</v>
      </c>
      <c r="D2271" t="s">
        <v>92</v>
      </c>
      <c r="E2271" t="s">
        <v>76</v>
      </c>
      <c r="F2271">
        <v>14609</v>
      </c>
      <c r="G2271" t="s">
        <v>57</v>
      </c>
      <c r="H2271" t="s">
        <v>26</v>
      </c>
      <c r="I2271" t="s">
        <v>37</v>
      </c>
      <c r="J2271">
        <v>6.984</v>
      </c>
      <c r="K2271">
        <v>1</v>
      </c>
      <c r="L2271">
        <v>0.2</v>
      </c>
      <c r="M2271">
        <v>2.3571</v>
      </c>
    </row>
    <row r="2272" spans="1:13" x14ac:dyDescent="0.3">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
      <c r="A2278" t="s">
        <v>28</v>
      </c>
      <c r="B2278" t="s">
        <v>14</v>
      </c>
      <c r="C2278" t="s">
        <v>15</v>
      </c>
      <c r="D2278" t="s">
        <v>383</v>
      </c>
      <c r="E2278" t="s">
        <v>185</v>
      </c>
      <c r="F2278">
        <v>38671</v>
      </c>
      <c r="G2278" t="s">
        <v>18</v>
      </c>
      <c r="H2278" t="s">
        <v>26</v>
      </c>
      <c r="I2278" t="s">
        <v>32</v>
      </c>
      <c r="J2278">
        <v>306.2</v>
      </c>
      <c r="K2278">
        <v>5</v>
      </c>
      <c r="L2278">
        <v>0</v>
      </c>
      <c r="M2278">
        <v>0</v>
      </c>
    </row>
    <row r="2279" spans="1:13" x14ac:dyDescent="0.3">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
      <c r="A2295" t="s">
        <v>28</v>
      </c>
      <c r="B2295" t="s">
        <v>22</v>
      </c>
      <c r="C2295" t="s">
        <v>15</v>
      </c>
      <c r="D2295" t="s">
        <v>75</v>
      </c>
      <c r="E2295" t="s">
        <v>76</v>
      </c>
      <c r="F2295">
        <v>10009</v>
      </c>
      <c r="G2295" t="s">
        <v>57</v>
      </c>
      <c r="H2295" t="s">
        <v>35</v>
      </c>
      <c r="I2295" t="s">
        <v>36</v>
      </c>
      <c r="J2295">
        <v>4.95</v>
      </c>
      <c r="K2295">
        <v>1</v>
      </c>
      <c r="L2295">
        <v>0</v>
      </c>
      <c r="M2295">
        <v>1.3365</v>
      </c>
    </row>
    <row r="2296" spans="1:13" x14ac:dyDescent="0.3">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
      <c r="A2298" t="s">
        <v>28</v>
      </c>
      <c r="B2298" t="s">
        <v>14</v>
      </c>
      <c r="C2298" t="s">
        <v>15</v>
      </c>
      <c r="D2298" t="s">
        <v>75</v>
      </c>
      <c r="E2298" t="s">
        <v>76</v>
      </c>
      <c r="F2298">
        <v>10011</v>
      </c>
      <c r="G2298" t="s">
        <v>57</v>
      </c>
      <c r="H2298" t="s">
        <v>19</v>
      </c>
      <c r="I2298" t="s">
        <v>33</v>
      </c>
      <c r="J2298">
        <v>259.7</v>
      </c>
      <c r="K2298">
        <v>5</v>
      </c>
      <c r="L2298">
        <v>0</v>
      </c>
      <c r="M2298">
        <v>106.477</v>
      </c>
    </row>
    <row r="2299" spans="1:13" x14ac:dyDescent="0.3">
      <c r="A2299" t="s">
        <v>28</v>
      </c>
      <c r="B2299" t="s">
        <v>14</v>
      </c>
      <c r="C2299" t="s">
        <v>15</v>
      </c>
      <c r="D2299" t="s">
        <v>75</v>
      </c>
      <c r="E2299" t="s">
        <v>76</v>
      </c>
      <c r="F2299">
        <v>10011</v>
      </c>
      <c r="G2299" t="s">
        <v>57</v>
      </c>
      <c r="H2299" t="s">
        <v>35</v>
      </c>
      <c r="I2299" t="s">
        <v>36</v>
      </c>
      <c r="J2299">
        <v>42.95</v>
      </c>
      <c r="K2299">
        <v>1</v>
      </c>
      <c r="L2299">
        <v>0</v>
      </c>
      <c r="M2299">
        <v>1.2885</v>
      </c>
    </row>
    <row r="2300" spans="1:13" x14ac:dyDescent="0.3">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
      <c r="A2301" t="s">
        <v>28</v>
      </c>
      <c r="B2301" t="s">
        <v>14</v>
      </c>
      <c r="C2301" t="s">
        <v>15</v>
      </c>
      <c r="D2301" t="s">
        <v>75</v>
      </c>
      <c r="E2301" t="s">
        <v>76</v>
      </c>
      <c r="F2301">
        <v>10011</v>
      </c>
      <c r="G2301" t="s">
        <v>57</v>
      </c>
      <c r="H2301" t="s">
        <v>35</v>
      </c>
      <c r="I2301" t="s">
        <v>36</v>
      </c>
      <c r="J2301">
        <v>503.96</v>
      </c>
      <c r="K2301">
        <v>4</v>
      </c>
      <c r="L2301">
        <v>0</v>
      </c>
      <c r="M2301">
        <v>125.99</v>
      </c>
    </row>
    <row r="2302" spans="1:13" x14ac:dyDescent="0.3">
      <c r="A2302" t="s">
        <v>28</v>
      </c>
      <c r="B2302" t="s">
        <v>14</v>
      </c>
      <c r="C2302" t="s">
        <v>15</v>
      </c>
      <c r="D2302" t="s">
        <v>385</v>
      </c>
      <c r="E2302" t="s">
        <v>70</v>
      </c>
      <c r="F2302">
        <v>48640</v>
      </c>
      <c r="G2302" t="s">
        <v>47</v>
      </c>
      <c r="H2302" t="s">
        <v>26</v>
      </c>
      <c r="I2302" t="s">
        <v>37</v>
      </c>
      <c r="J2302">
        <v>12.72</v>
      </c>
      <c r="K2302">
        <v>3</v>
      </c>
      <c r="L2302">
        <v>0</v>
      </c>
      <c r="M2302">
        <v>6.36</v>
      </c>
    </row>
    <row r="2303" spans="1:13" x14ac:dyDescent="0.3">
      <c r="A2303" t="s">
        <v>28</v>
      </c>
      <c r="B2303" t="s">
        <v>14</v>
      </c>
      <c r="C2303" t="s">
        <v>15</v>
      </c>
      <c r="D2303" t="s">
        <v>385</v>
      </c>
      <c r="E2303" t="s">
        <v>70</v>
      </c>
      <c r="F2303">
        <v>48640</v>
      </c>
      <c r="G2303" t="s">
        <v>47</v>
      </c>
      <c r="H2303" t="s">
        <v>26</v>
      </c>
      <c r="I2303" t="s">
        <v>37</v>
      </c>
      <c r="J2303">
        <v>11.52</v>
      </c>
      <c r="K2303">
        <v>4</v>
      </c>
      <c r="L2303">
        <v>0</v>
      </c>
      <c r="M2303">
        <v>5.6448</v>
      </c>
    </row>
    <row r="2304" spans="1:13" x14ac:dyDescent="0.3">
      <c r="A2304" t="s">
        <v>28</v>
      </c>
      <c r="B2304" t="s">
        <v>22</v>
      </c>
      <c r="C2304" t="s">
        <v>15</v>
      </c>
      <c r="D2304" t="s">
        <v>103</v>
      </c>
      <c r="E2304" t="s">
        <v>167</v>
      </c>
      <c r="F2304">
        <v>31907</v>
      </c>
      <c r="G2304" t="s">
        <v>18</v>
      </c>
      <c r="H2304" t="s">
        <v>35</v>
      </c>
      <c r="I2304" t="s">
        <v>59</v>
      </c>
      <c r="J2304">
        <v>316</v>
      </c>
      <c r="K2304">
        <v>4</v>
      </c>
      <c r="L2304">
        <v>0</v>
      </c>
      <c r="M2304">
        <v>31.6</v>
      </c>
    </row>
    <row r="2305" spans="1:13" x14ac:dyDescent="0.3">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
      <c r="A2309" t="s">
        <v>28</v>
      </c>
      <c r="B2309" t="s">
        <v>14</v>
      </c>
      <c r="C2309" t="s">
        <v>15</v>
      </c>
      <c r="D2309" t="s">
        <v>75</v>
      </c>
      <c r="E2309" t="s">
        <v>76</v>
      </c>
      <c r="F2309">
        <v>10009</v>
      </c>
      <c r="G2309" t="s">
        <v>57</v>
      </c>
      <c r="H2309" t="s">
        <v>35</v>
      </c>
      <c r="I2309" t="s">
        <v>59</v>
      </c>
      <c r="J2309">
        <v>390.75</v>
      </c>
      <c r="K2309">
        <v>5</v>
      </c>
      <c r="L2309">
        <v>0</v>
      </c>
      <c r="M2309">
        <v>171.93</v>
      </c>
    </row>
    <row r="2310" spans="1:13"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
      <c r="A2317" t="s">
        <v>28</v>
      </c>
      <c r="B2317" t="s">
        <v>22</v>
      </c>
      <c r="C2317" t="s">
        <v>15</v>
      </c>
      <c r="D2317" t="s">
        <v>386</v>
      </c>
      <c r="E2317" t="s">
        <v>387</v>
      </c>
      <c r="F2317">
        <v>57103</v>
      </c>
      <c r="G2317" t="s">
        <v>47</v>
      </c>
      <c r="H2317" t="s">
        <v>26</v>
      </c>
      <c r="I2317" t="s">
        <v>37</v>
      </c>
      <c r="J2317">
        <v>43</v>
      </c>
      <c r="K2317">
        <v>5</v>
      </c>
      <c r="L2317">
        <v>0</v>
      </c>
      <c r="M2317">
        <v>20.21</v>
      </c>
    </row>
    <row r="2318" spans="1:13" x14ac:dyDescent="0.3">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
      <c r="A2325" t="s">
        <v>13</v>
      </c>
      <c r="B2325" t="s">
        <v>22</v>
      </c>
      <c r="C2325" t="s">
        <v>15</v>
      </c>
      <c r="D2325" t="s">
        <v>16</v>
      </c>
      <c r="E2325" t="s">
        <v>17</v>
      </c>
      <c r="F2325">
        <v>42420</v>
      </c>
      <c r="G2325" t="s">
        <v>18</v>
      </c>
      <c r="H2325" t="s">
        <v>26</v>
      </c>
      <c r="I2325" t="s">
        <v>37</v>
      </c>
      <c r="J2325">
        <v>76.3</v>
      </c>
      <c r="K2325">
        <v>5</v>
      </c>
      <c r="L2325">
        <v>0</v>
      </c>
      <c r="M2325">
        <v>38.15</v>
      </c>
    </row>
    <row r="2326" spans="1:13" x14ac:dyDescent="0.3">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
      <c r="A2333" t="s">
        <v>13</v>
      </c>
      <c r="B2333" t="s">
        <v>22</v>
      </c>
      <c r="C2333" t="s">
        <v>15</v>
      </c>
      <c r="D2333" t="s">
        <v>23</v>
      </c>
      <c r="E2333" t="s">
        <v>24</v>
      </c>
      <c r="F2333">
        <v>90004</v>
      </c>
      <c r="G2333" t="s">
        <v>25</v>
      </c>
      <c r="H2333" t="s">
        <v>26</v>
      </c>
      <c r="I2333" t="s">
        <v>41</v>
      </c>
      <c r="J2333">
        <v>41.7</v>
      </c>
      <c r="K2333">
        <v>5</v>
      </c>
      <c r="L2333">
        <v>0</v>
      </c>
      <c r="M2333">
        <v>20.85</v>
      </c>
    </row>
    <row r="2334" spans="1:13" x14ac:dyDescent="0.3">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
      <c r="A2343" t="s">
        <v>62</v>
      </c>
      <c r="B2343" t="s">
        <v>44</v>
      </c>
      <c r="C2343" t="s">
        <v>15</v>
      </c>
      <c r="D2343" t="s">
        <v>115</v>
      </c>
      <c r="E2343" t="s">
        <v>166</v>
      </c>
      <c r="F2343">
        <v>2038</v>
      </c>
      <c r="G2343" t="s">
        <v>57</v>
      </c>
      <c r="H2343" t="s">
        <v>19</v>
      </c>
      <c r="I2343" t="s">
        <v>33</v>
      </c>
      <c r="J2343">
        <v>63.2</v>
      </c>
      <c r="K2343">
        <v>5</v>
      </c>
      <c r="L2343">
        <v>0</v>
      </c>
      <c r="M2343">
        <v>23.384</v>
      </c>
    </row>
    <row r="2344" spans="1:13" x14ac:dyDescent="0.3">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
      <c r="A2354" t="s">
        <v>168</v>
      </c>
      <c r="B2354" t="s">
        <v>22</v>
      </c>
      <c r="C2354" t="s">
        <v>15</v>
      </c>
      <c r="D2354" t="s">
        <v>23</v>
      </c>
      <c r="E2354" t="s">
        <v>24</v>
      </c>
      <c r="F2354">
        <v>90032</v>
      </c>
      <c r="G2354" t="s">
        <v>25</v>
      </c>
      <c r="H2354" t="s">
        <v>26</v>
      </c>
      <c r="I2354" t="s">
        <v>34</v>
      </c>
      <c r="J2354">
        <v>10.08</v>
      </c>
      <c r="K2354">
        <v>6</v>
      </c>
      <c r="L2354">
        <v>0</v>
      </c>
      <c r="M2354">
        <v>5.04</v>
      </c>
    </row>
    <row r="2355" spans="1:13" x14ac:dyDescent="0.3">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
      <c r="A2362" t="s">
        <v>28</v>
      </c>
      <c r="B2362" t="s">
        <v>22</v>
      </c>
      <c r="C2362" t="s">
        <v>15</v>
      </c>
      <c r="D2362" t="s">
        <v>75</v>
      </c>
      <c r="E2362" t="s">
        <v>76</v>
      </c>
      <c r="F2362">
        <v>10024</v>
      </c>
      <c r="G2362" t="s">
        <v>57</v>
      </c>
      <c r="H2362" t="s">
        <v>26</v>
      </c>
      <c r="I2362" t="s">
        <v>41</v>
      </c>
      <c r="J2362">
        <v>34.86</v>
      </c>
      <c r="K2362">
        <v>7</v>
      </c>
      <c r="L2362">
        <v>0</v>
      </c>
      <c r="M2362">
        <v>16.3842</v>
      </c>
    </row>
    <row r="2363" spans="1:13" x14ac:dyDescent="0.3">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
      <c r="A2367" t="s">
        <v>28</v>
      </c>
      <c r="B2367" t="s">
        <v>44</v>
      </c>
      <c r="C2367" t="s">
        <v>15</v>
      </c>
      <c r="D2367" t="s">
        <v>224</v>
      </c>
      <c r="E2367" t="s">
        <v>83</v>
      </c>
      <c r="F2367">
        <v>22980</v>
      </c>
      <c r="G2367" t="s">
        <v>18</v>
      </c>
      <c r="H2367" t="s">
        <v>26</v>
      </c>
      <c r="I2367" t="s">
        <v>37</v>
      </c>
      <c r="J2367">
        <v>46</v>
      </c>
      <c r="K2367">
        <v>4</v>
      </c>
      <c r="L2367">
        <v>0</v>
      </c>
      <c r="M2367">
        <v>20.7</v>
      </c>
    </row>
    <row r="2368" spans="1:13" x14ac:dyDescent="0.3">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
      <c r="A2372" t="s">
        <v>13</v>
      </c>
      <c r="B2372" t="s">
        <v>22</v>
      </c>
      <c r="C2372" t="s">
        <v>15</v>
      </c>
      <c r="D2372" t="s">
        <v>178</v>
      </c>
      <c r="E2372" t="s">
        <v>179</v>
      </c>
      <c r="F2372">
        <v>2886</v>
      </c>
      <c r="G2372" t="s">
        <v>57</v>
      </c>
      <c r="H2372" t="s">
        <v>35</v>
      </c>
      <c r="I2372" t="s">
        <v>59</v>
      </c>
      <c r="J2372">
        <v>252</v>
      </c>
      <c r="K2372">
        <v>4</v>
      </c>
      <c r="L2372">
        <v>0</v>
      </c>
      <c r="M2372">
        <v>93.24</v>
      </c>
    </row>
    <row r="2373" spans="1:13" x14ac:dyDescent="0.3">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
      <c r="A2377" t="s">
        <v>28</v>
      </c>
      <c r="B2377" t="s">
        <v>14</v>
      </c>
      <c r="C2377" t="s">
        <v>15</v>
      </c>
      <c r="D2377" t="s">
        <v>299</v>
      </c>
      <c r="E2377" t="s">
        <v>167</v>
      </c>
      <c r="F2377">
        <v>30080</v>
      </c>
      <c r="G2377" t="s">
        <v>18</v>
      </c>
      <c r="H2377" t="s">
        <v>26</v>
      </c>
      <c r="I2377" t="s">
        <v>77</v>
      </c>
      <c r="J2377">
        <v>5.67</v>
      </c>
      <c r="K2377">
        <v>3</v>
      </c>
      <c r="L2377">
        <v>0</v>
      </c>
      <c r="M2377">
        <v>0.1134</v>
      </c>
    </row>
    <row r="2378" spans="1:13" x14ac:dyDescent="0.3">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
      <c r="A2380" t="s">
        <v>28</v>
      </c>
      <c r="B2380" t="s">
        <v>44</v>
      </c>
      <c r="C2380" t="s">
        <v>15</v>
      </c>
      <c r="D2380" t="s">
        <v>391</v>
      </c>
      <c r="E2380" t="s">
        <v>24</v>
      </c>
      <c r="F2380">
        <v>91360</v>
      </c>
      <c r="G2380" t="s">
        <v>25</v>
      </c>
      <c r="H2380" t="s">
        <v>26</v>
      </c>
      <c r="I2380" t="s">
        <v>41</v>
      </c>
      <c r="J2380">
        <v>32.75</v>
      </c>
      <c r="K2380">
        <v>5</v>
      </c>
      <c r="L2380">
        <v>0</v>
      </c>
      <c r="M2380">
        <v>15.065</v>
      </c>
    </row>
    <row r="2381" spans="1:13" x14ac:dyDescent="0.3">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
      <c r="A2397" t="s">
        <v>28</v>
      </c>
      <c r="B2397" t="s">
        <v>22</v>
      </c>
      <c r="C2397" t="s">
        <v>15</v>
      </c>
      <c r="D2397" t="s">
        <v>75</v>
      </c>
      <c r="E2397" t="s">
        <v>76</v>
      </c>
      <c r="F2397">
        <v>10035</v>
      </c>
      <c r="G2397" t="s">
        <v>57</v>
      </c>
      <c r="H2397" t="s">
        <v>35</v>
      </c>
      <c r="I2397" t="s">
        <v>59</v>
      </c>
      <c r="J2397">
        <v>59.9</v>
      </c>
      <c r="K2397">
        <v>2</v>
      </c>
      <c r="L2397">
        <v>0</v>
      </c>
      <c r="M2397">
        <v>23.96</v>
      </c>
    </row>
    <row r="2398" spans="1:13" x14ac:dyDescent="0.3">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
      <c r="A2399" t="s">
        <v>13</v>
      </c>
      <c r="B2399" t="s">
        <v>14</v>
      </c>
      <c r="C2399" t="s">
        <v>15</v>
      </c>
      <c r="D2399" t="s">
        <v>52</v>
      </c>
      <c r="E2399" t="s">
        <v>24</v>
      </c>
      <c r="F2399">
        <v>94109</v>
      </c>
      <c r="G2399" t="s">
        <v>25</v>
      </c>
      <c r="H2399" t="s">
        <v>26</v>
      </c>
      <c r="I2399" t="s">
        <v>27</v>
      </c>
      <c r="J2399">
        <v>5.76</v>
      </c>
      <c r="K2399">
        <v>2</v>
      </c>
      <c r="L2399">
        <v>0</v>
      </c>
      <c r="M2399">
        <v>2.8224</v>
      </c>
    </row>
    <row r="2400" spans="1:13" x14ac:dyDescent="0.3">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
      <c r="A2402" t="s">
        <v>28</v>
      </c>
      <c r="B2402" t="s">
        <v>22</v>
      </c>
      <c r="C2402" t="s">
        <v>15</v>
      </c>
      <c r="D2402" t="s">
        <v>242</v>
      </c>
      <c r="E2402" t="s">
        <v>91</v>
      </c>
      <c r="F2402">
        <v>29501</v>
      </c>
      <c r="G2402" t="s">
        <v>18</v>
      </c>
      <c r="H2402" t="s">
        <v>26</v>
      </c>
      <c r="I2402" t="s">
        <v>32</v>
      </c>
      <c r="J2402">
        <v>56.45</v>
      </c>
      <c r="K2402">
        <v>5</v>
      </c>
      <c r="L2402">
        <v>0</v>
      </c>
      <c r="M2402">
        <v>14.677</v>
      </c>
    </row>
    <row r="2403" spans="1:13" x14ac:dyDescent="0.3">
      <c r="A2403" t="s">
        <v>13</v>
      </c>
      <c r="B2403" t="s">
        <v>14</v>
      </c>
      <c r="C2403" t="s">
        <v>15</v>
      </c>
      <c r="D2403" t="s">
        <v>82</v>
      </c>
      <c r="E2403" t="s">
        <v>112</v>
      </c>
      <c r="F2403">
        <v>65807</v>
      </c>
      <c r="G2403" t="s">
        <v>47</v>
      </c>
      <c r="H2403" t="s">
        <v>26</v>
      </c>
      <c r="I2403" t="s">
        <v>32</v>
      </c>
      <c r="J2403">
        <v>94.2</v>
      </c>
      <c r="K2403">
        <v>6</v>
      </c>
      <c r="L2403">
        <v>0</v>
      </c>
      <c r="M2403">
        <v>23.55</v>
      </c>
    </row>
    <row r="2404" spans="1:13" x14ac:dyDescent="0.3">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
      <c r="A2412" t="s">
        <v>28</v>
      </c>
      <c r="B2412" t="s">
        <v>44</v>
      </c>
      <c r="C2412" t="s">
        <v>15</v>
      </c>
      <c r="D2412" t="s">
        <v>55</v>
      </c>
      <c r="E2412" t="s">
        <v>56</v>
      </c>
      <c r="F2412">
        <v>19120</v>
      </c>
      <c r="G2412" t="s">
        <v>57</v>
      </c>
      <c r="H2412" t="s">
        <v>26</v>
      </c>
      <c r="I2412" t="s">
        <v>77</v>
      </c>
      <c r="J2412">
        <v>5.68</v>
      </c>
      <c r="K2412">
        <v>2</v>
      </c>
      <c r="L2412">
        <v>0.2</v>
      </c>
      <c r="M2412">
        <v>1.917</v>
      </c>
    </row>
    <row r="2413" spans="1:13" x14ac:dyDescent="0.3">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
      <c r="A2418" t="s">
        <v>28</v>
      </c>
      <c r="B2418" t="s">
        <v>22</v>
      </c>
      <c r="C2418" t="s">
        <v>15</v>
      </c>
      <c r="D2418" t="s">
        <v>394</v>
      </c>
      <c r="E2418" t="s">
        <v>121</v>
      </c>
      <c r="F2418">
        <v>87105</v>
      </c>
      <c r="G2418" t="s">
        <v>25</v>
      </c>
      <c r="H2418" t="s">
        <v>35</v>
      </c>
      <c r="I2418" t="s">
        <v>59</v>
      </c>
      <c r="J2418">
        <v>595</v>
      </c>
      <c r="K2418">
        <v>5</v>
      </c>
      <c r="L2418">
        <v>0</v>
      </c>
      <c r="M2418">
        <v>95.2</v>
      </c>
    </row>
    <row r="2419" spans="1:13" x14ac:dyDescent="0.3">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
      <c r="A2436" t="s">
        <v>62</v>
      </c>
      <c r="B2436" t="s">
        <v>22</v>
      </c>
      <c r="C2436" t="s">
        <v>15</v>
      </c>
      <c r="D2436" t="s">
        <v>82</v>
      </c>
      <c r="E2436" t="s">
        <v>83</v>
      </c>
      <c r="F2436">
        <v>22153</v>
      </c>
      <c r="G2436" t="s">
        <v>18</v>
      </c>
      <c r="H2436" t="s">
        <v>26</v>
      </c>
      <c r="I2436" t="s">
        <v>60</v>
      </c>
      <c r="J2436">
        <v>33.96</v>
      </c>
      <c r="K2436">
        <v>2</v>
      </c>
      <c r="L2436">
        <v>0</v>
      </c>
      <c r="M2436">
        <v>16.98</v>
      </c>
    </row>
    <row r="2437" spans="1:13" x14ac:dyDescent="0.3">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
      <c r="A2442" t="s">
        <v>28</v>
      </c>
      <c r="B2442" t="s">
        <v>14</v>
      </c>
      <c r="C2442" t="s">
        <v>15</v>
      </c>
      <c r="D2442" t="s">
        <v>398</v>
      </c>
      <c r="E2442" t="s">
        <v>132</v>
      </c>
      <c r="F2442">
        <v>7055</v>
      </c>
      <c r="G2442" t="s">
        <v>57</v>
      </c>
      <c r="H2442" t="s">
        <v>35</v>
      </c>
      <c r="I2442" t="s">
        <v>36</v>
      </c>
      <c r="J2442">
        <v>345</v>
      </c>
      <c r="K2442">
        <v>5</v>
      </c>
      <c r="L2442">
        <v>0</v>
      </c>
      <c r="M2442">
        <v>86.25</v>
      </c>
    </row>
    <row r="2443" spans="1:13" x14ac:dyDescent="0.3">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
      <c r="A2452" t="s">
        <v>13</v>
      </c>
      <c r="B2452" t="s">
        <v>14</v>
      </c>
      <c r="C2452" t="s">
        <v>15</v>
      </c>
      <c r="D2452" t="s">
        <v>75</v>
      </c>
      <c r="E2452" t="s">
        <v>76</v>
      </c>
      <c r="F2452">
        <v>10011</v>
      </c>
      <c r="G2452" t="s">
        <v>57</v>
      </c>
      <c r="H2452" t="s">
        <v>26</v>
      </c>
      <c r="I2452" t="s">
        <v>27</v>
      </c>
      <c r="J2452">
        <v>18.75</v>
      </c>
      <c r="K2452">
        <v>5</v>
      </c>
      <c r="L2452">
        <v>0</v>
      </c>
      <c r="M2452">
        <v>9</v>
      </c>
    </row>
    <row r="2453" spans="1:13" x14ac:dyDescent="0.3">
      <c r="A2453" t="s">
        <v>13</v>
      </c>
      <c r="B2453" t="s">
        <v>14</v>
      </c>
      <c r="C2453" t="s">
        <v>15</v>
      </c>
      <c r="D2453" t="s">
        <v>75</v>
      </c>
      <c r="E2453" t="s">
        <v>76</v>
      </c>
      <c r="F2453">
        <v>10011</v>
      </c>
      <c r="G2453" t="s">
        <v>57</v>
      </c>
      <c r="H2453" t="s">
        <v>35</v>
      </c>
      <c r="I2453" t="s">
        <v>36</v>
      </c>
      <c r="J2453">
        <v>119.7</v>
      </c>
      <c r="K2453">
        <v>6</v>
      </c>
      <c r="L2453">
        <v>0</v>
      </c>
      <c r="M2453">
        <v>31.122</v>
      </c>
    </row>
    <row r="2454" spans="1:13" x14ac:dyDescent="0.3">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
      <c r="A2455" t="s">
        <v>13</v>
      </c>
      <c r="B2455" t="s">
        <v>14</v>
      </c>
      <c r="C2455" t="s">
        <v>15</v>
      </c>
      <c r="D2455" t="s">
        <v>75</v>
      </c>
      <c r="E2455" t="s">
        <v>76</v>
      </c>
      <c r="F2455">
        <v>10011</v>
      </c>
      <c r="G2455" t="s">
        <v>57</v>
      </c>
      <c r="H2455" t="s">
        <v>35</v>
      </c>
      <c r="I2455" t="s">
        <v>59</v>
      </c>
      <c r="J2455">
        <v>57.06</v>
      </c>
      <c r="K2455">
        <v>3</v>
      </c>
      <c r="L2455">
        <v>0</v>
      </c>
      <c r="M2455">
        <v>18.2592</v>
      </c>
    </row>
    <row r="2456" spans="1:13" x14ac:dyDescent="0.3">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
      <c r="A2464" t="s">
        <v>28</v>
      </c>
      <c r="B2464" t="s">
        <v>14</v>
      </c>
      <c r="C2464" t="s">
        <v>15</v>
      </c>
      <c r="D2464" t="s">
        <v>75</v>
      </c>
      <c r="E2464" t="s">
        <v>76</v>
      </c>
      <c r="F2464">
        <v>10009</v>
      </c>
      <c r="G2464" t="s">
        <v>57</v>
      </c>
      <c r="H2464" t="s">
        <v>26</v>
      </c>
      <c r="I2464" t="s">
        <v>37</v>
      </c>
      <c r="J2464">
        <v>83.92</v>
      </c>
      <c r="K2464">
        <v>5</v>
      </c>
      <c r="L2464">
        <v>0.2</v>
      </c>
      <c r="M2464">
        <v>29.372</v>
      </c>
    </row>
    <row r="2465" spans="1:13" x14ac:dyDescent="0.3">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
      <c r="A2467" t="s">
        <v>28</v>
      </c>
      <c r="B2467" t="s">
        <v>14</v>
      </c>
      <c r="C2467" t="s">
        <v>15</v>
      </c>
      <c r="D2467" t="s">
        <v>75</v>
      </c>
      <c r="E2467" t="s">
        <v>76</v>
      </c>
      <c r="F2467">
        <v>10009</v>
      </c>
      <c r="G2467" t="s">
        <v>57</v>
      </c>
      <c r="H2467" t="s">
        <v>26</v>
      </c>
      <c r="I2467" t="s">
        <v>27</v>
      </c>
      <c r="J2467">
        <v>3.15</v>
      </c>
      <c r="K2467">
        <v>1</v>
      </c>
      <c r="L2467">
        <v>0</v>
      </c>
      <c r="M2467">
        <v>1.512</v>
      </c>
    </row>
    <row r="2468" spans="1:13" x14ac:dyDescent="0.3">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
      <c r="A2470" t="s">
        <v>28</v>
      </c>
      <c r="B2470" t="s">
        <v>14</v>
      </c>
      <c r="C2470" t="s">
        <v>15</v>
      </c>
      <c r="D2470" t="s">
        <v>400</v>
      </c>
      <c r="E2470" t="s">
        <v>83</v>
      </c>
      <c r="F2470">
        <v>23602</v>
      </c>
      <c r="G2470" t="s">
        <v>18</v>
      </c>
      <c r="H2470" t="s">
        <v>26</v>
      </c>
      <c r="I2470" t="s">
        <v>41</v>
      </c>
      <c r="J2470">
        <v>32.4</v>
      </c>
      <c r="K2470">
        <v>5</v>
      </c>
      <c r="L2470">
        <v>0</v>
      </c>
      <c r="M2470">
        <v>15.552</v>
      </c>
    </row>
    <row r="2471" spans="1:13" x14ac:dyDescent="0.3">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
      <c r="A2480" t="s">
        <v>28</v>
      </c>
      <c r="B2480" t="s">
        <v>14</v>
      </c>
      <c r="C2480" t="s">
        <v>15</v>
      </c>
      <c r="D2480" t="s">
        <v>75</v>
      </c>
      <c r="E2480" t="s">
        <v>76</v>
      </c>
      <c r="F2480">
        <v>10011</v>
      </c>
      <c r="G2480" t="s">
        <v>57</v>
      </c>
      <c r="H2480" t="s">
        <v>26</v>
      </c>
      <c r="I2480" t="s">
        <v>34</v>
      </c>
      <c r="J2480">
        <v>5.46</v>
      </c>
      <c r="K2480">
        <v>3</v>
      </c>
      <c r="L2480">
        <v>0</v>
      </c>
      <c r="M2480">
        <v>1.4742</v>
      </c>
    </row>
    <row r="2481" spans="1:13" x14ac:dyDescent="0.3">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
      <c r="A2483" t="s">
        <v>28</v>
      </c>
      <c r="B2483" t="s">
        <v>14</v>
      </c>
      <c r="C2483" t="s">
        <v>15</v>
      </c>
      <c r="D2483" t="s">
        <v>42</v>
      </c>
      <c r="E2483" t="s">
        <v>43</v>
      </c>
      <c r="F2483">
        <v>98105</v>
      </c>
      <c r="G2483" t="s">
        <v>25</v>
      </c>
      <c r="H2483" t="s">
        <v>26</v>
      </c>
      <c r="I2483" t="s">
        <v>32</v>
      </c>
      <c r="J2483">
        <v>1003.62</v>
      </c>
      <c r="K2483">
        <v>6</v>
      </c>
      <c r="L2483">
        <v>0</v>
      </c>
      <c r="M2483">
        <v>0</v>
      </c>
    </row>
    <row r="2484" spans="1:13"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
      <c r="A2487" t="s">
        <v>28</v>
      </c>
      <c r="B2487" t="s">
        <v>44</v>
      </c>
      <c r="C2487" t="s">
        <v>15</v>
      </c>
      <c r="D2487" t="s">
        <v>42</v>
      </c>
      <c r="E2487" t="s">
        <v>43</v>
      </c>
      <c r="F2487">
        <v>98105</v>
      </c>
      <c r="G2487" t="s">
        <v>25</v>
      </c>
      <c r="H2487" t="s">
        <v>26</v>
      </c>
      <c r="I2487" t="s">
        <v>34</v>
      </c>
      <c r="J2487">
        <v>5.56</v>
      </c>
      <c r="K2487">
        <v>2</v>
      </c>
      <c r="L2487">
        <v>0</v>
      </c>
      <c r="M2487">
        <v>1.4456</v>
      </c>
    </row>
    <row r="2488" spans="1:13" x14ac:dyDescent="0.3">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
      <c r="A2504" t="s">
        <v>62</v>
      </c>
      <c r="B2504" t="s">
        <v>22</v>
      </c>
      <c r="C2504" t="s">
        <v>15</v>
      </c>
      <c r="D2504" t="s">
        <v>327</v>
      </c>
      <c r="E2504" t="s">
        <v>65</v>
      </c>
      <c r="F2504">
        <v>60076</v>
      </c>
      <c r="G2504" t="s">
        <v>47</v>
      </c>
      <c r="H2504" t="s">
        <v>26</v>
      </c>
      <c r="I2504" t="s">
        <v>37</v>
      </c>
      <c r="J2504">
        <v>9.36</v>
      </c>
      <c r="K2504">
        <v>4</v>
      </c>
      <c r="L2504">
        <v>0.8</v>
      </c>
      <c r="M2504">
        <v>-16.38</v>
      </c>
    </row>
    <row r="2505" spans="1:13" x14ac:dyDescent="0.3">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
      <c r="A2524" t="s">
        <v>28</v>
      </c>
      <c r="B2524" t="s">
        <v>44</v>
      </c>
      <c r="C2524" t="s">
        <v>15</v>
      </c>
      <c r="D2524" t="s">
        <v>354</v>
      </c>
      <c r="E2524" t="s">
        <v>119</v>
      </c>
      <c r="F2524">
        <v>73120</v>
      </c>
      <c r="G2524" t="s">
        <v>47</v>
      </c>
      <c r="H2524" t="s">
        <v>35</v>
      </c>
      <c r="I2524" t="s">
        <v>36</v>
      </c>
      <c r="J2524">
        <v>5.5</v>
      </c>
      <c r="K2524">
        <v>1</v>
      </c>
      <c r="L2524">
        <v>0</v>
      </c>
      <c r="M2524">
        <v>1.375</v>
      </c>
    </row>
    <row r="2525" spans="1:13" x14ac:dyDescent="0.3">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
      <c r="A2552" t="s">
        <v>28</v>
      </c>
      <c r="B2552" t="s">
        <v>14</v>
      </c>
      <c r="C2552" t="s">
        <v>15</v>
      </c>
      <c r="D2552" t="s">
        <v>108</v>
      </c>
      <c r="E2552" t="s">
        <v>81</v>
      </c>
      <c r="F2552">
        <v>85023</v>
      </c>
      <c r="G2552" t="s">
        <v>25</v>
      </c>
      <c r="H2552" t="s">
        <v>26</v>
      </c>
      <c r="I2552" t="s">
        <v>27</v>
      </c>
      <c r="J2552">
        <v>5.04</v>
      </c>
      <c r="K2552">
        <v>2</v>
      </c>
      <c r="L2552">
        <v>0.2</v>
      </c>
      <c r="M2552">
        <v>1.764</v>
      </c>
    </row>
    <row r="2553" spans="1:13" x14ac:dyDescent="0.3">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
      <c r="A2557" t="s">
        <v>28</v>
      </c>
      <c r="B2557" t="s">
        <v>14</v>
      </c>
      <c r="C2557" t="s">
        <v>15</v>
      </c>
      <c r="D2557" t="s">
        <v>75</v>
      </c>
      <c r="E2557" t="s">
        <v>76</v>
      </c>
      <c r="F2557">
        <v>10035</v>
      </c>
      <c r="G2557" t="s">
        <v>57</v>
      </c>
      <c r="H2557" t="s">
        <v>35</v>
      </c>
      <c r="I2557" t="s">
        <v>59</v>
      </c>
      <c r="J2557">
        <v>50</v>
      </c>
      <c r="K2557">
        <v>2</v>
      </c>
      <c r="L2557">
        <v>0</v>
      </c>
      <c r="M2557">
        <v>12</v>
      </c>
    </row>
    <row r="2558" spans="1:13" x14ac:dyDescent="0.3">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
      <c r="A2561" t="s">
        <v>28</v>
      </c>
      <c r="B2561" t="s">
        <v>14</v>
      </c>
      <c r="C2561" t="s">
        <v>15</v>
      </c>
      <c r="D2561" t="s">
        <v>58</v>
      </c>
      <c r="E2561" t="s">
        <v>51</v>
      </c>
      <c r="F2561">
        <v>84057</v>
      </c>
      <c r="G2561" t="s">
        <v>25</v>
      </c>
      <c r="H2561" t="s">
        <v>26</v>
      </c>
      <c r="I2561" t="s">
        <v>27</v>
      </c>
      <c r="J2561">
        <v>15.75</v>
      </c>
      <c r="K2561">
        <v>5</v>
      </c>
      <c r="L2561">
        <v>0</v>
      </c>
      <c r="M2561">
        <v>7.56</v>
      </c>
    </row>
    <row r="2562" spans="1:13"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
      <c r="A2567" t="s">
        <v>62</v>
      </c>
      <c r="B2567" t="s">
        <v>14</v>
      </c>
      <c r="C2567" t="s">
        <v>15</v>
      </c>
      <c r="D2567" t="s">
        <v>342</v>
      </c>
      <c r="E2567" t="s">
        <v>17</v>
      </c>
      <c r="F2567">
        <v>42104</v>
      </c>
      <c r="G2567" t="s">
        <v>18</v>
      </c>
      <c r="H2567" t="s">
        <v>35</v>
      </c>
      <c r="I2567" t="s">
        <v>59</v>
      </c>
      <c r="J2567">
        <v>71</v>
      </c>
      <c r="K2567">
        <v>4</v>
      </c>
      <c r="L2567">
        <v>0</v>
      </c>
      <c r="M2567">
        <v>27.69</v>
      </c>
    </row>
    <row r="2568" spans="1:13" x14ac:dyDescent="0.3">
      <c r="A2568" t="s">
        <v>13</v>
      </c>
      <c r="B2568" t="s">
        <v>14</v>
      </c>
      <c r="C2568" t="s">
        <v>15</v>
      </c>
      <c r="D2568" t="s">
        <v>406</v>
      </c>
      <c r="E2568" t="s">
        <v>43</v>
      </c>
      <c r="F2568">
        <v>98226</v>
      </c>
      <c r="G2568" t="s">
        <v>25</v>
      </c>
      <c r="H2568" t="s">
        <v>26</v>
      </c>
      <c r="I2568" t="s">
        <v>37</v>
      </c>
      <c r="J2568">
        <v>25.12</v>
      </c>
      <c r="K2568">
        <v>5</v>
      </c>
      <c r="L2568">
        <v>0.2</v>
      </c>
      <c r="M2568">
        <v>7.85</v>
      </c>
    </row>
    <row r="2569" spans="1:13" x14ac:dyDescent="0.3">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
      <c r="A2581" t="s">
        <v>28</v>
      </c>
      <c r="B2581" t="s">
        <v>44</v>
      </c>
      <c r="C2581" t="s">
        <v>15</v>
      </c>
      <c r="D2581" t="s">
        <v>251</v>
      </c>
      <c r="E2581" t="s">
        <v>83</v>
      </c>
      <c r="F2581">
        <v>22304</v>
      </c>
      <c r="G2581" t="s">
        <v>18</v>
      </c>
      <c r="H2581" t="s">
        <v>26</v>
      </c>
      <c r="I2581" t="s">
        <v>32</v>
      </c>
      <c r="J2581">
        <v>489.92</v>
      </c>
      <c r="K2581">
        <v>8</v>
      </c>
      <c r="L2581">
        <v>0</v>
      </c>
      <c r="M2581">
        <v>0</v>
      </c>
    </row>
    <row r="2582" spans="1:13" x14ac:dyDescent="0.3">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
      <c r="A2583" t="s">
        <v>28</v>
      </c>
      <c r="B2583" t="s">
        <v>44</v>
      </c>
      <c r="C2583" t="s">
        <v>15</v>
      </c>
      <c r="D2583" t="s">
        <v>251</v>
      </c>
      <c r="E2583" t="s">
        <v>83</v>
      </c>
      <c r="F2583">
        <v>22304</v>
      </c>
      <c r="G2583" t="s">
        <v>18</v>
      </c>
      <c r="H2583" t="s">
        <v>26</v>
      </c>
      <c r="I2583" t="s">
        <v>41</v>
      </c>
      <c r="J2583">
        <v>16.68</v>
      </c>
      <c r="K2583">
        <v>2</v>
      </c>
      <c r="L2583">
        <v>0</v>
      </c>
      <c r="M2583">
        <v>8.34</v>
      </c>
    </row>
    <row r="2584" spans="1:13" x14ac:dyDescent="0.3">
      <c r="A2584" t="s">
        <v>28</v>
      </c>
      <c r="B2584" t="s">
        <v>44</v>
      </c>
      <c r="C2584" t="s">
        <v>15</v>
      </c>
      <c r="D2584" t="s">
        <v>251</v>
      </c>
      <c r="E2584" t="s">
        <v>83</v>
      </c>
      <c r="F2584">
        <v>22304</v>
      </c>
      <c r="G2584" t="s">
        <v>18</v>
      </c>
      <c r="H2584" t="s">
        <v>35</v>
      </c>
      <c r="I2584" t="s">
        <v>36</v>
      </c>
      <c r="J2584">
        <v>155.35</v>
      </c>
      <c r="K2584">
        <v>13</v>
      </c>
      <c r="L2584">
        <v>0</v>
      </c>
      <c r="M2584">
        <v>0</v>
      </c>
    </row>
    <row r="2585" spans="1:13" x14ac:dyDescent="0.3">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
      <c r="A2631" t="s">
        <v>62</v>
      </c>
      <c r="B2631" t="s">
        <v>22</v>
      </c>
      <c r="C2631" t="s">
        <v>15</v>
      </c>
      <c r="D2631" t="s">
        <v>82</v>
      </c>
      <c r="E2631" t="s">
        <v>104</v>
      </c>
      <c r="F2631">
        <v>45503</v>
      </c>
      <c r="G2631" t="s">
        <v>57</v>
      </c>
      <c r="H2631" t="s">
        <v>26</v>
      </c>
      <c r="I2631" t="s">
        <v>37</v>
      </c>
      <c r="J2631">
        <v>11.22</v>
      </c>
      <c r="K2631">
        <v>10</v>
      </c>
      <c r="L2631">
        <v>0.7</v>
      </c>
      <c r="M2631">
        <v>-7.48</v>
      </c>
    </row>
    <row r="2632" spans="1:13" x14ac:dyDescent="0.3">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
      <c r="A2633" t="s">
        <v>28</v>
      </c>
      <c r="B2633" t="s">
        <v>14</v>
      </c>
      <c r="C2633" t="s">
        <v>15</v>
      </c>
      <c r="D2633" t="s">
        <v>42</v>
      </c>
      <c r="E2633" t="s">
        <v>43</v>
      </c>
      <c r="F2633">
        <v>98103</v>
      </c>
      <c r="G2633" t="s">
        <v>25</v>
      </c>
      <c r="H2633" t="s">
        <v>19</v>
      </c>
      <c r="I2633" t="s">
        <v>33</v>
      </c>
      <c r="J2633">
        <v>39.96</v>
      </c>
      <c r="K2633">
        <v>2</v>
      </c>
      <c r="L2633">
        <v>0</v>
      </c>
      <c r="M2633">
        <v>17.1828</v>
      </c>
    </row>
    <row r="2634" spans="1:13"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
      <c r="A2659" t="s">
        <v>13</v>
      </c>
      <c r="B2659" t="s">
        <v>22</v>
      </c>
      <c r="C2659" t="s">
        <v>15</v>
      </c>
      <c r="D2659" t="s">
        <v>297</v>
      </c>
      <c r="E2659" t="s">
        <v>51</v>
      </c>
      <c r="F2659">
        <v>84604</v>
      </c>
      <c r="G2659" t="s">
        <v>25</v>
      </c>
      <c r="H2659" t="s">
        <v>26</v>
      </c>
      <c r="I2659" t="s">
        <v>27</v>
      </c>
      <c r="J2659">
        <v>14.4</v>
      </c>
      <c r="K2659">
        <v>5</v>
      </c>
      <c r="L2659">
        <v>0</v>
      </c>
      <c r="M2659">
        <v>7.056</v>
      </c>
    </row>
    <row r="2660" spans="1:13" x14ac:dyDescent="0.3">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
      <c r="A2665" t="s">
        <v>62</v>
      </c>
      <c r="B2665" t="s">
        <v>14</v>
      </c>
      <c r="C2665" t="s">
        <v>15</v>
      </c>
      <c r="D2665" t="s">
        <v>85</v>
      </c>
      <c r="E2665" t="s">
        <v>86</v>
      </c>
      <c r="F2665">
        <v>38109</v>
      </c>
      <c r="G2665" t="s">
        <v>18</v>
      </c>
      <c r="H2665" t="s">
        <v>26</v>
      </c>
      <c r="I2665" t="s">
        <v>27</v>
      </c>
      <c r="J2665">
        <v>3.984</v>
      </c>
      <c r="K2665">
        <v>1</v>
      </c>
      <c r="L2665">
        <v>0.2</v>
      </c>
      <c r="M2665">
        <v>1.2948</v>
      </c>
    </row>
    <row r="2666" spans="1:13" x14ac:dyDescent="0.3">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
      <c r="A2681" t="s">
        <v>28</v>
      </c>
      <c r="B2681" t="s">
        <v>44</v>
      </c>
      <c r="C2681" t="s">
        <v>15</v>
      </c>
      <c r="D2681" t="s">
        <v>84</v>
      </c>
      <c r="E2681" t="s">
        <v>70</v>
      </c>
      <c r="F2681">
        <v>49201</v>
      </c>
      <c r="G2681" t="s">
        <v>47</v>
      </c>
      <c r="H2681" t="s">
        <v>26</v>
      </c>
      <c r="I2681" t="s">
        <v>37</v>
      </c>
      <c r="J2681">
        <v>14.4</v>
      </c>
      <c r="K2681">
        <v>5</v>
      </c>
      <c r="L2681">
        <v>0</v>
      </c>
      <c r="M2681">
        <v>7.056</v>
      </c>
    </row>
    <row r="2682" spans="1:13" x14ac:dyDescent="0.3">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
      <c r="A2685" t="s">
        <v>28</v>
      </c>
      <c r="B2685" t="s">
        <v>44</v>
      </c>
      <c r="C2685" t="s">
        <v>15</v>
      </c>
      <c r="D2685" t="s">
        <v>84</v>
      </c>
      <c r="E2685" t="s">
        <v>70</v>
      </c>
      <c r="F2685">
        <v>49201</v>
      </c>
      <c r="G2685" t="s">
        <v>47</v>
      </c>
      <c r="H2685" t="s">
        <v>35</v>
      </c>
      <c r="I2685" t="s">
        <v>36</v>
      </c>
      <c r="J2685">
        <v>164.99</v>
      </c>
      <c r="K2685">
        <v>1</v>
      </c>
      <c r="L2685">
        <v>0</v>
      </c>
      <c r="M2685">
        <v>49.497</v>
      </c>
    </row>
    <row r="2686" spans="1:13"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
      <c r="A2695" t="s">
        <v>28</v>
      </c>
      <c r="B2695" t="s">
        <v>22</v>
      </c>
      <c r="C2695" t="s">
        <v>15</v>
      </c>
      <c r="D2695" t="s">
        <v>42</v>
      </c>
      <c r="E2695" t="s">
        <v>43</v>
      </c>
      <c r="F2695">
        <v>98115</v>
      </c>
      <c r="G2695" t="s">
        <v>25</v>
      </c>
      <c r="H2695" t="s">
        <v>19</v>
      </c>
      <c r="I2695" t="s">
        <v>33</v>
      </c>
      <c r="J2695">
        <v>109.9</v>
      </c>
      <c r="K2695">
        <v>5</v>
      </c>
      <c r="L2695">
        <v>0</v>
      </c>
      <c r="M2695">
        <v>37.366</v>
      </c>
    </row>
    <row r="2696" spans="1:13" x14ac:dyDescent="0.3">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
      <c r="A2701" t="s">
        <v>28</v>
      </c>
      <c r="B2701" t="s">
        <v>44</v>
      </c>
      <c r="C2701" t="s">
        <v>15</v>
      </c>
      <c r="D2701" t="s">
        <v>189</v>
      </c>
      <c r="E2701" t="s">
        <v>30</v>
      </c>
      <c r="F2701">
        <v>32216</v>
      </c>
      <c r="G2701" t="s">
        <v>18</v>
      </c>
      <c r="H2701" t="s">
        <v>26</v>
      </c>
      <c r="I2701" t="s">
        <v>34</v>
      </c>
      <c r="J2701">
        <v>8.016</v>
      </c>
      <c r="K2701">
        <v>3</v>
      </c>
      <c r="L2701">
        <v>0.2</v>
      </c>
      <c r="M2701">
        <v>1.002</v>
      </c>
    </row>
    <row r="2702" spans="1:13" x14ac:dyDescent="0.3">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
      <c r="A2706" t="s">
        <v>13</v>
      </c>
      <c r="B2706" t="s">
        <v>14</v>
      </c>
      <c r="C2706" t="s">
        <v>15</v>
      </c>
      <c r="D2706" t="s">
        <v>75</v>
      </c>
      <c r="E2706" t="s">
        <v>76</v>
      </c>
      <c r="F2706">
        <v>10009</v>
      </c>
      <c r="G2706" t="s">
        <v>57</v>
      </c>
      <c r="H2706" t="s">
        <v>35</v>
      </c>
      <c r="I2706" t="s">
        <v>59</v>
      </c>
      <c r="J2706">
        <v>132.6</v>
      </c>
      <c r="K2706">
        <v>6</v>
      </c>
      <c r="L2706">
        <v>0</v>
      </c>
      <c r="M2706">
        <v>17.238</v>
      </c>
    </row>
    <row r="2707" spans="1:13" x14ac:dyDescent="0.3">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
      <c r="A2716" t="s">
        <v>28</v>
      </c>
      <c r="B2716" t="s">
        <v>44</v>
      </c>
      <c r="C2716" t="s">
        <v>15</v>
      </c>
      <c r="D2716" t="s">
        <v>42</v>
      </c>
      <c r="E2716" t="s">
        <v>43</v>
      </c>
      <c r="F2716">
        <v>98105</v>
      </c>
      <c r="G2716" t="s">
        <v>25</v>
      </c>
      <c r="H2716" t="s">
        <v>26</v>
      </c>
      <c r="I2716" t="s">
        <v>34</v>
      </c>
      <c r="J2716">
        <v>13.9</v>
      </c>
      <c r="K2716">
        <v>5</v>
      </c>
      <c r="L2716">
        <v>0</v>
      </c>
      <c r="M2716">
        <v>5.56</v>
      </c>
    </row>
    <row r="2717" spans="1:13" x14ac:dyDescent="0.3">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
      <c r="A2724" t="s">
        <v>13</v>
      </c>
      <c r="B2724" t="s">
        <v>14</v>
      </c>
      <c r="C2724" t="s">
        <v>15</v>
      </c>
      <c r="D2724" t="s">
        <v>251</v>
      </c>
      <c r="E2724" t="s">
        <v>83</v>
      </c>
      <c r="F2724">
        <v>22304</v>
      </c>
      <c r="G2724" t="s">
        <v>18</v>
      </c>
      <c r="H2724" t="s">
        <v>26</v>
      </c>
      <c r="I2724" t="s">
        <v>32</v>
      </c>
      <c r="J2724">
        <v>81.2</v>
      </c>
      <c r="K2724">
        <v>5</v>
      </c>
      <c r="L2724">
        <v>0</v>
      </c>
      <c r="M2724">
        <v>12.18</v>
      </c>
    </row>
    <row r="2725" spans="1:13" x14ac:dyDescent="0.3">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
      <c r="A2731" t="s">
        <v>28</v>
      </c>
      <c r="B2731" t="s">
        <v>14</v>
      </c>
      <c r="C2731" t="s">
        <v>15</v>
      </c>
      <c r="D2731" t="s">
        <v>42</v>
      </c>
      <c r="E2731" t="s">
        <v>43</v>
      </c>
      <c r="F2731">
        <v>98105</v>
      </c>
      <c r="G2731" t="s">
        <v>25</v>
      </c>
      <c r="H2731" t="s">
        <v>26</v>
      </c>
      <c r="I2731" t="s">
        <v>34</v>
      </c>
      <c r="J2731">
        <v>6.63</v>
      </c>
      <c r="K2731">
        <v>3</v>
      </c>
      <c r="L2731">
        <v>0</v>
      </c>
      <c r="M2731">
        <v>1.7901</v>
      </c>
    </row>
    <row r="2732" spans="1:13" x14ac:dyDescent="0.3">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
      <c r="A2733" t="s">
        <v>28</v>
      </c>
      <c r="B2733" t="s">
        <v>14</v>
      </c>
      <c r="C2733" t="s">
        <v>15</v>
      </c>
      <c r="D2733" t="s">
        <v>42</v>
      </c>
      <c r="E2733" t="s">
        <v>43</v>
      </c>
      <c r="F2733">
        <v>98105</v>
      </c>
      <c r="G2733" t="s">
        <v>25</v>
      </c>
      <c r="H2733" t="s">
        <v>19</v>
      </c>
      <c r="I2733" t="s">
        <v>33</v>
      </c>
      <c r="J2733">
        <v>107.53</v>
      </c>
      <c r="K2733">
        <v>1</v>
      </c>
      <c r="L2733">
        <v>0</v>
      </c>
      <c r="M2733">
        <v>21.506</v>
      </c>
    </row>
    <row r="2734" spans="1:13" x14ac:dyDescent="0.3">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
      <c r="A2742" t="s">
        <v>62</v>
      </c>
      <c r="B2742" t="s">
        <v>22</v>
      </c>
      <c r="C2742" t="s">
        <v>15</v>
      </c>
      <c r="D2742" t="s">
        <v>414</v>
      </c>
      <c r="E2742" t="s">
        <v>88</v>
      </c>
      <c r="F2742">
        <v>35244</v>
      </c>
      <c r="G2742" t="s">
        <v>18</v>
      </c>
      <c r="H2742" t="s">
        <v>35</v>
      </c>
      <c r="I2742" t="s">
        <v>59</v>
      </c>
      <c r="J2742">
        <v>25.98</v>
      </c>
      <c r="K2742">
        <v>2</v>
      </c>
      <c r="L2742">
        <v>0</v>
      </c>
      <c r="M2742">
        <v>1.5588</v>
      </c>
    </row>
    <row r="2743" spans="1:13" x14ac:dyDescent="0.3">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
      <c r="A2759" t="s">
        <v>13</v>
      </c>
      <c r="B2759" t="s">
        <v>14</v>
      </c>
      <c r="C2759" t="s">
        <v>15</v>
      </c>
      <c r="D2759" t="s">
        <v>75</v>
      </c>
      <c r="E2759" t="s">
        <v>76</v>
      </c>
      <c r="F2759">
        <v>10035</v>
      </c>
      <c r="G2759" t="s">
        <v>57</v>
      </c>
      <c r="H2759" t="s">
        <v>35</v>
      </c>
      <c r="I2759" t="s">
        <v>59</v>
      </c>
      <c r="J2759">
        <v>239.97</v>
      </c>
      <c r="K2759">
        <v>3</v>
      </c>
      <c r="L2759">
        <v>0</v>
      </c>
      <c r="M2759">
        <v>71.991</v>
      </c>
    </row>
    <row r="2760" spans="1:13" x14ac:dyDescent="0.3">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
      <c r="A2773" t="s">
        <v>28</v>
      </c>
      <c r="B2773" t="s">
        <v>14</v>
      </c>
      <c r="C2773" t="s">
        <v>15</v>
      </c>
      <c r="D2773" t="s">
        <v>417</v>
      </c>
      <c r="E2773" t="s">
        <v>49</v>
      </c>
      <c r="F2773">
        <v>53186</v>
      </c>
      <c r="G2773" t="s">
        <v>47</v>
      </c>
      <c r="H2773" t="s">
        <v>26</v>
      </c>
      <c r="I2773" t="s">
        <v>32</v>
      </c>
      <c r="J2773">
        <v>54.5</v>
      </c>
      <c r="K2773">
        <v>5</v>
      </c>
      <c r="L2773">
        <v>0</v>
      </c>
      <c r="M2773">
        <v>14.17</v>
      </c>
    </row>
    <row r="2774" spans="1:13" x14ac:dyDescent="0.3">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
      <c r="A2782" t="s">
        <v>62</v>
      </c>
      <c r="B2782" t="s">
        <v>14</v>
      </c>
      <c r="C2782" t="s">
        <v>15</v>
      </c>
      <c r="D2782" t="s">
        <v>75</v>
      </c>
      <c r="E2782" t="s">
        <v>76</v>
      </c>
      <c r="F2782">
        <v>10035</v>
      </c>
      <c r="G2782" t="s">
        <v>57</v>
      </c>
      <c r="H2782" t="s">
        <v>26</v>
      </c>
      <c r="I2782" t="s">
        <v>27</v>
      </c>
      <c r="J2782">
        <v>59.2</v>
      </c>
      <c r="K2782">
        <v>4</v>
      </c>
      <c r="L2782">
        <v>0</v>
      </c>
      <c r="M2782">
        <v>29.6</v>
      </c>
    </row>
    <row r="2783" spans="1:13" x14ac:dyDescent="0.3">
      <c r="A2783" t="s">
        <v>28</v>
      </c>
      <c r="B2783" t="s">
        <v>14</v>
      </c>
      <c r="C2783" t="s">
        <v>15</v>
      </c>
      <c r="D2783" t="s">
        <v>143</v>
      </c>
      <c r="E2783" t="s">
        <v>68</v>
      </c>
      <c r="F2783">
        <v>55044</v>
      </c>
      <c r="G2783" t="s">
        <v>47</v>
      </c>
      <c r="H2783" t="s">
        <v>26</v>
      </c>
      <c r="I2783" t="s">
        <v>34</v>
      </c>
      <c r="J2783">
        <v>22</v>
      </c>
      <c r="K2783">
        <v>10</v>
      </c>
      <c r="L2783">
        <v>0</v>
      </c>
      <c r="M2783">
        <v>9.68</v>
      </c>
    </row>
    <row r="2784" spans="1:13" x14ac:dyDescent="0.3">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
      <c r="A2788" t="s">
        <v>62</v>
      </c>
      <c r="B2788" t="s">
        <v>44</v>
      </c>
      <c r="C2788" t="s">
        <v>15</v>
      </c>
      <c r="D2788" t="s">
        <v>23</v>
      </c>
      <c r="E2788" t="s">
        <v>24</v>
      </c>
      <c r="F2788">
        <v>90036</v>
      </c>
      <c r="G2788" t="s">
        <v>25</v>
      </c>
      <c r="H2788" t="s">
        <v>26</v>
      </c>
      <c r="I2788" t="s">
        <v>77</v>
      </c>
      <c r="J2788">
        <v>7.9</v>
      </c>
      <c r="K2788">
        <v>2</v>
      </c>
      <c r="L2788">
        <v>0</v>
      </c>
      <c r="M2788">
        <v>2.528</v>
      </c>
    </row>
    <row r="2789" spans="1:13" x14ac:dyDescent="0.3">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
      <c r="A2817" t="s">
        <v>28</v>
      </c>
      <c r="B2817" t="s">
        <v>44</v>
      </c>
      <c r="C2817" t="s">
        <v>15</v>
      </c>
      <c r="D2817" t="s">
        <v>115</v>
      </c>
      <c r="E2817" t="s">
        <v>166</v>
      </c>
      <c r="F2817">
        <v>2038</v>
      </c>
      <c r="G2817" t="s">
        <v>57</v>
      </c>
      <c r="H2817" t="s">
        <v>26</v>
      </c>
      <c r="I2817" t="s">
        <v>37</v>
      </c>
      <c r="J2817">
        <v>114.6</v>
      </c>
      <c r="K2817">
        <v>5</v>
      </c>
      <c r="L2817">
        <v>0</v>
      </c>
      <c r="M2817">
        <v>51.57</v>
      </c>
    </row>
    <row r="2818" spans="1:13" x14ac:dyDescent="0.3">
      <c r="A2818" t="s">
        <v>28</v>
      </c>
      <c r="B2818" t="s">
        <v>44</v>
      </c>
      <c r="C2818" t="s">
        <v>15</v>
      </c>
      <c r="D2818" t="s">
        <v>115</v>
      </c>
      <c r="E2818" t="s">
        <v>166</v>
      </c>
      <c r="F2818">
        <v>2038</v>
      </c>
      <c r="G2818" t="s">
        <v>57</v>
      </c>
      <c r="H2818" t="s">
        <v>19</v>
      </c>
      <c r="I2818" t="s">
        <v>21</v>
      </c>
      <c r="J2818">
        <v>60.74</v>
      </c>
      <c r="K2818">
        <v>1</v>
      </c>
      <c r="L2818">
        <v>0</v>
      </c>
      <c r="M2818">
        <v>15.185</v>
      </c>
    </row>
    <row r="2819" spans="1:13" x14ac:dyDescent="0.3">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
      <c r="A2882" t="s">
        <v>13</v>
      </c>
      <c r="B2882" t="s">
        <v>44</v>
      </c>
      <c r="C2882" t="s">
        <v>15</v>
      </c>
      <c r="D2882" t="s">
        <v>423</v>
      </c>
      <c r="E2882" t="s">
        <v>132</v>
      </c>
      <c r="F2882">
        <v>7050</v>
      </c>
      <c r="G2882" t="s">
        <v>57</v>
      </c>
      <c r="H2882" t="s">
        <v>26</v>
      </c>
      <c r="I2882" t="s">
        <v>37</v>
      </c>
      <c r="J2882">
        <v>25.44</v>
      </c>
      <c r="K2882">
        <v>6</v>
      </c>
      <c r="L2882">
        <v>0</v>
      </c>
      <c r="M2882">
        <v>12.72</v>
      </c>
    </row>
    <row r="2883" spans="1:13" x14ac:dyDescent="0.3">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
      <c r="A2888" t="s">
        <v>62</v>
      </c>
      <c r="B2888" t="s">
        <v>14</v>
      </c>
      <c r="C2888" t="s">
        <v>15</v>
      </c>
      <c r="D2888" t="s">
        <v>23</v>
      </c>
      <c r="E2888" t="s">
        <v>24</v>
      </c>
      <c r="F2888">
        <v>90008</v>
      </c>
      <c r="G2888" t="s">
        <v>25</v>
      </c>
      <c r="H2888" t="s">
        <v>26</v>
      </c>
      <c r="I2888" t="s">
        <v>34</v>
      </c>
      <c r="J2888">
        <v>6.63</v>
      </c>
      <c r="K2888">
        <v>3</v>
      </c>
      <c r="L2888">
        <v>0</v>
      </c>
      <c r="M2888">
        <v>1.7901</v>
      </c>
    </row>
    <row r="2889" spans="1:13" x14ac:dyDescent="0.3">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
      <c r="A2890" t="s">
        <v>62</v>
      </c>
      <c r="B2890" t="s">
        <v>14</v>
      </c>
      <c r="C2890" t="s">
        <v>15</v>
      </c>
      <c r="D2890" t="s">
        <v>23</v>
      </c>
      <c r="E2890" t="s">
        <v>24</v>
      </c>
      <c r="F2890">
        <v>90008</v>
      </c>
      <c r="G2890" t="s">
        <v>25</v>
      </c>
      <c r="H2890" t="s">
        <v>26</v>
      </c>
      <c r="I2890" t="s">
        <v>41</v>
      </c>
      <c r="J2890">
        <v>32.4</v>
      </c>
      <c r="K2890">
        <v>5</v>
      </c>
      <c r="L2890">
        <v>0</v>
      </c>
      <c r="M2890">
        <v>15.552</v>
      </c>
    </row>
    <row r="2891" spans="1:13" x14ac:dyDescent="0.3">
      <c r="A2891" t="s">
        <v>28</v>
      </c>
      <c r="B2891" t="s">
        <v>22</v>
      </c>
      <c r="C2891" t="s">
        <v>15</v>
      </c>
      <c r="D2891" t="s">
        <v>42</v>
      </c>
      <c r="E2891" t="s">
        <v>43</v>
      </c>
      <c r="F2891">
        <v>98105</v>
      </c>
      <c r="G2891" t="s">
        <v>25</v>
      </c>
      <c r="H2891" t="s">
        <v>26</v>
      </c>
      <c r="I2891" t="s">
        <v>41</v>
      </c>
      <c r="J2891">
        <v>23.85</v>
      </c>
      <c r="K2891">
        <v>5</v>
      </c>
      <c r="L2891">
        <v>0</v>
      </c>
      <c r="M2891">
        <v>10.7325</v>
      </c>
    </row>
    <row r="2892" spans="1:13" x14ac:dyDescent="0.3">
      <c r="A2892" t="s">
        <v>13</v>
      </c>
      <c r="B2892" t="s">
        <v>14</v>
      </c>
      <c r="C2892" t="s">
        <v>15</v>
      </c>
      <c r="D2892" t="s">
        <v>424</v>
      </c>
      <c r="E2892" t="s">
        <v>125</v>
      </c>
      <c r="F2892">
        <v>70601</v>
      </c>
      <c r="G2892" t="s">
        <v>18</v>
      </c>
      <c r="H2892" t="s">
        <v>19</v>
      </c>
      <c r="I2892" t="s">
        <v>21</v>
      </c>
      <c r="J2892">
        <v>51.96</v>
      </c>
      <c r="K2892">
        <v>2</v>
      </c>
      <c r="L2892">
        <v>0</v>
      </c>
      <c r="M2892">
        <v>12.99</v>
      </c>
    </row>
    <row r="2893" spans="1:13" x14ac:dyDescent="0.3">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
      <c r="A2895" t="s">
        <v>28</v>
      </c>
      <c r="B2895" t="s">
        <v>22</v>
      </c>
      <c r="C2895" t="s">
        <v>15</v>
      </c>
      <c r="D2895" t="s">
        <v>92</v>
      </c>
      <c r="E2895" t="s">
        <v>76</v>
      </c>
      <c r="F2895">
        <v>14609</v>
      </c>
      <c r="G2895" t="s">
        <v>57</v>
      </c>
      <c r="H2895" t="s">
        <v>26</v>
      </c>
      <c r="I2895" t="s">
        <v>41</v>
      </c>
      <c r="J2895">
        <v>26.4</v>
      </c>
      <c r="K2895">
        <v>5</v>
      </c>
      <c r="L2895">
        <v>0</v>
      </c>
      <c r="M2895">
        <v>11.88</v>
      </c>
    </row>
    <row r="2896" spans="1:13" x14ac:dyDescent="0.3">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
      <c r="A2902" t="s">
        <v>28</v>
      </c>
      <c r="B2902" t="s">
        <v>14</v>
      </c>
      <c r="C2902" t="s">
        <v>15</v>
      </c>
      <c r="D2902" t="s">
        <v>75</v>
      </c>
      <c r="E2902" t="s">
        <v>76</v>
      </c>
      <c r="F2902">
        <v>10035</v>
      </c>
      <c r="G2902" t="s">
        <v>57</v>
      </c>
      <c r="H2902" t="s">
        <v>26</v>
      </c>
      <c r="I2902" t="s">
        <v>27</v>
      </c>
      <c r="J2902">
        <v>12.6</v>
      </c>
      <c r="K2902">
        <v>4</v>
      </c>
      <c r="L2902">
        <v>0</v>
      </c>
      <c r="M2902">
        <v>6.048</v>
      </c>
    </row>
    <row r="2903" spans="1:13" x14ac:dyDescent="0.3">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
      <c r="A2909" t="s">
        <v>28</v>
      </c>
      <c r="B2909" t="s">
        <v>14</v>
      </c>
      <c r="C2909" t="s">
        <v>15</v>
      </c>
      <c r="D2909" t="s">
        <v>67</v>
      </c>
      <c r="E2909" t="s">
        <v>68</v>
      </c>
      <c r="F2909">
        <v>55122</v>
      </c>
      <c r="G2909" t="s">
        <v>47</v>
      </c>
      <c r="H2909" t="s">
        <v>26</v>
      </c>
      <c r="I2909" t="s">
        <v>32</v>
      </c>
      <c r="J2909">
        <v>52.4</v>
      </c>
      <c r="K2909">
        <v>5</v>
      </c>
      <c r="L2909">
        <v>0</v>
      </c>
      <c r="M2909">
        <v>14.148</v>
      </c>
    </row>
    <row r="2910" spans="1:13" x14ac:dyDescent="0.3">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
      <c r="A2914" t="s">
        <v>28</v>
      </c>
      <c r="B2914" t="s">
        <v>14</v>
      </c>
      <c r="C2914" t="s">
        <v>15</v>
      </c>
      <c r="D2914" t="s">
        <v>426</v>
      </c>
      <c r="E2914" t="s">
        <v>76</v>
      </c>
      <c r="F2914">
        <v>11550</v>
      </c>
      <c r="G2914" t="s">
        <v>57</v>
      </c>
      <c r="H2914" t="s">
        <v>26</v>
      </c>
      <c r="I2914" t="s">
        <v>34</v>
      </c>
      <c r="J2914">
        <v>35</v>
      </c>
      <c r="K2914">
        <v>4</v>
      </c>
      <c r="L2914">
        <v>0</v>
      </c>
      <c r="M2914">
        <v>10.5</v>
      </c>
    </row>
    <row r="2915" spans="1:13" x14ac:dyDescent="0.3">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
      <c r="A2919" t="s">
        <v>62</v>
      </c>
      <c r="B2919" t="s">
        <v>14</v>
      </c>
      <c r="C2919" t="s">
        <v>15</v>
      </c>
      <c r="D2919" t="s">
        <v>135</v>
      </c>
      <c r="E2919" t="s">
        <v>46</v>
      </c>
      <c r="F2919">
        <v>75220</v>
      </c>
      <c r="G2919" t="s">
        <v>47</v>
      </c>
      <c r="H2919" t="s">
        <v>26</v>
      </c>
      <c r="I2919" t="s">
        <v>34</v>
      </c>
      <c r="J2919">
        <v>5.952</v>
      </c>
      <c r="K2919">
        <v>1</v>
      </c>
      <c r="L2919">
        <v>0.2</v>
      </c>
      <c r="M2919">
        <v>0.372</v>
      </c>
    </row>
    <row r="2920" spans="1:13" x14ac:dyDescent="0.3">
      <c r="A2920" t="s">
        <v>168</v>
      </c>
      <c r="B2920" t="s">
        <v>22</v>
      </c>
      <c r="C2920" t="s">
        <v>15</v>
      </c>
      <c r="D2920" t="s">
        <v>55</v>
      </c>
      <c r="E2920" t="s">
        <v>56</v>
      </c>
      <c r="F2920">
        <v>19140</v>
      </c>
      <c r="G2920" t="s">
        <v>57</v>
      </c>
      <c r="H2920" t="s">
        <v>26</v>
      </c>
      <c r="I2920" t="s">
        <v>77</v>
      </c>
      <c r="J2920">
        <v>15.8</v>
      </c>
      <c r="K2920">
        <v>5</v>
      </c>
      <c r="L2920">
        <v>0.2</v>
      </c>
      <c r="M2920">
        <v>2.37</v>
      </c>
    </row>
    <row r="2921" spans="1:13" x14ac:dyDescent="0.3">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
      <c r="A2925" t="s">
        <v>28</v>
      </c>
      <c r="B2925" t="s">
        <v>22</v>
      </c>
      <c r="C2925" t="s">
        <v>15</v>
      </c>
      <c r="D2925" t="s">
        <v>140</v>
      </c>
      <c r="E2925" t="s">
        <v>70</v>
      </c>
      <c r="F2925">
        <v>48234</v>
      </c>
      <c r="G2925" t="s">
        <v>47</v>
      </c>
      <c r="H2925" t="s">
        <v>26</v>
      </c>
      <c r="I2925" t="s">
        <v>77</v>
      </c>
      <c r="J2925">
        <v>6.08</v>
      </c>
      <c r="K2925">
        <v>1</v>
      </c>
      <c r="L2925">
        <v>0</v>
      </c>
      <c r="M2925">
        <v>3.04</v>
      </c>
    </row>
    <row r="2926" spans="1:13" x14ac:dyDescent="0.3">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
      <c r="A2933" t="s">
        <v>168</v>
      </c>
      <c r="B2933" t="s">
        <v>14</v>
      </c>
      <c r="C2933" t="s">
        <v>15</v>
      </c>
      <c r="D2933" t="s">
        <v>52</v>
      </c>
      <c r="E2933" t="s">
        <v>24</v>
      </c>
      <c r="F2933">
        <v>94109</v>
      </c>
      <c r="G2933" t="s">
        <v>25</v>
      </c>
      <c r="H2933" t="s">
        <v>26</v>
      </c>
      <c r="I2933" t="s">
        <v>37</v>
      </c>
      <c r="J2933">
        <v>7.28</v>
      </c>
      <c r="K2933">
        <v>2</v>
      </c>
      <c r="L2933">
        <v>0.2</v>
      </c>
      <c r="M2933">
        <v>2.73</v>
      </c>
    </row>
    <row r="2934" spans="1:13" x14ac:dyDescent="0.3">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
      <c r="A2948" t="s">
        <v>28</v>
      </c>
      <c r="B2948" t="s">
        <v>44</v>
      </c>
      <c r="C2948" t="s">
        <v>15</v>
      </c>
      <c r="D2948" t="s">
        <v>144</v>
      </c>
      <c r="E2948" t="s">
        <v>24</v>
      </c>
      <c r="F2948">
        <v>92024</v>
      </c>
      <c r="G2948" t="s">
        <v>25</v>
      </c>
      <c r="H2948" t="s">
        <v>19</v>
      </c>
      <c r="I2948" t="s">
        <v>33</v>
      </c>
      <c r="J2948">
        <v>26.25</v>
      </c>
      <c r="K2948">
        <v>3</v>
      </c>
      <c r="L2948">
        <v>0</v>
      </c>
      <c r="M2948">
        <v>11.025</v>
      </c>
    </row>
    <row r="2949" spans="1:13"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
      <c r="A2951" t="s">
        <v>168</v>
      </c>
      <c r="B2951" t="s">
        <v>44</v>
      </c>
      <c r="C2951" t="s">
        <v>15</v>
      </c>
      <c r="D2951" t="s">
        <v>305</v>
      </c>
      <c r="E2951" t="s">
        <v>81</v>
      </c>
      <c r="F2951">
        <v>85301</v>
      </c>
      <c r="G2951" t="s">
        <v>25</v>
      </c>
      <c r="H2951" t="s">
        <v>35</v>
      </c>
      <c r="I2951" t="s">
        <v>59</v>
      </c>
      <c r="J2951">
        <v>41.6</v>
      </c>
      <c r="K2951">
        <v>4</v>
      </c>
      <c r="L2951">
        <v>0.2</v>
      </c>
      <c r="M2951">
        <v>13</v>
      </c>
    </row>
    <row r="2952" spans="1:13" x14ac:dyDescent="0.3">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
      <c r="A2961" t="s">
        <v>28</v>
      </c>
      <c r="B2961" t="s">
        <v>14</v>
      </c>
      <c r="C2961" t="s">
        <v>15</v>
      </c>
      <c r="D2961" t="s">
        <v>23</v>
      </c>
      <c r="E2961" t="s">
        <v>24</v>
      </c>
      <c r="F2961">
        <v>90032</v>
      </c>
      <c r="G2961" t="s">
        <v>25</v>
      </c>
      <c r="H2961" t="s">
        <v>26</v>
      </c>
      <c r="I2961" t="s">
        <v>77</v>
      </c>
      <c r="J2961">
        <v>45.92</v>
      </c>
      <c r="K2961">
        <v>4</v>
      </c>
      <c r="L2961">
        <v>0</v>
      </c>
      <c r="M2961">
        <v>21.5824</v>
      </c>
    </row>
    <row r="2962" spans="1:13" x14ac:dyDescent="0.3">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
      <c r="A2979" t="s">
        <v>13</v>
      </c>
      <c r="B2979" t="s">
        <v>14</v>
      </c>
      <c r="C2979" t="s">
        <v>15</v>
      </c>
      <c r="D2979" t="s">
        <v>92</v>
      </c>
      <c r="E2979" t="s">
        <v>76</v>
      </c>
      <c r="F2979">
        <v>14609</v>
      </c>
      <c r="G2979" t="s">
        <v>57</v>
      </c>
      <c r="H2979" t="s">
        <v>26</v>
      </c>
      <c r="I2979" t="s">
        <v>32</v>
      </c>
      <c r="J2979">
        <v>22.58</v>
      </c>
      <c r="K2979">
        <v>2</v>
      </c>
      <c r="L2979">
        <v>0</v>
      </c>
      <c r="M2979">
        <v>5.8708</v>
      </c>
    </row>
    <row r="2980" spans="1:13" x14ac:dyDescent="0.3">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
      <c r="A2987" t="s">
        <v>28</v>
      </c>
      <c r="B2987" t="s">
        <v>44</v>
      </c>
      <c r="C2987" t="s">
        <v>15</v>
      </c>
      <c r="D2987" t="s">
        <v>103</v>
      </c>
      <c r="E2987" t="s">
        <v>167</v>
      </c>
      <c r="F2987">
        <v>31907</v>
      </c>
      <c r="G2987" t="s">
        <v>18</v>
      </c>
      <c r="H2987" t="s">
        <v>19</v>
      </c>
      <c r="I2987" t="s">
        <v>33</v>
      </c>
      <c r="J2987">
        <v>24.96</v>
      </c>
      <c r="K2987">
        <v>4</v>
      </c>
      <c r="L2987">
        <v>0</v>
      </c>
      <c r="M2987">
        <v>6.24</v>
      </c>
    </row>
    <row r="2988" spans="1:13" x14ac:dyDescent="0.3">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
      <c r="A3004" t="s">
        <v>28</v>
      </c>
      <c r="B3004" t="s">
        <v>44</v>
      </c>
      <c r="C3004" t="s">
        <v>15</v>
      </c>
      <c r="D3004" t="s">
        <v>430</v>
      </c>
      <c r="E3004" t="s">
        <v>70</v>
      </c>
      <c r="F3004">
        <v>48310</v>
      </c>
      <c r="G3004" t="s">
        <v>47</v>
      </c>
      <c r="H3004" t="s">
        <v>26</v>
      </c>
      <c r="I3004" t="s">
        <v>37</v>
      </c>
      <c r="J3004">
        <v>19</v>
      </c>
      <c r="K3004">
        <v>5</v>
      </c>
      <c r="L3004">
        <v>0</v>
      </c>
      <c r="M3004">
        <v>8.93</v>
      </c>
    </row>
    <row r="3005" spans="1:13" x14ac:dyDescent="0.3">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
      <c r="A3006" t="s">
        <v>62</v>
      </c>
      <c r="B3006" t="s">
        <v>44</v>
      </c>
      <c r="C3006" t="s">
        <v>15</v>
      </c>
      <c r="D3006" t="s">
        <v>75</v>
      </c>
      <c r="E3006" t="s">
        <v>76</v>
      </c>
      <c r="F3006">
        <v>10011</v>
      </c>
      <c r="G3006" t="s">
        <v>57</v>
      </c>
      <c r="H3006" t="s">
        <v>26</v>
      </c>
      <c r="I3006" t="s">
        <v>38</v>
      </c>
      <c r="J3006">
        <v>207.48</v>
      </c>
      <c r="K3006">
        <v>1</v>
      </c>
      <c r="L3006">
        <v>0</v>
      </c>
      <c r="M3006">
        <v>62.244</v>
      </c>
    </row>
    <row r="3007" spans="1:13" x14ac:dyDescent="0.3">
      <c r="A3007" t="s">
        <v>28</v>
      </c>
      <c r="B3007" t="s">
        <v>44</v>
      </c>
      <c r="C3007" t="s">
        <v>15</v>
      </c>
      <c r="D3007" t="s">
        <v>431</v>
      </c>
      <c r="E3007" t="s">
        <v>49</v>
      </c>
      <c r="F3007">
        <v>54703</v>
      </c>
      <c r="G3007" t="s">
        <v>47</v>
      </c>
      <c r="H3007" t="s">
        <v>26</v>
      </c>
      <c r="I3007" t="s">
        <v>37</v>
      </c>
      <c r="J3007">
        <v>91.68</v>
      </c>
      <c r="K3007">
        <v>3</v>
      </c>
      <c r="L3007">
        <v>0</v>
      </c>
      <c r="M3007">
        <v>45.84</v>
      </c>
    </row>
    <row r="3008" spans="1:13" x14ac:dyDescent="0.3">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
      <c r="A3020" t="s">
        <v>28</v>
      </c>
      <c r="B3020" t="s">
        <v>44</v>
      </c>
      <c r="C3020" t="s">
        <v>15</v>
      </c>
      <c r="D3020" t="s">
        <v>432</v>
      </c>
      <c r="E3020" t="s">
        <v>46</v>
      </c>
      <c r="F3020">
        <v>78577</v>
      </c>
      <c r="G3020" t="s">
        <v>47</v>
      </c>
      <c r="H3020" t="s">
        <v>35</v>
      </c>
      <c r="I3020" t="s">
        <v>59</v>
      </c>
      <c r="J3020">
        <v>666.4</v>
      </c>
      <c r="K3020">
        <v>7</v>
      </c>
      <c r="L3020">
        <v>0.2</v>
      </c>
      <c r="M3020">
        <v>-33.32</v>
      </c>
    </row>
    <row r="3021" spans="1:13" x14ac:dyDescent="0.3">
      <c r="A3021" t="s">
        <v>28</v>
      </c>
      <c r="B3021" t="s">
        <v>14</v>
      </c>
      <c r="C3021" t="s">
        <v>15</v>
      </c>
      <c r="D3021" t="s">
        <v>50</v>
      </c>
      <c r="E3021" t="s">
        <v>51</v>
      </c>
      <c r="F3021">
        <v>84084</v>
      </c>
      <c r="G3021" t="s">
        <v>25</v>
      </c>
      <c r="H3021" t="s">
        <v>26</v>
      </c>
      <c r="I3021" t="s">
        <v>77</v>
      </c>
      <c r="J3021">
        <v>5.04</v>
      </c>
      <c r="K3021">
        <v>3</v>
      </c>
      <c r="L3021">
        <v>0</v>
      </c>
      <c r="M3021">
        <v>0.2016</v>
      </c>
    </row>
    <row r="3022" spans="1:13" x14ac:dyDescent="0.3">
      <c r="A3022" t="s">
        <v>28</v>
      </c>
      <c r="B3022" t="s">
        <v>14</v>
      </c>
      <c r="C3022" t="s">
        <v>15</v>
      </c>
      <c r="D3022" t="s">
        <v>50</v>
      </c>
      <c r="E3022" t="s">
        <v>51</v>
      </c>
      <c r="F3022">
        <v>84084</v>
      </c>
      <c r="G3022" t="s">
        <v>25</v>
      </c>
      <c r="H3022" t="s">
        <v>26</v>
      </c>
      <c r="I3022" t="s">
        <v>41</v>
      </c>
      <c r="J3022">
        <v>92.94</v>
      </c>
      <c r="K3022">
        <v>3</v>
      </c>
      <c r="L3022">
        <v>0</v>
      </c>
      <c r="M3022">
        <v>41.823</v>
      </c>
    </row>
    <row r="3023" spans="1:13" x14ac:dyDescent="0.3">
      <c r="A3023" t="s">
        <v>28</v>
      </c>
      <c r="B3023" t="s">
        <v>14</v>
      </c>
      <c r="C3023" t="s">
        <v>15</v>
      </c>
      <c r="D3023" t="s">
        <v>50</v>
      </c>
      <c r="E3023" t="s">
        <v>51</v>
      </c>
      <c r="F3023">
        <v>84084</v>
      </c>
      <c r="G3023" t="s">
        <v>25</v>
      </c>
      <c r="H3023" t="s">
        <v>19</v>
      </c>
      <c r="I3023" t="s">
        <v>33</v>
      </c>
      <c r="J3023">
        <v>66.69</v>
      </c>
      <c r="K3023">
        <v>3</v>
      </c>
      <c r="L3023">
        <v>0</v>
      </c>
      <c r="M3023">
        <v>22.0077</v>
      </c>
    </row>
    <row r="3024" spans="1:13" x14ac:dyDescent="0.3">
      <c r="A3024" t="s">
        <v>28</v>
      </c>
      <c r="B3024" t="s">
        <v>14</v>
      </c>
      <c r="C3024" t="s">
        <v>15</v>
      </c>
      <c r="D3024" t="s">
        <v>50</v>
      </c>
      <c r="E3024" t="s">
        <v>51</v>
      </c>
      <c r="F3024">
        <v>84084</v>
      </c>
      <c r="G3024" t="s">
        <v>25</v>
      </c>
      <c r="H3024" t="s">
        <v>26</v>
      </c>
      <c r="I3024" t="s">
        <v>37</v>
      </c>
      <c r="J3024">
        <v>91.68</v>
      </c>
      <c r="K3024">
        <v>5</v>
      </c>
      <c r="L3024">
        <v>0.2</v>
      </c>
      <c r="M3024">
        <v>28.65</v>
      </c>
    </row>
    <row r="3025" spans="1:13" x14ac:dyDescent="0.3">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
      <c r="A3028" t="s">
        <v>28</v>
      </c>
      <c r="B3028" t="s">
        <v>44</v>
      </c>
      <c r="C3028" t="s">
        <v>15</v>
      </c>
      <c r="D3028" t="s">
        <v>55</v>
      </c>
      <c r="E3028" t="s">
        <v>56</v>
      </c>
      <c r="F3028">
        <v>19140</v>
      </c>
      <c r="G3028" t="s">
        <v>57</v>
      </c>
      <c r="H3028" t="s">
        <v>19</v>
      </c>
      <c r="I3028" t="s">
        <v>33</v>
      </c>
      <c r="J3028">
        <v>254.352</v>
      </c>
      <c r="K3028">
        <v>3</v>
      </c>
      <c r="L3028">
        <v>0.2</v>
      </c>
      <c r="M3028">
        <v>0</v>
      </c>
    </row>
    <row r="3029" spans="1:13" x14ac:dyDescent="0.3">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
      <c r="A3039" t="s">
        <v>28</v>
      </c>
      <c r="B3039" t="s">
        <v>14</v>
      </c>
      <c r="C3039" t="s">
        <v>15</v>
      </c>
      <c r="D3039" t="s">
        <v>124</v>
      </c>
      <c r="E3039" t="s">
        <v>125</v>
      </c>
      <c r="F3039">
        <v>71203</v>
      </c>
      <c r="G3039" t="s">
        <v>18</v>
      </c>
      <c r="H3039" t="s">
        <v>26</v>
      </c>
      <c r="I3039" t="s">
        <v>41</v>
      </c>
      <c r="J3039">
        <v>32.4</v>
      </c>
      <c r="K3039">
        <v>5</v>
      </c>
      <c r="L3039">
        <v>0</v>
      </c>
      <c r="M3039">
        <v>15.552</v>
      </c>
    </row>
    <row r="3040" spans="1:13" x14ac:dyDescent="0.3">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
      <c r="A3048" t="s">
        <v>13</v>
      </c>
      <c r="B3048" t="s">
        <v>44</v>
      </c>
      <c r="C3048" t="s">
        <v>15</v>
      </c>
      <c r="D3048" t="s">
        <v>93</v>
      </c>
      <c r="E3048" t="s">
        <v>68</v>
      </c>
      <c r="F3048">
        <v>55407</v>
      </c>
      <c r="G3048" t="s">
        <v>47</v>
      </c>
      <c r="H3048" t="s">
        <v>26</v>
      </c>
      <c r="I3048" t="s">
        <v>41</v>
      </c>
      <c r="J3048">
        <v>26.38</v>
      </c>
      <c r="K3048">
        <v>1</v>
      </c>
      <c r="L3048">
        <v>0</v>
      </c>
      <c r="M3048">
        <v>12.1348</v>
      </c>
    </row>
    <row r="3049" spans="1:13" x14ac:dyDescent="0.3">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
      <c r="A3051" t="s">
        <v>62</v>
      </c>
      <c r="B3051" t="s">
        <v>44</v>
      </c>
      <c r="C3051" t="s">
        <v>15</v>
      </c>
      <c r="D3051" t="s">
        <v>103</v>
      </c>
      <c r="E3051" t="s">
        <v>167</v>
      </c>
      <c r="F3051">
        <v>31907</v>
      </c>
      <c r="G3051" t="s">
        <v>18</v>
      </c>
      <c r="H3051" t="s">
        <v>35</v>
      </c>
      <c r="I3051" t="s">
        <v>59</v>
      </c>
      <c r="J3051">
        <v>360</v>
      </c>
      <c r="K3051">
        <v>4</v>
      </c>
      <c r="L3051">
        <v>0</v>
      </c>
      <c r="M3051">
        <v>129.6</v>
      </c>
    </row>
    <row r="3052" spans="1:13" x14ac:dyDescent="0.3">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
      <c r="A3059" t="s">
        <v>13</v>
      </c>
      <c r="B3059" t="s">
        <v>22</v>
      </c>
      <c r="C3059" t="s">
        <v>15</v>
      </c>
      <c r="D3059" t="s">
        <v>52</v>
      </c>
      <c r="E3059" t="s">
        <v>24</v>
      </c>
      <c r="F3059">
        <v>94110</v>
      </c>
      <c r="G3059" t="s">
        <v>25</v>
      </c>
      <c r="H3059" t="s">
        <v>26</v>
      </c>
      <c r="I3059" t="s">
        <v>27</v>
      </c>
      <c r="J3059">
        <v>31.5</v>
      </c>
      <c r="K3059">
        <v>10</v>
      </c>
      <c r="L3059">
        <v>0</v>
      </c>
      <c r="M3059">
        <v>15.12</v>
      </c>
    </row>
    <row r="3060" spans="1:13" x14ac:dyDescent="0.3">
      <c r="A3060" t="s">
        <v>13</v>
      </c>
      <c r="B3060" t="s">
        <v>22</v>
      </c>
      <c r="C3060" t="s">
        <v>15</v>
      </c>
      <c r="D3060" t="s">
        <v>52</v>
      </c>
      <c r="E3060" t="s">
        <v>24</v>
      </c>
      <c r="F3060">
        <v>94110</v>
      </c>
      <c r="G3060" t="s">
        <v>25</v>
      </c>
      <c r="H3060" t="s">
        <v>19</v>
      </c>
      <c r="I3060" t="s">
        <v>33</v>
      </c>
      <c r="J3060">
        <v>30.56</v>
      </c>
      <c r="K3060">
        <v>2</v>
      </c>
      <c r="L3060">
        <v>0</v>
      </c>
      <c r="M3060">
        <v>10.3904</v>
      </c>
    </row>
    <row r="3061" spans="1:13" x14ac:dyDescent="0.3">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
      <c r="A3088" t="s">
        <v>28</v>
      </c>
      <c r="B3088" t="s">
        <v>14</v>
      </c>
      <c r="C3088" t="s">
        <v>15</v>
      </c>
      <c r="D3088" t="s">
        <v>61</v>
      </c>
      <c r="E3088" t="s">
        <v>46</v>
      </c>
      <c r="F3088">
        <v>77070</v>
      </c>
      <c r="G3088" t="s">
        <v>47</v>
      </c>
      <c r="H3088" t="s">
        <v>19</v>
      </c>
      <c r="I3088" t="s">
        <v>33</v>
      </c>
      <c r="J3088">
        <v>3.984</v>
      </c>
      <c r="K3088">
        <v>2</v>
      </c>
      <c r="L3088">
        <v>0.6</v>
      </c>
      <c r="M3088">
        <v>-2.6892</v>
      </c>
    </row>
    <row r="3089" spans="1:13" x14ac:dyDescent="0.3">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
      <c r="A3090" t="s">
        <v>13</v>
      </c>
      <c r="B3090" t="s">
        <v>44</v>
      </c>
      <c r="C3090" t="s">
        <v>15</v>
      </c>
      <c r="D3090" t="s">
        <v>16</v>
      </c>
      <c r="E3090" t="s">
        <v>17</v>
      </c>
      <c r="F3090">
        <v>42420</v>
      </c>
      <c r="G3090" t="s">
        <v>18</v>
      </c>
      <c r="H3090" t="s">
        <v>19</v>
      </c>
      <c r="I3090" t="s">
        <v>33</v>
      </c>
      <c r="J3090">
        <v>61</v>
      </c>
      <c r="K3090">
        <v>5</v>
      </c>
      <c r="L3090">
        <v>0</v>
      </c>
      <c r="M3090">
        <v>25.62</v>
      </c>
    </row>
    <row r="3091" spans="1:13" x14ac:dyDescent="0.3">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
      <c r="A3114" t="s">
        <v>28</v>
      </c>
      <c r="B3114" t="s">
        <v>14</v>
      </c>
      <c r="C3114" t="s">
        <v>15</v>
      </c>
      <c r="D3114" t="s">
        <v>42</v>
      </c>
      <c r="E3114" t="s">
        <v>43</v>
      </c>
      <c r="F3114">
        <v>98105</v>
      </c>
      <c r="G3114" t="s">
        <v>25</v>
      </c>
      <c r="H3114" t="s">
        <v>35</v>
      </c>
      <c r="I3114" t="s">
        <v>123</v>
      </c>
      <c r="J3114">
        <v>837.6</v>
      </c>
      <c r="K3114">
        <v>3</v>
      </c>
      <c r="L3114">
        <v>0.2</v>
      </c>
      <c r="M3114">
        <v>62.82</v>
      </c>
    </row>
    <row r="3115" spans="1:13" x14ac:dyDescent="0.3">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
      <c r="A3118" t="s">
        <v>28</v>
      </c>
      <c r="B3118" t="s">
        <v>14</v>
      </c>
      <c r="C3118" t="s">
        <v>15</v>
      </c>
      <c r="D3118" t="s">
        <v>42</v>
      </c>
      <c r="E3118" t="s">
        <v>43</v>
      </c>
      <c r="F3118">
        <v>98105</v>
      </c>
      <c r="G3118" t="s">
        <v>25</v>
      </c>
      <c r="H3118" t="s">
        <v>26</v>
      </c>
      <c r="I3118" t="s">
        <v>38</v>
      </c>
      <c r="J3118">
        <v>43.1</v>
      </c>
      <c r="K3118">
        <v>5</v>
      </c>
      <c r="L3118">
        <v>0</v>
      </c>
      <c r="M3118">
        <v>11.206</v>
      </c>
    </row>
    <row r="3119" spans="1:13" x14ac:dyDescent="0.3">
      <c r="A3119" t="s">
        <v>28</v>
      </c>
      <c r="B3119" t="s">
        <v>14</v>
      </c>
      <c r="C3119" t="s">
        <v>15</v>
      </c>
      <c r="D3119" t="s">
        <v>42</v>
      </c>
      <c r="E3119" t="s">
        <v>43</v>
      </c>
      <c r="F3119">
        <v>98105</v>
      </c>
      <c r="G3119" t="s">
        <v>25</v>
      </c>
      <c r="H3119" t="s">
        <v>26</v>
      </c>
      <c r="I3119" t="s">
        <v>110</v>
      </c>
      <c r="J3119">
        <v>15.88</v>
      </c>
      <c r="K3119">
        <v>4</v>
      </c>
      <c r="L3119">
        <v>0</v>
      </c>
      <c r="M3119">
        <v>0.1588</v>
      </c>
    </row>
    <row r="3120" spans="1:13" x14ac:dyDescent="0.3">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
      <c r="A3132" t="s">
        <v>62</v>
      </c>
      <c r="B3132" t="s">
        <v>44</v>
      </c>
      <c r="C3132" t="s">
        <v>15</v>
      </c>
      <c r="D3132" t="s">
        <v>23</v>
      </c>
      <c r="E3132" t="s">
        <v>24</v>
      </c>
      <c r="F3132">
        <v>90049</v>
      </c>
      <c r="G3132" t="s">
        <v>25</v>
      </c>
      <c r="H3132" t="s">
        <v>35</v>
      </c>
      <c r="I3132" t="s">
        <v>59</v>
      </c>
      <c r="J3132">
        <v>395</v>
      </c>
      <c r="K3132">
        <v>5</v>
      </c>
      <c r="L3132">
        <v>0</v>
      </c>
      <c r="M3132">
        <v>39.5</v>
      </c>
    </row>
    <row r="3133" spans="1:13"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
      <c r="A3136" t="s">
        <v>28</v>
      </c>
      <c r="B3136" t="s">
        <v>44</v>
      </c>
      <c r="C3136" t="s">
        <v>15</v>
      </c>
      <c r="D3136" t="s">
        <v>135</v>
      </c>
      <c r="E3136" t="s">
        <v>46</v>
      </c>
      <c r="F3136">
        <v>75081</v>
      </c>
      <c r="G3136" t="s">
        <v>47</v>
      </c>
      <c r="H3136" t="s">
        <v>26</v>
      </c>
      <c r="I3136" t="s">
        <v>37</v>
      </c>
      <c r="J3136">
        <v>30.56</v>
      </c>
      <c r="K3136">
        <v>5</v>
      </c>
      <c r="L3136">
        <v>0.8</v>
      </c>
      <c r="M3136">
        <v>-45.84</v>
      </c>
    </row>
    <row r="3137" spans="1:13" x14ac:dyDescent="0.3">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
      <c r="A3149" t="s">
        <v>13</v>
      </c>
      <c r="B3149" t="s">
        <v>22</v>
      </c>
      <c r="C3149" t="s">
        <v>15</v>
      </c>
      <c r="D3149" t="s">
        <v>23</v>
      </c>
      <c r="E3149" t="s">
        <v>24</v>
      </c>
      <c r="F3149">
        <v>90004</v>
      </c>
      <c r="G3149" t="s">
        <v>25</v>
      </c>
      <c r="H3149" t="s">
        <v>26</v>
      </c>
      <c r="I3149" t="s">
        <v>34</v>
      </c>
      <c r="J3149">
        <v>32.4</v>
      </c>
      <c r="K3149">
        <v>5</v>
      </c>
      <c r="L3149">
        <v>0</v>
      </c>
      <c r="M3149">
        <v>10.368</v>
      </c>
    </row>
    <row r="3150" spans="1:13" x14ac:dyDescent="0.3">
      <c r="A3150" t="s">
        <v>62</v>
      </c>
      <c r="B3150" t="s">
        <v>44</v>
      </c>
      <c r="C3150" t="s">
        <v>15</v>
      </c>
      <c r="D3150" t="s">
        <v>75</v>
      </c>
      <c r="E3150" t="s">
        <v>76</v>
      </c>
      <c r="F3150">
        <v>10035</v>
      </c>
      <c r="G3150" t="s">
        <v>57</v>
      </c>
      <c r="H3150" t="s">
        <v>26</v>
      </c>
      <c r="I3150" t="s">
        <v>41</v>
      </c>
      <c r="J3150">
        <v>32.4</v>
      </c>
      <c r="K3150">
        <v>5</v>
      </c>
      <c r="L3150">
        <v>0</v>
      </c>
      <c r="M3150">
        <v>15.552</v>
      </c>
    </row>
    <row r="3151" spans="1:13" x14ac:dyDescent="0.3">
      <c r="A3151" t="s">
        <v>28</v>
      </c>
      <c r="B3151" t="s">
        <v>14</v>
      </c>
      <c r="C3151" t="s">
        <v>15</v>
      </c>
      <c r="D3151" t="s">
        <v>42</v>
      </c>
      <c r="E3151" t="s">
        <v>43</v>
      </c>
      <c r="F3151">
        <v>98103</v>
      </c>
      <c r="G3151" t="s">
        <v>25</v>
      </c>
      <c r="H3151" t="s">
        <v>26</v>
      </c>
      <c r="I3151" t="s">
        <v>27</v>
      </c>
      <c r="J3151">
        <v>31.05</v>
      </c>
      <c r="K3151">
        <v>3</v>
      </c>
      <c r="L3151">
        <v>0</v>
      </c>
      <c r="M3151">
        <v>14.904</v>
      </c>
    </row>
    <row r="3152" spans="1:13" x14ac:dyDescent="0.3">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
      <c r="A3159" t="s">
        <v>28</v>
      </c>
      <c r="B3159" t="s">
        <v>22</v>
      </c>
      <c r="C3159" t="s">
        <v>15</v>
      </c>
      <c r="D3159" t="s">
        <v>75</v>
      </c>
      <c r="E3159" t="s">
        <v>76</v>
      </c>
      <c r="F3159">
        <v>10009</v>
      </c>
      <c r="G3159" t="s">
        <v>57</v>
      </c>
      <c r="H3159" t="s">
        <v>35</v>
      </c>
      <c r="I3159" t="s">
        <v>59</v>
      </c>
      <c r="J3159">
        <v>26</v>
      </c>
      <c r="K3159">
        <v>2</v>
      </c>
      <c r="L3159">
        <v>0</v>
      </c>
      <c r="M3159">
        <v>11.7</v>
      </c>
    </row>
    <row r="3160" spans="1:13" x14ac:dyDescent="0.3">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
      <c r="A3190" t="s">
        <v>13</v>
      </c>
      <c r="B3190" t="s">
        <v>22</v>
      </c>
      <c r="C3190" t="s">
        <v>15</v>
      </c>
      <c r="D3190" t="s">
        <v>440</v>
      </c>
      <c r="E3190" t="s">
        <v>24</v>
      </c>
      <c r="F3190">
        <v>95695</v>
      </c>
      <c r="G3190" t="s">
        <v>25</v>
      </c>
      <c r="H3190" t="s">
        <v>26</v>
      </c>
      <c r="I3190" t="s">
        <v>27</v>
      </c>
      <c r="J3190">
        <v>3.75</v>
      </c>
      <c r="K3190">
        <v>1</v>
      </c>
      <c r="L3190">
        <v>0</v>
      </c>
      <c r="M3190">
        <v>1.8</v>
      </c>
    </row>
    <row r="3191" spans="1:13"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
      <c r="A3197" t="s">
        <v>28</v>
      </c>
      <c r="B3197" t="s">
        <v>44</v>
      </c>
      <c r="C3197" t="s">
        <v>15</v>
      </c>
      <c r="D3197" t="s">
        <v>84</v>
      </c>
      <c r="E3197" t="s">
        <v>185</v>
      </c>
      <c r="F3197">
        <v>39212</v>
      </c>
      <c r="G3197" t="s">
        <v>18</v>
      </c>
      <c r="H3197" t="s">
        <v>26</v>
      </c>
      <c r="I3197" t="s">
        <v>77</v>
      </c>
      <c r="J3197">
        <v>23.34</v>
      </c>
      <c r="K3197">
        <v>3</v>
      </c>
      <c r="L3197">
        <v>0</v>
      </c>
      <c r="M3197">
        <v>0.2334</v>
      </c>
    </row>
    <row r="3198" spans="1:13" x14ac:dyDescent="0.3">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
      <c r="A3223" t="s">
        <v>28</v>
      </c>
      <c r="B3223" t="s">
        <v>22</v>
      </c>
      <c r="C3223" t="s">
        <v>15</v>
      </c>
      <c r="D3223" t="s">
        <v>154</v>
      </c>
      <c r="E3223" t="s">
        <v>132</v>
      </c>
      <c r="F3223">
        <v>8701</v>
      </c>
      <c r="G3223" t="s">
        <v>57</v>
      </c>
      <c r="H3223" t="s">
        <v>35</v>
      </c>
      <c r="I3223" t="s">
        <v>59</v>
      </c>
      <c r="J3223">
        <v>90</v>
      </c>
      <c r="K3223">
        <v>1</v>
      </c>
      <c r="L3223">
        <v>0</v>
      </c>
      <c r="M3223">
        <v>32.4</v>
      </c>
    </row>
    <row r="3224" spans="1:13" x14ac:dyDescent="0.3">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
      <c r="A3243" t="s">
        <v>62</v>
      </c>
      <c r="B3243" t="s">
        <v>22</v>
      </c>
      <c r="C3243" t="s">
        <v>15</v>
      </c>
      <c r="D3243" t="s">
        <v>155</v>
      </c>
      <c r="E3243" t="s">
        <v>83</v>
      </c>
      <c r="F3243">
        <v>22204</v>
      </c>
      <c r="G3243" t="s">
        <v>18</v>
      </c>
      <c r="H3243" t="s">
        <v>26</v>
      </c>
      <c r="I3243" t="s">
        <v>32</v>
      </c>
      <c r="J3243">
        <v>56.45</v>
      </c>
      <c r="K3243">
        <v>5</v>
      </c>
      <c r="L3243">
        <v>0</v>
      </c>
      <c r="M3243">
        <v>14.677</v>
      </c>
    </row>
    <row r="3244" spans="1:13" x14ac:dyDescent="0.3">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
      <c r="A3266" t="s">
        <v>13</v>
      </c>
      <c r="B3266" t="s">
        <v>22</v>
      </c>
      <c r="C3266" t="s">
        <v>15</v>
      </c>
      <c r="D3266" t="s">
        <v>180</v>
      </c>
      <c r="E3266" t="s">
        <v>30</v>
      </c>
      <c r="F3266">
        <v>33180</v>
      </c>
      <c r="G3266" t="s">
        <v>18</v>
      </c>
      <c r="H3266" t="s">
        <v>26</v>
      </c>
      <c r="I3266" t="s">
        <v>27</v>
      </c>
      <c r="J3266">
        <v>10.08</v>
      </c>
      <c r="K3266">
        <v>4</v>
      </c>
      <c r="L3266">
        <v>0.2</v>
      </c>
      <c r="M3266">
        <v>3.528</v>
      </c>
    </row>
    <row r="3267" spans="1:13" x14ac:dyDescent="0.3">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
      <c r="A3270" t="s">
        <v>28</v>
      </c>
      <c r="B3270" t="s">
        <v>14</v>
      </c>
      <c r="C3270" t="s">
        <v>15</v>
      </c>
      <c r="D3270" t="s">
        <v>87</v>
      </c>
      <c r="E3270" t="s">
        <v>88</v>
      </c>
      <c r="F3270">
        <v>35601</v>
      </c>
      <c r="G3270" t="s">
        <v>18</v>
      </c>
      <c r="H3270" t="s">
        <v>35</v>
      </c>
      <c r="I3270" t="s">
        <v>36</v>
      </c>
      <c r="J3270">
        <v>44.95</v>
      </c>
      <c r="K3270">
        <v>1</v>
      </c>
      <c r="L3270">
        <v>0</v>
      </c>
      <c r="M3270">
        <v>12.586</v>
      </c>
    </row>
    <row r="3271" spans="1:13" x14ac:dyDescent="0.3">
      <c r="A3271" t="s">
        <v>28</v>
      </c>
      <c r="B3271" t="s">
        <v>22</v>
      </c>
      <c r="C3271" t="s">
        <v>15</v>
      </c>
      <c r="D3271" t="s">
        <v>386</v>
      </c>
      <c r="E3271" t="s">
        <v>387</v>
      </c>
      <c r="F3271">
        <v>57103</v>
      </c>
      <c r="G3271" t="s">
        <v>47</v>
      </c>
      <c r="H3271" t="s">
        <v>35</v>
      </c>
      <c r="I3271" t="s">
        <v>59</v>
      </c>
      <c r="J3271">
        <v>2.97</v>
      </c>
      <c r="K3271">
        <v>3</v>
      </c>
      <c r="L3271">
        <v>0</v>
      </c>
      <c r="M3271">
        <v>1.3068</v>
      </c>
    </row>
    <row r="3272" spans="1:13" x14ac:dyDescent="0.3">
      <c r="A3272" t="s">
        <v>28</v>
      </c>
      <c r="B3272" t="s">
        <v>22</v>
      </c>
      <c r="C3272" t="s">
        <v>15</v>
      </c>
      <c r="D3272" t="s">
        <v>386</v>
      </c>
      <c r="E3272" t="s">
        <v>387</v>
      </c>
      <c r="F3272">
        <v>57103</v>
      </c>
      <c r="G3272" t="s">
        <v>47</v>
      </c>
      <c r="H3272" t="s">
        <v>26</v>
      </c>
      <c r="I3272" t="s">
        <v>77</v>
      </c>
      <c r="J3272">
        <v>6.54</v>
      </c>
      <c r="K3272">
        <v>3</v>
      </c>
      <c r="L3272">
        <v>0</v>
      </c>
      <c r="M3272">
        <v>2.6814</v>
      </c>
    </row>
    <row r="3273" spans="1:13" x14ac:dyDescent="0.3">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
      <c r="A3293" t="s">
        <v>28</v>
      </c>
      <c r="B3293" t="s">
        <v>14</v>
      </c>
      <c r="C3293" t="s">
        <v>15</v>
      </c>
      <c r="D3293" t="s">
        <v>430</v>
      </c>
      <c r="E3293" t="s">
        <v>70</v>
      </c>
      <c r="F3293">
        <v>48310</v>
      </c>
      <c r="G3293" t="s">
        <v>47</v>
      </c>
      <c r="H3293" t="s">
        <v>26</v>
      </c>
      <c r="I3293" t="s">
        <v>34</v>
      </c>
      <c r="J3293">
        <v>11.68</v>
      </c>
      <c r="K3293">
        <v>2</v>
      </c>
      <c r="L3293">
        <v>0</v>
      </c>
      <c r="M3293">
        <v>3.504</v>
      </c>
    </row>
    <row r="3294" spans="1:13" x14ac:dyDescent="0.3">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
      <c r="A3305" t="s">
        <v>28</v>
      </c>
      <c r="B3305" t="s">
        <v>14</v>
      </c>
      <c r="C3305" t="s">
        <v>15</v>
      </c>
      <c r="D3305" t="s">
        <v>55</v>
      </c>
      <c r="E3305" t="s">
        <v>56</v>
      </c>
      <c r="F3305">
        <v>19140</v>
      </c>
      <c r="G3305" t="s">
        <v>57</v>
      </c>
      <c r="H3305" t="s">
        <v>26</v>
      </c>
      <c r="I3305" t="s">
        <v>37</v>
      </c>
      <c r="J3305">
        <v>1.944</v>
      </c>
      <c r="K3305">
        <v>3</v>
      </c>
      <c r="L3305">
        <v>0.7</v>
      </c>
      <c r="M3305">
        <v>-1.4256</v>
      </c>
    </row>
    <row r="3306" spans="1:13" x14ac:dyDescent="0.3">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
      <c r="A3320" t="s">
        <v>28</v>
      </c>
      <c r="B3320" t="s">
        <v>14</v>
      </c>
      <c r="C3320" t="s">
        <v>15</v>
      </c>
      <c r="D3320" t="s">
        <v>129</v>
      </c>
      <c r="E3320" t="s">
        <v>24</v>
      </c>
      <c r="F3320">
        <v>92374</v>
      </c>
      <c r="G3320" t="s">
        <v>25</v>
      </c>
      <c r="H3320" t="s">
        <v>26</v>
      </c>
      <c r="I3320" t="s">
        <v>27</v>
      </c>
      <c r="J3320">
        <v>8.64</v>
      </c>
      <c r="K3320">
        <v>3</v>
      </c>
      <c r="L3320">
        <v>0</v>
      </c>
      <c r="M3320">
        <v>4.2336</v>
      </c>
    </row>
    <row r="3321" spans="1:13" x14ac:dyDescent="0.3">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
      <c r="A3335" t="s">
        <v>28</v>
      </c>
      <c r="B3335" t="s">
        <v>44</v>
      </c>
      <c r="C3335" t="s">
        <v>15</v>
      </c>
      <c r="D3335" t="s">
        <v>79</v>
      </c>
      <c r="E3335" t="s">
        <v>65</v>
      </c>
      <c r="F3335">
        <v>60653</v>
      </c>
      <c r="G3335" t="s">
        <v>47</v>
      </c>
      <c r="H3335" t="s">
        <v>19</v>
      </c>
      <c r="I3335" t="s">
        <v>33</v>
      </c>
      <c r="J3335">
        <v>2.032</v>
      </c>
      <c r="K3335">
        <v>1</v>
      </c>
      <c r="L3335">
        <v>0.6</v>
      </c>
      <c r="M3335">
        <v>-1.3208</v>
      </c>
    </row>
    <row r="3336" spans="1:13" x14ac:dyDescent="0.3">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
      <c r="A3342" t="s">
        <v>62</v>
      </c>
      <c r="B3342" t="s">
        <v>14</v>
      </c>
      <c r="C3342" t="s">
        <v>15</v>
      </c>
      <c r="D3342" t="s">
        <v>267</v>
      </c>
      <c r="E3342" t="s">
        <v>24</v>
      </c>
      <c r="F3342">
        <v>94601</v>
      </c>
      <c r="G3342" t="s">
        <v>25</v>
      </c>
      <c r="H3342" t="s">
        <v>26</v>
      </c>
      <c r="I3342" t="s">
        <v>27</v>
      </c>
      <c r="J3342">
        <v>51.75</v>
      </c>
      <c r="K3342">
        <v>5</v>
      </c>
      <c r="L3342">
        <v>0</v>
      </c>
      <c r="M3342">
        <v>24.84</v>
      </c>
    </row>
    <row r="3343" spans="1:13" x14ac:dyDescent="0.3">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
      <c r="A3348" t="s">
        <v>13</v>
      </c>
      <c r="B3348" t="s">
        <v>14</v>
      </c>
      <c r="C3348" t="s">
        <v>15</v>
      </c>
      <c r="D3348" t="s">
        <v>172</v>
      </c>
      <c r="E3348" t="s">
        <v>166</v>
      </c>
      <c r="F3348">
        <v>2169</v>
      </c>
      <c r="G3348" t="s">
        <v>57</v>
      </c>
      <c r="H3348" t="s">
        <v>26</v>
      </c>
      <c r="I3348" t="s">
        <v>37</v>
      </c>
      <c r="J3348">
        <v>29</v>
      </c>
      <c r="K3348">
        <v>5</v>
      </c>
      <c r="L3348">
        <v>0</v>
      </c>
      <c r="M3348">
        <v>13.92</v>
      </c>
    </row>
    <row r="3349" spans="1:13" x14ac:dyDescent="0.3">
      <c r="A3349" t="s">
        <v>28</v>
      </c>
      <c r="B3349" t="s">
        <v>22</v>
      </c>
      <c r="C3349" t="s">
        <v>15</v>
      </c>
      <c r="D3349" t="s">
        <v>448</v>
      </c>
      <c r="E3349" t="s">
        <v>24</v>
      </c>
      <c r="F3349">
        <v>92399</v>
      </c>
      <c r="G3349" t="s">
        <v>25</v>
      </c>
      <c r="H3349" t="s">
        <v>26</v>
      </c>
      <c r="I3349" t="s">
        <v>34</v>
      </c>
      <c r="J3349">
        <v>50.8</v>
      </c>
      <c r="K3349">
        <v>5</v>
      </c>
      <c r="L3349">
        <v>0</v>
      </c>
      <c r="M3349">
        <v>13.208</v>
      </c>
    </row>
    <row r="3350" spans="1:13" x14ac:dyDescent="0.3">
      <c r="A3350" t="s">
        <v>62</v>
      </c>
      <c r="B3350" t="s">
        <v>22</v>
      </c>
      <c r="C3350" t="s">
        <v>15</v>
      </c>
      <c r="D3350" t="s">
        <v>79</v>
      </c>
      <c r="E3350" t="s">
        <v>65</v>
      </c>
      <c r="F3350">
        <v>60623</v>
      </c>
      <c r="G3350" t="s">
        <v>47</v>
      </c>
      <c r="H3350" t="s">
        <v>26</v>
      </c>
      <c r="I3350" t="s">
        <v>37</v>
      </c>
      <c r="J3350">
        <v>16.03</v>
      </c>
      <c r="K3350">
        <v>5</v>
      </c>
      <c r="L3350">
        <v>0.8</v>
      </c>
      <c r="M3350">
        <v>-25.648</v>
      </c>
    </row>
    <row r="3351" spans="1:13" x14ac:dyDescent="0.3">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
      <c r="A3356" t="s">
        <v>28</v>
      </c>
      <c r="B3356" t="s">
        <v>22</v>
      </c>
      <c r="C3356" t="s">
        <v>15</v>
      </c>
      <c r="D3356" t="s">
        <v>105</v>
      </c>
      <c r="E3356" t="s">
        <v>127</v>
      </c>
      <c r="F3356">
        <v>6010</v>
      </c>
      <c r="G3356" t="s">
        <v>57</v>
      </c>
      <c r="H3356" t="s">
        <v>19</v>
      </c>
      <c r="I3356" t="s">
        <v>31</v>
      </c>
      <c r="J3356">
        <v>70.56</v>
      </c>
      <c r="K3356">
        <v>1</v>
      </c>
      <c r="L3356">
        <v>0.3</v>
      </c>
      <c r="M3356">
        <v>-4.032</v>
      </c>
    </row>
    <row r="3357" spans="1:13" x14ac:dyDescent="0.3">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
      <c r="A3358" t="s">
        <v>28</v>
      </c>
      <c r="B3358" t="s">
        <v>22</v>
      </c>
      <c r="C3358" t="s">
        <v>15</v>
      </c>
      <c r="D3358" t="s">
        <v>105</v>
      </c>
      <c r="E3358" t="s">
        <v>127</v>
      </c>
      <c r="F3358">
        <v>6010</v>
      </c>
      <c r="G3358" t="s">
        <v>57</v>
      </c>
      <c r="H3358" t="s">
        <v>26</v>
      </c>
      <c r="I3358" t="s">
        <v>37</v>
      </c>
      <c r="J3358">
        <v>3.81</v>
      </c>
      <c r="K3358">
        <v>1</v>
      </c>
      <c r="L3358">
        <v>0</v>
      </c>
      <c r="M3358">
        <v>1.8288</v>
      </c>
    </row>
    <row r="3359" spans="1:13" x14ac:dyDescent="0.3">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
      <c r="A3381" t="s">
        <v>28</v>
      </c>
      <c r="B3381" t="s">
        <v>44</v>
      </c>
      <c r="C3381" t="s">
        <v>15</v>
      </c>
      <c r="D3381" t="s">
        <v>61</v>
      </c>
      <c r="E3381" t="s">
        <v>46</v>
      </c>
      <c r="F3381">
        <v>77095</v>
      </c>
      <c r="G3381" t="s">
        <v>47</v>
      </c>
      <c r="H3381" t="s">
        <v>26</v>
      </c>
      <c r="I3381" t="s">
        <v>41</v>
      </c>
      <c r="J3381">
        <v>10.272</v>
      </c>
      <c r="K3381">
        <v>3</v>
      </c>
      <c r="L3381">
        <v>0.2</v>
      </c>
      <c r="M3381">
        <v>3.21</v>
      </c>
    </row>
    <row r="3382" spans="1:13" x14ac:dyDescent="0.3">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
      <c r="A3403" t="s">
        <v>28</v>
      </c>
      <c r="B3403" t="s">
        <v>22</v>
      </c>
      <c r="C3403" t="s">
        <v>15</v>
      </c>
      <c r="D3403" t="s">
        <v>182</v>
      </c>
      <c r="E3403" t="s">
        <v>17</v>
      </c>
      <c r="F3403">
        <v>40475</v>
      </c>
      <c r="G3403" t="s">
        <v>18</v>
      </c>
      <c r="H3403" t="s">
        <v>26</v>
      </c>
      <c r="I3403" t="s">
        <v>34</v>
      </c>
      <c r="J3403">
        <v>5.46</v>
      </c>
      <c r="K3403">
        <v>3</v>
      </c>
      <c r="L3403">
        <v>0</v>
      </c>
      <c r="M3403">
        <v>1.4742</v>
      </c>
    </row>
    <row r="3404" spans="1:13" x14ac:dyDescent="0.3">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
      <c r="A3415" t="s">
        <v>28</v>
      </c>
      <c r="B3415" t="s">
        <v>22</v>
      </c>
      <c r="C3415" t="s">
        <v>15</v>
      </c>
      <c r="D3415" t="s">
        <v>52</v>
      </c>
      <c r="E3415" t="s">
        <v>24</v>
      </c>
      <c r="F3415">
        <v>94122</v>
      </c>
      <c r="G3415" t="s">
        <v>25</v>
      </c>
      <c r="H3415" t="s">
        <v>26</v>
      </c>
      <c r="I3415" t="s">
        <v>41</v>
      </c>
      <c r="J3415">
        <v>77.52</v>
      </c>
      <c r="K3415">
        <v>2</v>
      </c>
      <c r="L3415">
        <v>0</v>
      </c>
      <c r="M3415">
        <v>37.9848</v>
      </c>
    </row>
    <row r="3416" spans="1:13" x14ac:dyDescent="0.3">
      <c r="A3416" t="s">
        <v>28</v>
      </c>
      <c r="B3416" t="s">
        <v>22</v>
      </c>
      <c r="C3416" t="s">
        <v>15</v>
      </c>
      <c r="D3416" t="s">
        <v>52</v>
      </c>
      <c r="E3416" t="s">
        <v>24</v>
      </c>
      <c r="F3416">
        <v>94122</v>
      </c>
      <c r="G3416" t="s">
        <v>25</v>
      </c>
      <c r="H3416" t="s">
        <v>26</v>
      </c>
      <c r="I3416" t="s">
        <v>37</v>
      </c>
      <c r="J3416">
        <v>48.64</v>
      </c>
      <c r="K3416">
        <v>2</v>
      </c>
      <c r="L3416">
        <v>0.2</v>
      </c>
      <c r="M3416">
        <v>15.808</v>
      </c>
    </row>
    <row r="3417" spans="1:13" x14ac:dyDescent="0.3">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
      <c r="A3420" t="s">
        <v>28</v>
      </c>
      <c r="B3420" t="s">
        <v>44</v>
      </c>
      <c r="C3420" t="s">
        <v>15</v>
      </c>
      <c r="D3420" t="s">
        <v>97</v>
      </c>
      <c r="E3420" t="s">
        <v>98</v>
      </c>
      <c r="F3420">
        <v>80013</v>
      </c>
      <c r="G3420" t="s">
        <v>25</v>
      </c>
      <c r="H3420" t="s">
        <v>26</v>
      </c>
      <c r="I3420" t="s">
        <v>110</v>
      </c>
      <c r="J3420">
        <v>5.84</v>
      </c>
      <c r="K3420">
        <v>2</v>
      </c>
      <c r="L3420">
        <v>0.2</v>
      </c>
      <c r="M3420">
        <v>0.73</v>
      </c>
    </row>
    <row r="3421" spans="1:13" x14ac:dyDescent="0.3">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
      <c r="A3426" t="s">
        <v>28</v>
      </c>
      <c r="B3426" t="s">
        <v>14</v>
      </c>
      <c r="C3426" t="s">
        <v>15</v>
      </c>
      <c r="D3426" t="s">
        <v>23</v>
      </c>
      <c r="E3426" t="s">
        <v>24</v>
      </c>
      <c r="F3426">
        <v>90004</v>
      </c>
      <c r="G3426" t="s">
        <v>25</v>
      </c>
      <c r="H3426" t="s">
        <v>35</v>
      </c>
      <c r="I3426" t="s">
        <v>123</v>
      </c>
      <c r="J3426">
        <v>558.4</v>
      </c>
      <c r="K3426">
        <v>2</v>
      </c>
      <c r="L3426">
        <v>0.2</v>
      </c>
      <c r="M3426">
        <v>41.88</v>
      </c>
    </row>
    <row r="3427" spans="1:13" x14ac:dyDescent="0.3">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
      <c r="A3433" t="s">
        <v>62</v>
      </c>
      <c r="B3433" t="s">
        <v>14</v>
      </c>
      <c r="C3433" t="s">
        <v>15</v>
      </c>
      <c r="D3433" t="s">
        <v>149</v>
      </c>
      <c r="E3433" t="s">
        <v>24</v>
      </c>
      <c r="F3433">
        <v>90301</v>
      </c>
      <c r="G3433" t="s">
        <v>25</v>
      </c>
      <c r="H3433" t="s">
        <v>19</v>
      </c>
      <c r="I3433" t="s">
        <v>33</v>
      </c>
      <c r="J3433">
        <v>128.9</v>
      </c>
      <c r="K3433">
        <v>2</v>
      </c>
      <c r="L3433">
        <v>0</v>
      </c>
      <c r="M3433">
        <v>15.468</v>
      </c>
    </row>
    <row r="3434" spans="1:13" x14ac:dyDescent="0.3">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
      <c r="A3437" t="s">
        <v>62</v>
      </c>
      <c r="B3437" t="s">
        <v>14</v>
      </c>
      <c r="C3437" t="s">
        <v>15</v>
      </c>
      <c r="D3437" t="s">
        <v>79</v>
      </c>
      <c r="E3437" t="s">
        <v>65</v>
      </c>
      <c r="F3437">
        <v>60610</v>
      </c>
      <c r="G3437" t="s">
        <v>47</v>
      </c>
      <c r="H3437" t="s">
        <v>26</v>
      </c>
      <c r="I3437" t="s">
        <v>37</v>
      </c>
      <c r="J3437">
        <v>15.08</v>
      </c>
      <c r="K3437">
        <v>2</v>
      </c>
      <c r="L3437">
        <v>0.8</v>
      </c>
      <c r="M3437">
        <v>-22.62</v>
      </c>
    </row>
    <row r="3438" spans="1:13" x14ac:dyDescent="0.3">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
      <c r="A3449" t="s">
        <v>28</v>
      </c>
      <c r="B3449" t="s">
        <v>44</v>
      </c>
      <c r="C3449" t="s">
        <v>15</v>
      </c>
      <c r="D3449" t="s">
        <v>190</v>
      </c>
      <c r="E3449" t="s">
        <v>88</v>
      </c>
      <c r="F3449">
        <v>36830</v>
      </c>
      <c r="G3449" t="s">
        <v>18</v>
      </c>
      <c r="H3449" t="s">
        <v>26</v>
      </c>
      <c r="I3449" t="s">
        <v>34</v>
      </c>
      <c r="J3449">
        <v>3.76</v>
      </c>
      <c r="K3449">
        <v>2</v>
      </c>
      <c r="L3449">
        <v>0</v>
      </c>
      <c r="M3449">
        <v>1.0904</v>
      </c>
    </row>
    <row r="3450" spans="1:13" x14ac:dyDescent="0.3">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
      <c r="A3465" t="s">
        <v>28</v>
      </c>
      <c r="B3465" t="s">
        <v>44</v>
      </c>
      <c r="C3465" t="s">
        <v>15</v>
      </c>
      <c r="D3465" t="s">
        <v>189</v>
      </c>
      <c r="E3465" t="s">
        <v>30</v>
      </c>
      <c r="F3465">
        <v>32216</v>
      </c>
      <c r="G3465" t="s">
        <v>18</v>
      </c>
      <c r="H3465" t="s">
        <v>26</v>
      </c>
      <c r="I3465" t="s">
        <v>41</v>
      </c>
      <c r="J3465">
        <v>5.08</v>
      </c>
      <c r="K3465">
        <v>1</v>
      </c>
      <c r="L3465">
        <v>0.2</v>
      </c>
      <c r="M3465">
        <v>1.651</v>
      </c>
    </row>
    <row r="3466" spans="1:13" x14ac:dyDescent="0.3">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
      <c r="A3478" t="s">
        <v>62</v>
      </c>
      <c r="B3478" t="s">
        <v>22</v>
      </c>
      <c r="C3478" t="s">
        <v>15</v>
      </c>
      <c r="D3478" t="s">
        <v>446</v>
      </c>
      <c r="E3478" t="s">
        <v>336</v>
      </c>
      <c r="F3478">
        <v>66212</v>
      </c>
      <c r="G3478" t="s">
        <v>47</v>
      </c>
      <c r="H3478" t="s">
        <v>26</v>
      </c>
      <c r="I3478" t="s">
        <v>37</v>
      </c>
      <c r="J3478">
        <v>152</v>
      </c>
      <c r="K3478">
        <v>5</v>
      </c>
      <c r="L3478">
        <v>0</v>
      </c>
      <c r="M3478">
        <v>69.92</v>
      </c>
    </row>
    <row r="3479" spans="1:13" x14ac:dyDescent="0.3">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
      <c r="A3481" t="s">
        <v>28</v>
      </c>
      <c r="B3481" t="s">
        <v>22</v>
      </c>
      <c r="C3481" t="s">
        <v>15</v>
      </c>
      <c r="D3481" t="s">
        <v>52</v>
      </c>
      <c r="E3481" t="s">
        <v>24</v>
      </c>
      <c r="F3481">
        <v>94110</v>
      </c>
      <c r="G3481" t="s">
        <v>25</v>
      </c>
      <c r="H3481" t="s">
        <v>26</v>
      </c>
      <c r="I3481" t="s">
        <v>41</v>
      </c>
      <c r="J3481">
        <v>45.36</v>
      </c>
      <c r="K3481">
        <v>7</v>
      </c>
      <c r="L3481">
        <v>0</v>
      </c>
      <c r="M3481">
        <v>21.7728</v>
      </c>
    </row>
    <row r="3482" spans="1:13" x14ac:dyDescent="0.3">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
      <c r="A3495" t="s">
        <v>28</v>
      </c>
      <c r="B3495" t="s">
        <v>22</v>
      </c>
      <c r="C3495" t="s">
        <v>15</v>
      </c>
      <c r="D3495" t="s">
        <v>457</v>
      </c>
      <c r="E3495" t="s">
        <v>68</v>
      </c>
      <c r="F3495">
        <v>56301</v>
      </c>
      <c r="G3495" t="s">
        <v>47</v>
      </c>
      <c r="H3495" t="s">
        <v>35</v>
      </c>
      <c r="I3495" t="s">
        <v>59</v>
      </c>
      <c r="J3495">
        <v>72</v>
      </c>
      <c r="K3495">
        <v>4</v>
      </c>
      <c r="L3495">
        <v>0</v>
      </c>
      <c r="M3495">
        <v>12.96</v>
      </c>
    </row>
    <row r="3496" spans="1:13" x14ac:dyDescent="0.3">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
      <c r="A3525" t="s">
        <v>28</v>
      </c>
      <c r="B3525" t="s">
        <v>22</v>
      </c>
      <c r="C3525" t="s">
        <v>15</v>
      </c>
      <c r="D3525" t="s">
        <v>144</v>
      </c>
      <c r="E3525" t="s">
        <v>24</v>
      </c>
      <c r="F3525">
        <v>92105</v>
      </c>
      <c r="G3525" t="s">
        <v>25</v>
      </c>
      <c r="H3525" t="s">
        <v>35</v>
      </c>
      <c r="I3525" t="s">
        <v>59</v>
      </c>
      <c r="J3525">
        <v>116</v>
      </c>
      <c r="K3525">
        <v>8</v>
      </c>
      <c r="L3525">
        <v>0</v>
      </c>
      <c r="M3525">
        <v>29</v>
      </c>
    </row>
    <row r="3526" spans="1:13" x14ac:dyDescent="0.3">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
      <c r="A3530" t="s">
        <v>28</v>
      </c>
      <c r="B3530" t="s">
        <v>14</v>
      </c>
      <c r="C3530" t="s">
        <v>15</v>
      </c>
      <c r="D3530" t="s">
        <v>144</v>
      </c>
      <c r="E3530" t="s">
        <v>24</v>
      </c>
      <c r="F3530">
        <v>92024</v>
      </c>
      <c r="G3530" t="s">
        <v>25</v>
      </c>
      <c r="H3530" t="s">
        <v>35</v>
      </c>
      <c r="I3530" t="s">
        <v>36</v>
      </c>
      <c r="J3530">
        <v>38.24</v>
      </c>
      <c r="K3530">
        <v>4</v>
      </c>
      <c r="L3530">
        <v>0.2</v>
      </c>
      <c r="M3530">
        <v>-9.56</v>
      </c>
    </row>
    <row r="3531" spans="1:13" x14ac:dyDescent="0.3">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
      <c r="A3533" t="s">
        <v>168</v>
      </c>
      <c r="B3533" t="s">
        <v>22</v>
      </c>
      <c r="C3533" t="s">
        <v>15</v>
      </c>
      <c r="D3533" t="s">
        <v>75</v>
      </c>
      <c r="E3533" t="s">
        <v>76</v>
      </c>
      <c r="F3533">
        <v>10035</v>
      </c>
      <c r="G3533" t="s">
        <v>57</v>
      </c>
      <c r="H3533" t="s">
        <v>26</v>
      </c>
      <c r="I3533" t="s">
        <v>110</v>
      </c>
      <c r="J3533">
        <v>54.9</v>
      </c>
      <c r="K3533">
        <v>5</v>
      </c>
      <c r="L3533">
        <v>0</v>
      </c>
      <c r="M3533">
        <v>15.372</v>
      </c>
    </row>
    <row r="3534" spans="1:13" x14ac:dyDescent="0.3">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
      <c r="A3551" t="s">
        <v>62</v>
      </c>
      <c r="B3551" t="s">
        <v>44</v>
      </c>
      <c r="C3551" t="s">
        <v>15</v>
      </c>
      <c r="D3551" t="s">
        <v>182</v>
      </c>
      <c r="E3551" t="s">
        <v>17</v>
      </c>
      <c r="F3551">
        <v>40475</v>
      </c>
      <c r="G3551" t="s">
        <v>18</v>
      </c>
      <c r="H3551" t="s">
        <v>26</v>
      </c>
      <c r="I3551" t="s">
        <v>27</v>
      </c>
      <c r="J3551">
        <v>30</v>
      </c>
      <c r="K3551">
        <v>8</v>
      </c>
      <c r="L3551">
        <v>0</v>
      </c>
      <c r="M3551">
        <v>14.4</v>
      </c>
    </row>
    <row r="3552" spans="1:13" x14ac:dyDescent="0.3">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
      <c r="A3558" t="s">
        <v>28</v>
      </c>
      <c r="B3558" t="s">
        <v>14</v>
      </c>
      <c r="C3558" t="s">
        <v>15</v>
      </c>
      <c r="D3558" t="s">
        <v>23</v>
      </c>
      <c r="E3558" t="s">
        <v>24</v>
      </c>
      <c r="F3558">
        <v>90008</v>
      </c>
      <c r="G3558" t="s">
        <v>25</v>
      </c>
      <c r="H3558" t="s">
        <v>26</v>
      </c>
      <c r="I3558" t="s">
        <v>41</v>
      </c>
      <c r="J3558">
        <v>45.36</v>
      </c>
      <c r="K3558">
        <v>7</v>
      </c>
      <c r="L3558">
        <v>0</v>
      </c>
      <c r="M3558">
        <v>21.7728</v>
      </c>
    </row>
    <row r="3559" spans="1:13" x14ac:dyDescent="0.3">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
      <c r="A3576" t="s">
        <v>28</v>
      </c>
      <c r="B3576" t="s">
        <v>14</v>
      </c>
      <c r="C3576" t="s">
        <v>15</v>
      </c>
      <c r="D3576" t="s">
        <v>159</v>
      </c>
      <c r="E3576" t="s">
        <v>76</v>
      </c>
      <c r="F3576">
        <v>11561</v>
      </c>
      <c r="G3576" t="s">
        <v>57</v>
      </c>
      <c r="H3576" t="s">
        <v>26</v>
      </c>
      <c r="I3576" t="s">
        <v>34</v>
      </c>
      <c r="J3576">
        <v>104.8</v>
      </c>
      <c r="K3576">
        <v>10</v>
      </c>
      <c r="L3576">
        <v>0</v>
      </c>
      <c r="M3576">
        <v>26.2</v>
      </c>
    </row>
    <row r="3577" spans="1:13" x14ac:dyDescent="0.3">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
      <c r="A3585" t="s">
        <v>28</v>
      </c>
      <c r="B3585" t="s">
        <v>22</v>
      </c>
      <c r="C3585" t="s">
        <v>15</v>
      </c>
      <c r="D3585" t="s">
        <v>84</v>
      </c>
      <c r="E3585" t="s">
        <v>70</v>
      </c>
      <c r="F3585">
        <v>49201</v>
      </c>
      <c r="G3585" t="s">
        <v>47</v>
      </c>
      <c r="H3585" t="s">
        <v>19</v>
      </c>
      <c r="I3585" t="s">
        <v>31</v>
      </c>
      <c r="J3585">
        <v>801.96</v>
      </c>
      <c r="K3585">
        <v>2</v>
      </c>
      <c r="L3585">
        <v>0</v>
      </c>
      <c r="M3585">
        <v>200.49</v>
      </c>
    </row>
    <row r="3586" spans="1:13" x14ac:dyDescent="0.3">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
      <c r="A3591" t="s">
        <v>28</v>
      </c>
      <c r="B3591" t="s">
        <v>44</v>
      </c>
      <c r="C3591" t="s">
        <v>15</v>
      </c>
      <c r="D3591" t="s">
        <v>182</v>
      </c>
      <c r="E3591" t="s">
        <v>17</v>
      </c>
      <c r="F3591">
        <v>40475</v>
      </c>
      <c r="G3591" t="s">
        <v>18</v>
      </c>
      <c r="H3591" t="s">
        <v>26</v>
      </c>
      <c r="I3591" t="s">
        <v>37</v>
      </c>
      <c r="J3591">
        <v>2.88</v>
      </c>
      <c r="K3591">
        <v>1</v>
      </c>
      <c r="L3591">
        <v>0</v>
      </c>
      <c r="M3591">
        <v>1.4112</v>
      </c>
    </row>
    <row r="3592" spans="1:13" x14ac:dyDescent="0.3">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
      <c r="A3603" t="s">
        <v>28</v>
      </c>
      <c r="B3603" t="s">
        <v>14</v>
      </c>
      <c r="C3603" t="s">
        <v>15</v>
      </c>
      <c r="D3603" t="s">
        <v>55</v>
      </c>
      <c r="E3603" t="s">
        <v>56</v>
      </c>
      <c r="F3603">
        <v>19143</v>
      </c>
      <c r="G3603" t="s">
        <v>57</v>
      </c>
      <c r="H3603" t="s">
        <v>26</v>
      </c>
      <c r="I3603" t="s">
        <v>41</v>
      </c>
      <c r="J3603">
        <v>12.448</v>
      </c>
      <c r="K3603">
        <v>2</v>
      </c>
      <c r="L3603">
        <v>0.2</v>
      </c>
      <c r="M3603">
        <v>3.89</v>
      </c>
    </row>
    <row r="3604" spans="1:13" x14ac:dyDescent="0.3">
      <c r="A3604" t="s">
        <v>28</v>
      </c>
      <c r="B3604" t="s">
        <v>14</v>
      </c>
      <c r="C3604" t="s">
        <v>15</v>
      </c>
      <c r="D3604" t="s">
        <v>55</v>
      </c>
      <c r="E3604" t="s">
        <v>56</v>
      </c>
      <c r="F3604">
        <v>19143</v>
      </c>
      <c r="G3604" t="s">
        <v>57</v>
      </c>
      <c r="H3604" t="s">
        <v>19</v>
      </c>
      <c r="I3604" t="s">
        <v>21</v>
      </c>
      <c r="J3604">
        <v>657.93</v>
      </c>
      <c r="K3604">
        <v>5</v>
      </c>
      <c r="L3604">
        <v>0.3</v>
      </c>
      <c r="M3604">
        <v>-93.99</v>
      </c>
    </row>
    <row r="3605" spans="1:13" x14ac:dyDescent="0.3">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
      <c r="A3608" t="s">
        <v>13</v>
      </c>
      <c r="B3608" t="s">
        <v>14</v>
      </c>
      <c r="C3608" t="s">
        <v>15</v>
      </c>
      <c r="D3608" t="s">
        <v>75</v>
      </c>
      <c r="E3608" t="s">
        <v>76</v>
      </c>
      <c r="F3608">
        <v>10024</v>
      </c>
      <c r="G3608" t="s">
        <v>57</v>
      </c>
      <c r="H3608" t="s">
        <v>26</v>
      </c>
      <c r="I3608" t="s">
        <v>60</v>
      </c>
      <c r="J3608">
        <v>29.34</v>
      </c>
      <c r="K3608">
        <v>3</v>
      </c>
      <c r="L3608">
        <v>0</v>
      </c>
      <c r="M3608">
        <v>13.4964</v>
      </c>
    </row>
    <row r="3609" spans="1:13" x14ac:dyDescent="0.3">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
      <c r="A3620" t="s">
        <v>28</v>
      </c>
      <c r="B3620" t="s">
        <v>14</v>
      </c>
      <c r="C3620" t="s">
        <v>15</v>
      </c>
      <c r="D3620" t="s">
        <v>23</v>
      </c>
      <c r="E3620" t="s">
        <v>24</v>
      </c>
      <c r="F3620">
        <v>90004</v>
      </c>
      <c r="G3620" t="s">
        <v>25</v>
      </c>
      <c r="H3620" t="s">
        <v>35</v>
      </c>
      <c r="I3620" t="s">
        <v>36</v>
      </c>
      <c r="J3620">
        <v>5.56</v>
      </c>
      <c r="K3620">
        <v>1</v>
      </c>
      <c r="L3620">
        <v>0.2</v>
      </c>
      <c r="M3620">
        <v>1.7375</v>
      </c>
    </row>
    <row r="3621" spans="1:13" x14ac:dyDescent="0.3">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
      <c r="A3628" t="s">
        <v>13</v>
      </c>
      <c r="B3628" t="s">
        <v>44</v>
      </c>
      <c r="C3628" t="s">
        <v>15</v>
      </c>
      <c r="D3628" t="s">
        <v>52</v>
      </c>
      <c r="E3628" t="s">
        <v>24</v>
      </c>
      <c r="F3628">
        <v>94109</v>
      </c>
      <c r="G3628" t="s">
        <v>25</v>
      </c>
      <c r="H3628" t="s">
        <v>26</v>
      </c>
      <c r="I3628" t="s">
        <v>34</v>
      </c>
      <c r="J3628">
        <v>5.58</v>
      </c>
      <c r="K3628">
        <v>1</v>
      </c>
      <c r="L3628">
        <v>0</v>
      </c>
      <c r="M3628">
        <v>1.395</v>
      </c>
    </row>
    <row r="3629" spans="1:13" x14ac:dyDescent="0.3">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
      <c r="A3645" t="s">
        <v>13</v>
      </c>
      <c r="B3645" t="s">
        <v>14</v>
      </c>
      <c r="C3645" t="s">
        <v>15</v>
      </c>
      <c r="D3645" t="s">
        <v>23</v>
      </c>
      <c r="E3645" t="s">
        <v>24</v>
      </c>
      <c r="F3645">
        <v>90008</v>
      </c>
      <c r="G3645" t="s">
        <v>25</v>
      </c>
      <c r="H3645" t="s">
        <v>26</v>
      </c>
      <c r="I3645" t="s">
        <v>34</v>
      </c>
      <c r="J3645">
        <v>47.3</v>
      </c>
      <c r="K3645">
        <v>2</v>
      </c>
      <c r="L3645">
        <v>0</v>
      </c>
      <c r="M3645">
        <v>12.298</v>
      </c>
    </row>
    <row r="3646" spans="1:13" x14ac:dyDescent="0.3">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
      <c r="A3660" t="s">
        <v>28</v>
      </c>
      <c r="B3660" t="s">
        <v>22</v>
      </c>
      <c r="C3660" t="s">
        <v>15</v>
      </c>
      <c r="D3660" t="s">
        <v>459</v>
      </c>
      <c r="E3660" t="s">
        <v>30</v>
      </c>
      <c r="F3660">
        <v>33317</v>
      </c>
      <c r="G3660" t="s">
        <v>18</v>
      </c>
      <c r="H3660" t="s">
        <v>19</v>
      </c>
      <c r="I3660" t="s">
        <v>33</v>
      </c>
      <c r="J3660">
        <v>30.88</v>
      </c>
      <c r="K3660">
        <v>4</v>
      </c>
      <c r="L3660">
        <v>0.2</v>
      </c>
      <c r="M3660">
        <v>3.86</v>
      </c>
    </row>
    <row r="3661" spans="1:13" x14ac:dyDescent="0.3">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
      <c r="A3679" t="s">
        <v>28</v>
      </c>
      <c r="B3679" t="s">
        <v>14</v>
      </c>
      <c r="C3679" t="s">
        <v>15</v>
      </c>
      <c r="D3679" t="s">
        <v>268</v>
      </c>
      <c r="E3679" t="s">
        <v>248</v>
      </c>
      <c r="F3679">
        <v>20735</v>
      </c>
      <c r="G3679" t="s">
        <v>57</v>
      </c>
      <c r="H3679" t="s">
        <v>26</v>
      </c>
      <c r="I3679" t="s">
        <v>77</v>
      </c>
      <c r="J3679">
        <v>15.8</v>
      </c>
      <c r="K3679">
        <v>4</v>
      </c>
      <c r="L3679">
        <v>0</v>
      </c>
      <c r="M3679">
        <v>5.056</v>
      </c>
    </row>
    <row r="3680" spans="1:13" x14ac:dyDescent="0.3">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
      <c r="A3696" t="s">
        <v>28</v>
      </c>
      <c r="B3696" t="s">
        <v>22</v>
      </c>
      <c r="C3696" t="s">
        <v>15</v>
      </c>
      <c r="D3696" t="s">
        <v>82</v>
      </c>
      <c r="E3696" t="s">
        <v>83</v>
      </c>
      <c r="F3696">
        <v>22153</v>
      </c>
      <c r="G3696" t="s">
        <v>18</v>
      </c>
      <c r="H3696" t="s">
        <v>26</v>
      </c>
      <c r="I3696" t="s">
        <v>37</v>
      </c>
      <c r="J3696">
        <v>232.96</v>
      </c>
      <c r="K3696">
        <v>7</v>
      </c>
      <c r="L3696">
        <v>0</v>
      </c>
      <c r="M3696">
        <v>116.48</v>
      </c>
    </row>
    <row r="3697" spans="1:13" x14ac:dyDescent="0.3">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
      <c r="A3698" t="s">
        <v>28</v>
      </c>
      <c r="B3698" t="s">
        <v>22</v>
      </c>
      <c r="C3698" t="s">
        <v>15</v>
      </c>
      <c r="D3698" t="s">
        <v>82</v>
      </c>
      <c r="E3698" t="s">
        <v>83</v>
      </c>
      <c r="F3698">
        <v>22153</v>
      </c>
      <c r="G3698" t="s">
        <v>18</v>
      </c>
      <c r="H3698" t="s">
        <v>26</v>
      </c>
      <c r="I3698" t="s">
        <v>38</v>
      </c>
      <c r="J3698">
        <v>43.26</v>
      </c>
      <c r="K3698">
        <v>3</v>
      </c>
      <c r="L3698">
        <v>0</v>
      </c>
      <c r="M3698">
        <v>14.2758</v>
      </c>
    </row>
    <row r="3699" spans="1:13" x14ac:dyDescent="0.3">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
      <c r="A3707" t="s">
        <v>28</v>
      </c>
      <c r="B3707" t="s">
        <v>22</v>
      </c>
      <c r="C3707" t="s">
        <v>15</v>
      </c>
      <c r="D3707" t="s">
        <v>87</v>
      </c>
      <c r="E3707" t="s">
        <v>88</v>
      </c>
      <c r="F3707">
        <v>35601</v>
      </c>
      <c r="G3707" t="s">
        <v>18</v>
      </c>
      <c r="H3707" t="s">
        <v>26</v>
      </c>
      <c r="I3707" t="s">
        <v>41</v>
      </c>
      <c r="J3707">
        <v>32.4</v>
      </c>
      <c r="K3707">
        <v>5</v>
      </c>
      <c r="L3707">
        <v>0</v>
      </c>
      <c r="M3707">
        <v>15.552</v>
      </c>
    </row>
    <row r="3708" spans="1:13" x14ac:dyDescent="0.3">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
      <c r="A3718" t="s">
        <v>28</v>
      </c>
      <c r="B3718" t="s">
        <v>44</v>
      </c>
      <c r="C3718" t="s">
        <v>15</v>
      </c>
      <c r="D3718" t="s">
        <v>238</v>
      </c>
      <c r="E3718" t="s">
        <v>54</v>
      </c>
      <c r="F3718">
        <v>68104</v>
      </c>
      <c r="G3718" t="s">
        <v>47</v>
      </c>
      <c r="H3718" t="s">
        <v>26</v>
      </c>
      <c r="I3718" t="s">
        <v>77</v>
      </c>
      <c r="J3718">
        <v>23.55</v>
      </c>
      <c r="K3718">
        <v>5</v>
      </c>
      <c r="L3718">
        <v>0</v>
      </c>
      <c r="M3718">
        <v>1.1775</v>
      </c>
    </row>
    <row r="3719" spans="1:13" x14ac:dyDescent="0.3">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
      <c r="A3727" t="s">
        <v>28</v>
      </c>
      <c r="B3727" t="s">
        <v>22</v>
      </c>
      <c r="C3727" t="s">
        <v>15</v>
      </c>
      <c r="D3727" t="s">
        <v>134</v>
      </c>
      <c r="E3727" t="s">
        <v>98</v>
      </c>
      <c r="F3727">
        <v>80219</v>
      </c>
      <c r="G3727" t="s">
        <v>25</v>
      </c>
      <c r="H3727" t="s">
        <v>26</v>
      </c>
      <c r="I3727" t="s">
        <v>38</v>
      </c>
      <c r="J3727">
        <v>18.72</v>
      </c>
      <c r="K3727">
        <v>2</v>
      </c>
      <c r="L3727">
        <v>0.2</v>
      </c>
      <c r="M3727">
        <v>3.51</v>
      </c>
    </row>
    <row r="3728" spans="1:13" x14ac:dyDescent="0.3">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
      <c r="A3729" t="s">
        <v>28</v>
      </c>
      <c r="B3729" t="s">
        <v>14</v>
      </c>
      <c r="C3729" t="s">
        <v>15</v>
      </c>
      <c r="D3729" t="s">
        <v>114</v>
      </c>
      <c r="E3729" t="s">
        <v>72</v>
      </c>
      <c r="F3729">
        <v>19711</v>
      </c>
      <c r="G3729" t="s">
        <v>57</v>
      </c>
      <c r="H3729" t="s">
        <v>26</v>
      </c>
      <c r="I3729" t="s">
        <v>34</v>
      </c>
      <c r="J3729">
        <v>11.16</v>
      </c>
      <c r="K3729">
        <v>2</v>
      </c>
      <c r="L3729">
        <v>0</v>
      </c>
      <c r="M3729">
        <v>2.79</v>
      </c>
    </row>
    <row r="3730" spans="1:13" x14ac:dyDescent="0.3">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
      <c r="A3732" t="s">
        <v>28</v>
      </c>
      <c r="B3732" t="s">
        <v>22</v>
      </c>
      <c r="C3732" t="s">
        <v>15</v>
      </c>
      <c r="D3732" t="s">
        <v>268</v>
      </c>
      <c r="E3732" t="s">
        <v>248</v>
      </c>
      <c r="F3732">
        <v>20735</v>
      </c>
      <c r="G3732" t="s">
        <v>57</v>
      </c>
      <c r="H3732" t="s">
        <v>26</v>
      </c>
      <c r="I3732" t="s">
        <v>32</v>
      </c>
      <c r="J3732">
        <v>636.86</v>
      </c>
      <c r="K3732">
        <v>7</v>
      </c>
      <c r="L3732">
        <v>0</v>
      </c>
      <c r="M3732">
        <v>0</v>
      </c>
    </row>
    <row r="3733" spans="1:13" x14ac:dyDescent="0.3">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
      <c r="A3736" t="s">
        <v>13</v>
      </c>
      <c r="B3736" t="s">
        <v>14</v>
      </c>
      <c r="C3736" t="s">
        <v>15</v>
      </c>
      <c r="D3736" t="s">
        <v>75</v>
      </c>
      <c r="E3736" t="s">
        <v>76</v>
      </c>
      <c r="F3736">
        <v>10011</v>
      </c>
      <c r="G3736" t="s">
        <v>57</v>
      </c>
      <c r="H3736" t="s">
        <v>26</v>
      </c>
      <c r="I3736" t="s">
        <v>41</v>
      </c>
      <c r="J3736">
        <v>26.38</v>
      </c>
      <c r="K3736">
        <v>1</v>
      </c>
      <c r="L3736">
        <v>0</v>
      </c>
      <c r="M3736">
        <v>12.1348</v>
      </c>
    </row>
    <row r="3737" spans="1:13" x14ac:dyDescent="0.3">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
      <c r="A3740" t="s">
        <v>28</v>
      </c>
      <c r="B3740" t="s">
        <v>14</v>
      </c>
      <c r="C3740" t="s">
        <v>15</v>
      </c>
      <c r="D3740" t="s">
        <v>84</v>
      </c>
      <c r="E3740" t="s">
        <v>70</v>
      </c>
      <c r="F3740">
        <v>49201</v>
      </c>
      <c r="G3740" t="s">
        <v>47</v>
      </c>
      <c r="H3740" t="s">
        <v>35</v>
      </c>
      <c r="I3740" t="s">
        <v>36</v>
      </c>
      <c r="J3740">
        <v>10.9</v>
      </c>
      <c r="K3740">
        <v>1</v>
      </c>
      <c r="L3740">
        <v>0</v>
      </c>
      <c r="M3740">
        <v>3.052</v>
      </c>
    </row>
    <row r="3741" spans="1:13" x14ac:dyDescent="0.3">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
      <c r="A3749" t="s">
        <v>13</v>
      </c>
      <c r="B3749" t="s">
        <v>22</v>
      </c>
      <c r="C3749" t="s">
        <v>15</v>
      </c>
      <c r="D3749" t="s">
        <v>149</v>
      </c>
      <c r="E3749" t="s">
        <v>24</v>
      </c>
      <c r="F3749">
        <v>90301</v>
      </c>
      <c r="G3749" t="s">
        <v>25</v>
      </c>
      <c r="H3749" t="s">
        <v>19</v>
      </c>
      <c r="I3749" t="s">
        <v>33</v>
      </c>
      <c r="J3749">
        <v>198.46</v>
      </c>
      <c r="K3749">
        <v>2</v>
      </c>
      <c r="L3749">
        <v>0</v>
      </c>
      <c r="M3749">
        <v>99.23</v>
      </c>
    </row>
    <row r="3750" spans="1:13" x14ac:dyDescent="0.3">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
      <c r="A3792" t="s">
        <v>28</v>
      </c>
      <c r="B3792" t="s">
        <v>44</v>
      </c>
      <c r="C3792" t="s">
        <v>15</v>
      </c>
      <c r="D3792" t="s">
        <v>23</v>
      </c>
      <c r="E3792" t="s">
        <v>24</v>
      </c>
      <c r="F3792">
        <v>90004</v>
      </c>
      <c r="G3792" t="s">
        <v>25</v>
      </c>
      <c r="H3792" t="s">
        <v>26</v>
      </c>
      <c r="I3792" t="s">
        <v>37</v>
      </c>
      <c r="J3792">
        <v>180.96</v>
      </c>
      <c r="K3792">
        <v>6</v>
      </c>
      <c r="L3792">
        <v>0.2</v>
      </c>
      <c r="M3792">
        <v>67.86</v>
      </c>
    </row>
    <row r="3793" spans="1:13" x14ac:dyDescent="0.3">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
      <c r="A3808" t="s">
        <v>28</v>
      </c>
      <c r="B3808" t="s">
        <v>22</v>
      </c>
      <c r="C3808" t="s">
        <v>15</v>
      </c>
      <c r="D3808" t="s">
        <v>459</v>
      </c>
      <c r="E3808" t="s">
        <v>30</v>
      </c>
      <c r="F3808">
        <v>33317</v>
      </c>
      <c r="G3808" t="s">
        <v>18</v>
      </c>
      <c r="H3808" t="s">
        <v>26</v>
      </c>
      <c r="I3808" t="s">
        <v>34</v>
      </c>
      <c r="J3808">
        <v>11.76</v>
      </c>
      <c r="K3808">
        <v>5</v>
      </c>
      <c r="L3808">
        <v>0.2</v>
      </c>
      <c r="M3808">
        <v>1.323</v>
      </c>
    </row>
    <row r="3809" spans="1:13" x14ac:dyDescent="0.3">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
      <c r="A3819" t="s">
        <v>28</v>
      </c>
      <c r="B3819" t="s">
        <v>14</v>
      </c>
      <c r="C3819" t="s">
        <v>15</v>
      </c>
      <c r="D3819" t="s">
        <v>301</v>
      </c>
      <c r="E3819" t="s">
        <v>88</v>
      </c>
      <c r="F3819">
        <v>36608</v>
      </c>
      <c r="G3819" t="s">
        <v>18</v>
      </c>
      <c r="H3819" t="s">
        <v>35</v>
      </c>
      <c r="I3819" t="s">
        <v>36</v>
      </c>
      <c r="J3819">
        <v>59.97</v>
      </c>
      <c r="K3819">
        <v>3</v>
      </c>
      <c r="L3819">
        <v>0</v>
      </c>
      <c r="M3819">
        <v>0</v>
      </c>
    </row>
    <row r="3820" spans="1:13" x14ac:dyDescent="0.3">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
      <c r="A3831" t="s">
        <v>28</v>
      </c>
      <c r="B3831" t="s">
        <v>22</v>
      </c>
      <c r="C3831" t="s">
        <v>15</v>
      </c>
      <c r="D3831" t="s">
        <v>140</v>
      </c>
      <c r="E3831" t="s">
        <v>70</v>
      </c>
      <c r="F3831">
        <v>48234</v>
      </c>
      <c r="G3831" t="s">
        <v>47</v>
      </c>
      <c r="H3831" t="s">
        <v>19</v>
      </c>
      <c r="I3831" t="s">
        <v>21</v>
      </c>
      <c r="J3831">
        <v>476.8</v>
      </c>
      <c r="K3831">
        <v>2</v>
      </c>
      <c r="L3831">
        <v>0</v>
      </c>
      <c r="M3831">
        <v>119.2</v>
      </c>
    </row>
    <row r="3832" spans="1:13" x14ac:dyDescent="0.3">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
      <c r="A3849" t="s">
        <v>13</v>
      </c>
      <c r="B3849" t="s">
        <v>44</v>
      </c>
      <c r="C3849" t="s">
        <v>15</v>
      </c>
      <c r="D3849" t="s">
        <v>186</v>
      </c>
      <c r="E3849" t="s">
        <v>70</v>
      </c>
      <c r="F3849">
        <v>48187</v>
      </c>
      <c r="G3849" t="s">
        <v>47</v>
      </c>
      <c r="H3849" t="s">
        <v>26</v>
      </c>
      <c r="I3849" t="s">
        <v>32</v>
      </c>
      <c r="J3849">
        <v>501.81</v>
      </c>
      <c r="K3849">
        <v>3</v>
      </c>
      <c r="L3849">
        <v>0</v>
      </c>
      <c r="M3849">
        <v>0</v>
      </c>
    </row>
    <row r="3850" spans="1:13" x14ac:dyDescent="0.3">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
      <c r="A3856" t="s">
        <v>28</v>
      </c>
      <c r="B3856" t="s">
        <v>44</v>
      </c>
      <c r="C3856" t="s">
        <v>15</v>
      </c>
      <c r="D3856" t="s">
        <v>52</v>
      </c>
      <c r="E3856" t="s">
        <v>24</v>
      </c>
      <c r="F3856">
        <v>94122</v>
      </c>
      <c r="G3856" t="s">
        <v>25</v>
      </c>
      <c r="H3856" t="s">
        <v>26</v>
      </c>
      <c r="I3856" t="s">
        <v>32</v>
      </c>
      <c r="J3856">
        <v>26.4</v>
      </c>
      <c r="K3856">
        <v>5</v>
      </c>
      <c r="L3856">
        <v>0</v>
      </c>
      <c r="M3856">
        <v>0</v>
      </c>
    </row>
    <row r="3857" spans="1:13" x14ac:dyDescent="0.3">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
      <c r="A3865" t="s">
        <v>13</v>
      </c>
      <c r="B3865" t="s">
        <v>14</v>
      </c>
      <c r="C3865" t="s">
        <v>15</v>
      </c>
      <c r="D3865" t="s">
        <v>144</v>
      </c>
      <c r="E3865" t="s">
        <v>24</v>
      </c>
      <c r="F3865">
        <v>92037</v>
      </c>
      <c r="G3865" t="s">
        <v>25</v>
      </c>
      <c r="H3865" t="s">
        <v>26</v>
      </c>
      <c r="I3865" t="s">
        <v>34</v>
      </c>
      <c r="J3865">
        <v>10.64</v>
      </c>
      <c r="K3865">
        <v>4</v>
      </c>
      <c r="L3865">
        <v>0</v>
      </c>
      <c r="M3865">
        <v>2.7664</v>
      </c>
    </row>
    <row r="3866" spans="1:13" x14ac:dyDescent="0.3">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
      <c r="A3867" t="s">
        <v>13</v>
      </c>
      <c r="B3867" t="s">
        <v>14</v>
      </c>
      <c r="C3867" t="s">
        <v>15</v>
      </c>
      <c r="D3867" t="s">
        <v>52</v>
      </c>
      <c r="E3867" t="s">
        <v>24</v>
      </c>
      <c r="F3867">
        <v>94122</v>
      </c>
      <c r="G3867" t="s">
        <v>25</v>
      </c>
      <c r="H3867" t="s">
        <v>35</v>
      </c>
      <c r="I3867" t="s">
        <v>59</v>
      </c>
      <c r="J3867">
        <v>238</v>
      </c>
      <c r="K3867">
        <v>2</v>
      </c>
      <c r="L3867">
        <v>0</v>
      </c>
      <c r="M3867">
        <v>38.08</v>
      </c>
    </row>
    <row r="3868" spans="1:13" x14ac:dyDescent="0.3">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
      <c r="A3878" t="s">
        <v>13</v>
      </c>
      <c r="B3878" t="s">
        <v>14</v>
      </c>
      <c r="C3878" t="s">
        <v>15</v>
      </c>
      <c r="D3878" t="s">
        <v>357</v>
      </c>
      <c r="E3878" t="s">
        <v>86</v>
      </c>
      <c r="F3878">
        <v>37604</v>
      </c>
      <c r="G3878" t="s">
        <v>18</v>
      </c>
      <c r="H3878" t="s">
        <v>26</v>
      </c>
      <c r="I3878" t="s">
        <v>41</v>
      </c>
      <c r="J3878">
        <v>10.272</v>
      </c>
      <c r="K3878">
        <v>3</v>
      </c>
      <c r="L3878">
        <v>0.2</v>
      </c>
      <c r="M3878">
        <v>3.21</v>
      </c>
    </row>
    <row r="3879" spans="1:13" x14ac:dyDescent="0.3">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
      <c r="A3889" t="s">
        <v>28</v>
      </c>
      <c r="B3889" t="s">
        <v>14</v>
      </c>
      <c r="C3889" t="s">
        <v>15</v>
      </c>
      <c r="D3889" t="s">
        <v>270</v>
      </c>
      <c r="E3889" t="s">
        <v>167</v>
      </c>
      <c r="F3889">
        <v>30076</v>
      </c>
      <c r="G3889" t="s">
        <v>18</v>
      </c>
      <c r="H3889" t="s">
        <v>26</v>
      </c>
      <c r="I3889" t="s">
        <v>34</v>
      </c>
      <c r="J3889">
        <v>8.56</v>
      </c>
      <c r="K3889">
        <v>2</v>
      </c>
      <c r="L3889">
        <v>0</v>
      </c>
      <c r="M3889">
        <v>2.6536</v>
      </c>
    </row>
    <row r="3890" spans="1:13" x14ac:dyDescent="0.3">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
      <c r="A3892" t="s">
        <v>28</v>
      </c>
      <c r="B3892" t="s">
        <v>22</v>
      </c>
      <c r="C3892" t="s">
        <v>15</v>
      </c>
      <c r="D3892" t="s">
        <v>23</v>
      </c>
      <c r="E3892" t="s">
        <v>24</v>
      </c>
      <c r="F3892">
        <v>90036</v>
      </c>
      <c r="G3892" t="s">
        <v>25</v>
      </c>
      <c r="H3892" t="s">
        <v>35</v>
      </c>
      <c r="I3892" t="s">
        <v>59</v>
      </c>
      <c r="J3892">
        <v>659.9</v>
      </c>
      <c r="K3892">
        <v>2</v>
      </c>
      <c r="L3892">
        <v>0</v>
      </c>
      <c r="M3892">
        <v>217.767</v>
      </c>
    </row>
    <row r="3893" spans="1:13" x14ac:dyDescent="0.3">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
      <c r="A3897" t="s">
        <v>28</v>
      </c>
      <c r="B3897" t="s">
        <v>44</v>
      </c>
      <c r="C3897" t="s">
        <v>15</v>
      </c>
      <c r="D3897" t="s">
        <v>469</v>
      </c>
      <c r="E3897" t="s">
        <v>197</v>
      </c>
      <c r="F3897">
        <v>71854</v>
      </c>
      <c r="G3897" t="s">
        <v>18</v>
      </c>
      <c r="H3897" t="s">
        <v>35</v>
      </c>
      <c r="I3897" t="s">
        <v>59</v>
      </c>
      <c r="J3897">
        <v>48.9</v>
      </c>
      <c r="K3897">
        <v>5</v>
      </c>
      <c r="L3897">
        <v>0</v>
      </c>
      <c r="M3897">
        <v>18.093</v>
      </c>
    </row>
    <row r="3898" spans="1:13" x14ac:dyDescent="0.3">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
      <c r="A3935" t="s">
        <v>28</v>
      </c>
      <c r="B3935" t="s">
        <v>14</v>
      </c>
      <c r="C3935" t="s">
        <v>15</v>
      </c>
      <c r="D3935" t="s">
        <v>418</v>
      </c>
      <c r="E3935" t="s">
        <v>24</v>
      </c>
      <c r="F3935">
        <v>93309</v>
      </c>
      <c r="G3935" t="s">
        <v>25</v>
      </c>
      <c r="H3935" t="s">
        <v>26</v>
      </c>
      <c r="I3935" t="s">
        <v>34</v>
      </c>
      <c r="J3935">
        <v>9.4</v>
      </c>
      <c r="K3935">
        <v>5</v>
      </c>
      <c r="L3935">
        <v>0</v>
      </c>
      <c r="M3935">
        <v>2.726</v>
      </c>
    </row>
    <row r="3936" spans="1:13" x14ac:dyDescent="0.3">
      <c r="A3936" t="s">
        <v>28</v>
      </c>
      <c r="B3936" t="s">
        <v>14</v>
      </c>
      <c r="C3936" t="s">
        <v>15</v>
      </c>
      <c r="D3936" t="s">
        <v>418</v>
      </c>
      <c r="E3936" t="s">
        <v>24</v>
      </c>
      <c r="F3936">
        <v>93309</v>
      </c>
      <c r="G3936" t="s">
        <v>25</v>
      </c>
      <c r="H3936" t="s">
        <v>26</v>
      </c>
      <c r="I3936" t="s">
        <v>27</v>
      </c>
      <c r="J3936">
        <v>74</v>
      </c>
      <c r="K3936">
        <v>5</v>
      </c>
      <c r="L3936">
        <v>0</v>
      </c>
      <c r="M3936">
        <v>37</v>
      </c>
    </row>
    <row r="3937" spans="1:13" x14ac:dyDescent="0.3">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
      <c r="A3957" t="s">
        <v>28</v>
      </c>
      <c r="B3957" t="s">
        <v>14</v>
      </c>
      <c r="C3957" t="s">
        <v>15</v>
      </c>
      <c r="D3957" t="s">
        <v>140</v>
      </c>
      <c r="E3957" t="s">
        <v>70</v>
      </c>
      <c r="F3957">
        <v>48205</v>
      </c>
      <c r="G3957" t="s">
        <v>47</v>
      </c>
      <c r="H3957" t="s">
        <v>26</v>
      </c>
      <c r="I3957" t="s">
        <v>34</v>
      </c>
      <c r="J3957">
        <v>79.36</v>
      </c>
      <c r="K3957">
        <v>4</v>
      </c>
      <c r="L3957">
        <v>0</v>
      </c>
      <c r="M3957">
        <v>23.808</v>
      </c>
    </row>
    <row r="3958" spans="1:13" x14ac:dyDescent="0.3">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
      <c r="A3965" t="s">
        <v>62</v>
      </c>
      <c r="B3965" t="s">
        <v>44</v>
      </c>
      <c r="C3965" t="s">
        <v>15</v>
      </c>
      <c r="D3965" t="s">
        <v>23</v>
      </c>
      <c r="E3965" t="s">
        <v>24</v>
      </c>
      <c r="F3965">
        <v>90045</v>
      </c>
      <c r="G3965" t="s">
        <v>25</v>
      </c>
      <c r="H3965" t="s">
        <v>19</v>
      </c>
      <c r="I3965" t="s">
        <v>33</v>
      </c>
      <c r="J3965">
        <v>44.67</v>
      </c>
      <c r="K3965">
        <v>3</v>
      </c>
      <c r="L3965">
        <v>0</v>
      </c>
      <c r="M3965">
        <v>12.0609</v>
      </c>
    </row>
    <row r="3966" spans="1:13" x14ac:dyDescent="0.3">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
      <c r="A3968" t="s">
        <v>28</v>
      </c>
      <c r="B3968" t="s">
        <v>14</v>
      </c>
      <c r="C3968" t="s">
        <v>15</v>
      </c>
      <c r="D3968" t="s">
        <v>75</v>
      </c>
      <c r="E3968" t="s">
        <v>76</v>
      </c>
      <c r="F3968">
        <v>10024</v>
      </c>
      <c r="G3968" t="s">
        <v>57</v>
      </c>
      <c r="H3968" t="s">
        <v>26</v>
      </c>
      <c r="I3968" t="s">
        <v>34</v>
      </c>
      <c r="J3968">
        <v>88.04</v>
      </c>
      <c r="K3968">
        <v>4</v>
      </c>
      <c r="L3968">
        <v>0</v>
      </c>
      <c r="M3968">
        <v>22.8904</v>
      </c>
    </row>
    <row r="3969" spans="1:13" x14ac:dyDescent="0.3">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
      <c r="A3971" t="s">
        <v>28</v>
      </c>
      <c r="B3971" t="s">
        <v>22</v>
      </c>
      <c r="C3971" t="s">
        <v>15</v>
      </c>
      <c r="D3971" t="s">
        <v>122</v>
      </c>
      <c r="E3971" t="s">
        <v>46</v>
      </c>
      <c r="F3971">
        <v>78207</v>
      </c>
      <c r="G3971" t="s">
        <v>47</v>
      </c>
      <c r="H3971" t="s">
        <v>26</v>
      </c>
      <c r="I3971" t="s">
        <v>41</v>
      </c>
      <c r="J3971">
        <v>42.24</v>
      </c>
      <c r="K3971">
        <v>10</v>
      </c>
      <c r="L3971">
        <v>0.2</v>
      </c>
      <c r="M3971">
        <v>13.2</v>
      </c>
    </row>
    <row r="3972" spans="1:13" x14ac:dyDescent="0.3">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
      <c r="A3974" t="s">
        <v>28</v>
      </c>
      <c r="B3974" t="s">
        <v>14</v>
      </c>
      <c r="C3974" t="s">
        <v>15</v>
      </c>
      <c r="D3974" t="s">
        <v>75</v>
      </c>
      <c r="E3974" t="s">
        <v>76</v>
      </c>
      <c r="F3974">
        <v>10009</v>
      </c>
      <c r="G3974" t="s">
        <v>57</v>
      </c>
      <c r="H3974" t="s">
        <v>26</v>
      </c>
      <c r="I3974" t="s">
        <v>41</v>
      </c>
      <c r="J3974">
        <v>13.48</v>
      </c>
      <c r="K3974">
        <v>2</v>
      </c>
      <c r="L3974">
        <v>0</v>
      </c>
      <c r="M3974">
        <v>6.74</v>
      </c>
    </row>
    <row r="3975" spans="1:13" x14ac:dyDescent="0.3">
      <c r="A3975" t="s">
        <v>28</v>
      </c>
      <c r="B3975" t="s">
        <v>14</v>
      </c>
      <c r="C3975" t="s">
        <v>15</v>
      </c>
      <c r="D3975" t="s">
        <v>75</v>
      </c>
      <c r="E3975" t="s">
        <v>76</v>
      </c>
      <c r="F3975">
        <v>10009</v>
      </c>
      <c r="G3975" t="s">
        <v>57</v>
      </c>
      <c r="H3975" t="s">
        <v>26</v>
      </c>
      <c r="I3975" t="s">
        <v>37</v>
      </c>
      <c r="J3975">
        <v>29.8</v>
      </c>
      <c r="K3975">
        <v>5</v>
      </c>
      <c r="L3975">
        <v>0.2</v>
      </c>
      <c r="M3975">
        <v>9.3125</v>
      </c>
    </row>
    <row r="3976" spans="1:13" x14ac:dyDescent="0.3">
      <c r="A3976" t="s">
        <v>28</v>
      </c>
      <c r="B3976" t="s">
        <v>14</v>
      </c>
      <c r="C3976" t="s">
        <v>15</v>
      </c>
      <c r="D3976" t="s">
        <v>75</v>
      </c>
      <c r="E3976" t="s">
        <v>76</v>
      </c>
      <c r="F3976">
        <v>10009</v>
      </c>
      <c r="G3976" t="s">
        <v>57</v>
      </c>
      <c r="H3976" t="s">
        <v>19</v>
      </c>
      <c r="I3976" t="s">
        <v>33</v>
      </c>
      <c r="J3976">
        <v>414</v>
      </c>
      <c r="K3976">
        <v>8</v>
      </c>
      <c r="L3976">
        <v>0</v>
      </c>
      <c r="M3976">
        <v>124.2</v>
      </c>
    </row>
    <row r="3977" spans="1:13" x14ac:dyDescent="0.3">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
      <c r="A3982" t="s">
        <v>28</v>
      </c>
      <c r="B3982" t="s">
        <v>22</v>
      </c>
      <c r="C3982" t="s">
        <v>15</v>
      </c>
      <c r="D3982" t="s">
        <v>75</v>
      </c>
      <c r="E3982" t="s">
        <v>76</v>
      </c>
      <c r="F3982">
        <v>10024</v>
      </c>
      <c r="G3982" t="s">
        <v>57</v>
      </c>
      <c r="H3982" t="s">
        <v>26</v>
      </c>
      <c r="I3982" t="s">
        <v>38</v>
      </c>
      <c r="J3982">
        <v>56.52</v>
      </c>
      <c r="K3982">
        <v>3</v>
      </c>
      <c r="L3982">
        <v>0</v>
      </c>
      <c r="M3982">
        <v>15.8256</v>
      </c>
    </row>
    <row r="3983" spans="1:13" x14ac:dyDescent="0.3">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
      <c r="A3986" t="s">
        <v>13</v>
      </c>
      <c r="B3986" t="s">
        <v>14</v>
      </c>
      <c r="C3986" t="s">
        <v>15</v>
      </c>
      <c r="D3986" t="s">
        <v>23</v>
      </c>
      <c r="E3986" t="s">
        <v>24</v>
      </c>
      <c r="F3986">
        <v>90045</v>
      </c>
      <c r="G3986" t="s">
        <v>25</v>
      </c>
      <c r="H3986" t="s">
        <v>26</v>
      </c>
      <c r="I3986" t="s">
        <v>41</v>
      </c>
      <c r="J3986">
        <v>48.94</v>
      </c>
      <c r="K3986">
        <v>1</v>
      </c>
      <c r="L3986">
        <v>0</v>
      </c>
      <c r="M3986">
        <v>24.47</v>
      </c>
    </row>
    <row r="3987" spans="1:13" x14ac:dyDescent="0.3">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
      <c r="A3990" t="s">
        <v>28</v>
      </c>
      <c r="B3990" t="s">
        <v>22</v>
      </c>
      <c r="C3990" t="s">
        <v>15</v>
      </c>
      <c r="D3990" t="s">
        <v>90</v>
      </c>
      <c r="E3990" t="s">
        <v>86</v>
      </c>
      <c r="F3990">
        <v>38401</v>
      </c>
      <c r="G3990" t="s">
        <v>18</v>
      </c>
      <c r="H3990" t="s">
        <v>19</v>
      </c>
      <c r="I3990" t="s">
        <v>33</v>
      </c>
      <c r="J3990">
        <v>79.12</v>
      </c>
      <c r="K3990">
        <v>5</v>
      </c>
      <c r="L3990">
        <v>0.2</v>
      </c>
      <c r="M3990">
        <v>13.846</v>
      </c>
    </row>
    <row r="3991" spans="1:13" x14ac:dyDescent="0.3">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
      <c r="A4002" t="s">
        <v>28</v>
      </c>
      <c r="B4002" t="s">
        <v>44</v>
      </c>
      <c r="C4002" t="s">
        <v>15</v>
      </c>
      <c r="D4002" t="s">
        <v>42</v>
      </c>
      <c r="E4002" t="s">
        <v>43</v>
      </c>
      <c r="F4002">
        <v>98115</v>
      </c>
      <c r="G4002" t="s">
        <v>25</v>
      </c>
      <c r="H4002" t="s">
        <v>19</v>
      </c>
      <c r="I4002" t="s">
        <v>33</v>
      </c>
      <c r="J4002">
        <v>63.47</v>
      </c>
      <c r="K4002">
        <v>11</v>
      </c>
      <c r="L4002">
        <v>0</v>
      </c>
      <c r="M4002">
        <v>19.041</v>
      </c>
    </row>
    <row r="4003" spans="1:13" x14ac:dyDescent="0.3">
      <c r="A4003" t="s">
        <v>28</v>
      </c>
      <c r="B4003" t="s">
        <v>44</v>
      </c>
      <c r="C4003" t="s">
        <v>15</v>
      </c>
      <c r="D4003" t="s">
        <v>42</v>
      </c>
      <c r="E4003" t="s">
        <v>43</v>
      </c>
      <c r="F4003">
        <v>98115</v>
      </c>
      <c r="G4003" t="s">
        <v>25</v>
      </c>
      <c r="H4003" t="s">
        <v>35</v>
      </c>
      <c r="I4003" t="s">
        <v>59</v>
      </c>
      <c r="J4003">
        <v>345</v>
      </c>
      <c r="K4003">
        <v>5</v>
      </c>
      <c r="L4003">
        <v>0</v>
      </c>
      <c r="M4003">
        <v>58.65</v>
      </c>
    </row>
    <row r="4004" spans="1:13" x14ac:dyDescent="0.3">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
      <c r="A4006" t="s">
        <v>28</v>
      </c>
      <c r="B4006" t="s">
        <v>14</v>
      </c>
      <c r="C4006" t="s">
        <v>15</v>
      </c>
      <c r="D4006" t="s">
        <v>122</v>
      </c>
      <c r="E4006" t="s">
        <v>46</v>
      </c>
      <c r="F4006">
        <v>78207</v>
      </c>
      <c r="G4006" t="s">
        <v>47</v>
      </c>
      <c r="H4006" t="s">
        <v>26</v>
      </c>
      <c r="I4006" t="s">
        <v>60</v>
      </c>
      <c r="J4006">
        <v>36.6</v>
      </c>
      <c r="K4006">
        <v>3</v>
      </c>
      <c r="L4006">
        <v>0.2</v>
      </c>
      <c r="M4006">
        <v>11.895</v>
      </c>
    </row>
    <row r="4007" spans="1:13" x14ac:dyDescent="0.3">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
      <c r="A4016" t="s">
        <v>28</v>
      </c>
      <c r="B4016" t="s">
        <v>14</v>
      </c>
      <c r="C4016" t="s">
        <v>15</v>
      </c>
      <c r="D4016" t="s">
        <v>200</v>
      </c>
      <c r="E4016" t="s">
        <v>167</v>
      </c>
      <c r="F4016">
        <v>30318</v>
      </c>
      <c r="G4016" t="s">
        <v>18</v>
      </c>
      <c r="H4016" t="s">
        <v>26</v>
      </c>
      <c r="I4016" t="s">
        <v>27</v>
      </c>
      <c r="J4016">
        <v>8.64</v>
      </c>
      <c r="K4016">
        <v>3</v>
      </c>
      <c r="L4016">
        <v>0</v>
      </c>
      <c r="M4016">
        <v>4.2336</v>
      </c>
    </row>
    <row r="4017" spans="1:13" x14ac:dyDescent="0.3">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
      <c r="A4019" t="s">
        <v>28</v>
      </c>
      <c r="B4019" t="s">
        <v>14</v>
      </c>
      <c r="C4019" t="s">
        <v>15</v>
      </c>
      <c r="D4019" t="s">
        <v>200</v>
      </c>
      <c r="E4019" t="s">
        <v>167</v>
      </c>
      <c r="F4019">
        <v>30318</v>
      </c>
      <c r="G4019" t="s">
        <v>18</v>
      </c>
      <c r="H4019" t="s">
        <v>26</v>
      </c>
      <c r="I4019" t="s">
        <v>41</v>
      </c>
      <c r="J4019">
        <v>97.88</v>
      </c>
      <c r="K4019">
        <v>2</v>
      </c>
      <c r="L4019">
        <v>0</v>
      </c>
      <c r="M4019">
        <v>48.94</v>
      </c>
    </row>
    <row r="4020" spans="1:13" x14ac:dyDescent="0.3">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
      <c r="A4024" t="s">
        <v>28</v>
      </c>
      <c r="B4024" t="s">
        <v>14</v>
      </c>
      <c r="C4024" t="s">
        <v>15</v>
      </c>
      <c r="D4024" t="s">
        <v>225</v>
      </c>
      <c r="E4024" t="s">
        <v>56</v>
      </c>
      <c r="F4024">
        <v>19013</v>
      </c>
      <c r="G4024" t="s">
        <v>57</v>
      </c>
      <c r="H4024" t="s">
        <v>19</v>
      </c>
      <c r="I4024" t="s">
        <v>21</v>
      </c>
      <c r="J4024">
        <v>853.93</v>
      </c>
      <c r="K4024">
        <v>5</v>
      </c>
      <c r="L4024">
        <v>0.3</v>
      </c>
      <c r="M4024">
        <v>0</v>
      </c>
    </row>
    <row r="4025" spans="1:13" x14ac:dyDescent="0.3">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
      <c r="A4034" t="s">
        <v>28</v>
      </c>
      <c r="B4034" t="s">
        <v>44</v>
      </c>
      <c r="C4034" t="s">
        <v>15</v>
      </c>
      <c r="D4034" t="s">
        <v>476</v>
      </c>
      <c r="E4034" t="s">
        <v>43</v>
      </c>
      <c r="F4034">
        <v>98042</v>
      </c>
      <c r="G4034" t="s">
        <v>25</v>
      </c>
      <c r="H4034" t="s">
        <v>26</v>
      </c>
      <c r="I4034" t="s">
        <v>41</v>
      </c>
      <c r="J4034">
        <v>29.9</v>
      </c>
      <c r="K4034">
        <v>5</v>
      </c>
      <c r="L4034">
        <v>0</v>
      </c>
      <c r="M4034">
        <v>14.651</v>
      </c>
    </row>
    <row r="4035" spans="1:13" x14ac:dyDescent="0.3">
      <c r="A4035" t="s">
        <v>28</v>
      </c>
      <c r="B4035" t="s">
        <v>44</v>
      </c>
      <c r="C4035" t="s">
        <v>15</v>
      </c>
      <c r="D4035" t="s">
        <v>476</v>
      </c>
      <c r="E4035" t="s">
        <v>43</v>
      </c>
      <c r="F4035">
        <v>98042</v>
      </c>
      <c r="G4035" t="s">
        <v>25</v>
      </c>
      <c r="H4035" t="s">
        <v>35</v>
      </c>
      <c r="I4035" t="s">
        <v>59</v>
      </c>
      <c r="J4035">
        <v>100</v>
      </c>
      <c r="K4035">
        <v>4</v>
      </c>
      <c r="L4035">
        <v>0</v>
      </c>
      <c r="M4035">
        <v>21</v>
      </c>
    </row>
    <row r="4036" spans="1:13" x14ac:dyDescent="0.3">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
      <c r="A4049" t="s">
        <v>62</v>
      </c>
      <c r="B4049" t="s">
        <v>22</v>
      </c>
      <c r="C4049" t="s">
        <v>15</v>
      </c>
      <c r="D4049" t="s">
        <v>75</v>
      </c>
      <c r="E4049" t="s">
        <v>76</v>
      </c>
      <c r="F4049">
        <v>10035</v>
      </c>
      <c r="G4049" t="s">
        <v>57</v>
      </c>
      <c r="H4049" t="s">
        <v>26</v>
      </c>
      <c r="I4049" t="s">
        <v>41</v>
      </c>
      <c r="J4049">
        <v>80.88</v>
      </c>
      <c r="K4049">
        <v>3</v>
      </c>
      <c r="L4049">
        <v>0</v>
      </c>
      <c r="M4049">
        <v>39.6312</v>
      </c>
    </row>
    <row r="4050" spans="1:13" x14ac:dyDescent="0.3">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
      <c r="A4067" t="s">
        <v>28</v>
      </c>
      <c r="B4067" t="s">
        <v>22</v>
      </c>
      <c r="C4067" t="s">
        <v>15</v>
      </c>
      <c r="D4067" t="s">
        <v>99</v>
      </c>
      <c r="E4067" t="s">
        <v>40</v>
      </c>
      <c r="F4067">
        <v>28205</v>
      </c>
      <c r="G4067" t="s">
        <v>18</v>
      </c>
      <c r="H4067" t="s">
        <v>26</v>
      </c>
      <c r="I4067" t="s">
        <v>77</v>
      </c>
      <c r="J4067">
        <v>7.52</v>
      </c>
      <c r="K4067">
        <v>5</v>
      </c>
      <c r="L4067">
        <v>0.2</v>
      </c>
      <c r="M4067">
        <v>1.41</v>
      </c>
    </row>
    <row r="4068" spans="1:13" x14ac:dyDescent="0.3">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
      <c r="A4079" t="s">
        <v>13</v>
      </c>
      <c r="B4079" t="s">
        <v>22</v>
      </c>
      <c r="C4079" t="s">
        <v>15</v>
      </c>
      <c r="D4079" t="s">
        <v>238</v>
      </c>
      <c r="E4079" t="s">
        <v>54</v>
      </c>
      <c r="F4079">
        <v>68104</v>
      </c>
      <c r="G4079" t="s">
        <v>47</v>
      </c>
      <c r="H4079" t="s">
        <v>26</v>
      </c>
      <c r="I4079" t="s">
        <v>77</v>
      </c>
      <c r="J4079">
        <v>5.04</v>
      </c>
      <c r="K4079">
        <v>4</v>
      </c>
      <c r="L4079">
        <v>0</v>
      </c>
      <c r="M4079">
        <v>0.2016</v>
      </c>
    </row>
    <row r="4080" spans="1:13" x14ac:dyDescent="0.3">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
      <c r="A4085" t="s">
        <v>28</v>
      </c>
      <c r="B4085" t="s">
        <v>22</v>
      </c>
      <c r="C4085" t="s">
        <v>15</v>
      </c>
      <c r="D4085" t="s">
        <v>87</v>
      </c>
      <c r="E4085" t="s">
        <v>65</v>
      </c>
      <c r="F4085">
        <v>62521</v>
      </c>
      <c r="G4085" t="s">
        <v>47</v>
      </c>
      <c r="H4085" t="s">
        <v>26</v>
      </c>
      <c r="I4085" t="s">
        <v>41</v>
      </c>
      <c r="J4085">
        <v>10.272</v>
      </c>
      <c r="K4085">
        <v>3</v>
      </c>
      <c r="L4085">
        <v>0.2</v>
      </c>
      <c r="M4085">
        <v>3.21</v>
      </c>
    </row>
    <row r="4086" spans="1:13" x14ac:dyDescent="0.3">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
      <c r="A4098" t="s">
        <v>28</v>
      </c>
      <c r="B4098" t="s">
        <v>14</v>
      </c>
      <c r="C4098" t="s">
        <v>15</v>
      </c>
      <c r="D4098" t="s">
        <v>93</v>
      </c>
      <c r="E4098" t="s">
        <v>68</v>
      </c>
      <c r="F4098">
        <v>55407</v>
      </c>
      <c r="G4098" t="s">
        <v>47</v>
      </c>
      <c r="H4098" t="s">
        <v>26</v>
      </c>
      <c r="I4098" t="s">
        <v>41</v>
      </c>
      <c r="J4098">
        <v>32.4</v>
      </c>
      <c r="K4098">
        <v>5</v>
      </c>
      <c r="L4098">
        <v>0</v>
      </c>
      <c r="M4098">
        <v>15.552</v>
      </c>
    </row>
    <row r="4099" spans="1:13" x14ac:dyDescent="0.3">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
      <c r="A4101" t="s">
        <v>28</v>
      </c>
      <c r="B4101" t="s">
        <v>14</v>
      </c>
      <c r="C4101" t="s">
        <v>15</v>
      </c>
      <c r="D4101" t="s">
        <v>93</v>
      </c>
      <c r="E4101" t="s">
        <v>68</v>
      </c>
      <c r="F4101">
        <v>55407</v>
      </c>
      <c r="G4101" t="s">
        <v>47</v>
      </c>
      <c r="H4101" t="s">
        <v>26</v>
      </c>
      <c r="I4101" t="s">
        <v>37</v>
      </c>
      <c r="J4101">
        <v>12.94</v>
      </c>
      <c r="K4101">
        <v>2</v>
      </c>
      <c r="L4101">
        <v>0</v>
      </c>
      <c r="M4101">
        <v>6.47</v>
      </c>
    </row>
    <row r="4102" spans="1:13" x14ac:dyDescent="0.3">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
      <c r="A4109" t="s">
        <v>168</v>
      </c>
      <c r="B4109" t="s">
        <v>14</v>
      </c>
      <c r="C4109" t="s">
        <v>15</v>
      </c>
      <c r="D4109" t="s">
        <v>75</v>
      </c>
      <c r="E4109" t="s">
        <v>76</v>
      </c>
      <c r="F4109">
        <v>10011</v>
      </c>
      <c r="G4109" t="s">
        <v>57</v>
      </c>
      <c r="H4109" t="s">
        <v>26</v>
      </c>
      <c r="I4109" t="s">
        <v>32</v>
      </c>
      <c r="J4109">
        <v>13.96</v>
      </c>
      <c r="K4109">
        <v>2</v>
      </c>
      <c r="L4109">
        <v>0</v>
      </c>
      <c r="M4109">
        <v>0.2792</v>
      </c>
    </row>
    <row r="4110" spans="1:13" x14ac:dyDescent="0.3">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
      <c r="A4135" t="s">
        <v>28</v>
      </c>
      <c r="B4135" t="s">
        <v>14</v>
      </c>
      <c r="C4135" t="s">
        <v>15</v>
      </c>
      <c r="D4135" t="s">
        <v>355</v>
      </c>
      <c r="E4135" t="s">
        <v>83</v>
      </c>
      <c r="F4135">
        <v>23320</v>
      </c>
      <c r="G4135" t="s">
        <v>18</v>
      </c>
      <c r="H4135" t="s">
        <v>26</v>
      </c>
      <c r="I4135" t="s">
        <v>77</v>
      </c>
      <c r="J4135">
        <v>45</v>
      </c>
      <c r="K4135">
        <v>9</v>
      </c>
      <c r="L4135">
        <v>0</v>
      </c>
      <c r="M4135">
        <v>21.6</v>
      </c>
    </row>
    <row r="4136" spans="1:13" x14ac:dyDescent="0.3">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
      <c r="A4139" t="s">
        <v>28</v>
      </c>
      <c r="B4139" t="s">
        <v>14</v>
      </c>
      <c r="C4139" t="s">
        <v>15</v>
      </c>
      <c r="D4139" t="s">
        <v>251</v>
      </c>
      <c r="E4139" t="s">
        <v>83</v>
      </c>
      <c r="F4139">
        <v>22304</v>
      </c>
      <c r="G4139" t="s">
        <v>18</v>
      </c>
      <c r="H4139" t="s">
        <v>26</v>
      </c>
      <c r="I4139" t="s">
        <v>77</v>
      </c>
      <c r="J4139">
        <v>25.06</v>
      </c>
      <c r="K4139">
        <v>7</v>
      </c>
      <c r="L4139">
        <v>0</v>
      </c>
      <c r="M4139">
        <v>12.53</v>
      </c>
    </row>
    <row r="4140" spans="1:13" x14ac:dyDescent="0.3">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
      <c r="A4142" t="s">
        <v>62</v>
      </c>
      <c r="B4142" t="s">
        <v>14</v>
      </c>
      <c r="C4142" t="s">
        <v>15</v>
      </c>
      <c r="D4142" t="s">
        <v>55</v>
      </c>
      <c r="E4142" t="s">
        <v>56</v>
      </c>
      <c r="F4142">
        <v>19120</v>
      </c>
      <c r="G4142" t="s">
        <v>57</v>
      </c>
      <c r="H4142" t="s">
        <v>19</v>
      </c>
      <c r="I4142" t="s">
        <v>33</v>
      </c>
      <c r="J4142">
        <v>79.12</v>
      </c>
      <c r="K4142">
        <v>5</v>
      </c>
      <c r="L4142">
        <v>0.2</v>
      </c>
      <c r="M4142">
        <v>13.846</v>
      </c>
    </row>
    <row r="4143" spans="1:13" x14ac:dyDescent="0.3">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
      <c r="A4163" t="s">
        <v>28</v>
      </c>
      <c r="B4163" t="s">
        <v>14</v>
      </c>
      <c r="C4163" t="s">
        <v>15</v>
      </c>
      <c r="D4163" t="s">
        <v>75</v>
      </c>
      <c r="E4163" t="s">
        <v>76</v>
      </c>
      <c r="F4163">
        <v>10035</v>
      </c>
      <c r="G4163" t="s">
        <v>57</v>
      </c>
      <c r="H4163" t="s">
        <v>26</v>
      </c>
      <c r="I4163" t="s">
        <v>32</v>
      </c>
      <c r="J4163">
        <v>22.58</v>
      </c>
      <c r="K4163">
        <v>2</v>
      </c>
      <c r="L4163">
        <v>0</v>
      </c>
      <c r="M4163">
        <v>5.8708</v>
      </c>
    </row>
    <row r="4164" spans="1:13" x14ac:dyDescent="0.3">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
      <c r="A4174" t="s">
        <v>168</v>
      </c>
      <c r="B4174" t="s">
        <v>14</v>
      </c>
      <c r="C4174" t="s">
        <v>15</v>
      </c>
      <c r="D4174" t="s">
        <v>90</v>
      </c>
      <c r="E4174" t="s">
        <v>91</v>
      </c>
      <c r="F4174">
        <v>29203</v>
      </c>
      <c r="G4174" t="s">
        <v>18</v>
      </c>
      <c r="H4174" t="s">
        <v>26</v>
      </c>
      <c r="I4174" t="s">
        <v>37</v>
      </c>
      <c r="J4174">
        <v>14.2</v>
      </c>
      <c r="K4174">
        <v>2</v>
      </c>
      <c r="L4174">
        <v>0</v>
      </c>
      <c r="M4174">
        <v>6.532</v>
      </c>
    </row>
    <row r="4175" spans="1:13" x14ac:dyDescent="0.3">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
      <c r="A4182" t="s">
        <v>28</v>
      </c>
      <c r="B4182" t="s">
        <v>14</v>
      </c>
      <c r="C4182" t="s">
        <v>15</v>
      </c>
      <c r="D4182" t="s">
        <v>61</v>
      </c>
      <c r="E4182" t="s">
        <v>46</v>
      </c>
      <c r="F4182">
        <v>77036</v>
      </c>
      <c r="G4182" t="s">
        <v>47</v>
      </c>
      <c r="H4182" t="s">
        <v>26</v>
      </c>
      <c r="I4182" t="s">
        <v>37</v>
      </c>
      <c r="J4182">
        <v>4.24</v>
      </c>
      <c r="K4182">
        <v>5</v>
      </c>
      <c r="L4182">
        <v>0.8</v>
      </c>
      <c r="M4182">
        <v>-6.36</v>
      </c>
    </row>
    <row r="4183" spans="1:13" x14ac:dyDescent="0.3">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
      <c r="A4193" t="s">
        <v>168</v>
      </c>
      <c r="B4193" t="s">
        <v>14</v>
      </c>
      <c r="C4193" t="s">
        <v>15</v>
      </c>
      <c r="D4193" t="s">
        <v>61</v>
      </c>
      <c r="E4193" t="s">
        <v>46</v>
      </c>
      <c r="F4193">
        <v>77070</v>
      </c>
      <c r="G4193" t="s">
        <v>47</v>
      </c>
      <c r="H4193" t="s">
        <v>26</v>
      </c>
      <c r="I4193" t="s">
        <v>41</v>
      </c>
      <c r="J4193">
        <v>21.12</v>
      </c>
      <c r="K4193">
        <v>5</v>
      </c>
      <c r="L4193">
        <v>0.2</v>
      </c>
      <c r="M4193">
        <v>6.6</v>
      </c>
    </row>
    <row r="4194" spans="1:13" x14ac:dyDescent="0.3">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
      <c r="A4198" t="s">
        <v>13</v>
      </c>
      <c r="B4198" t="s">
        <v>14</v>
      </c>
      <c r="C4198" t="s">
        <v>15</v>
      </c>
      <c r="D4198" t="s">
        <v>75</v>
      </c>
      <c r="E4198" t="s">
        <v>76</v>
      </c>
      <c r="F4198">
        <v>10024</v>
      </c>
      <c r="G4198" t="s">
        <v>57</v>
      </c>
      <c r="H4198" t="s">
        <v>26</v>
      </c>
      <c r="I4198" t="s">
        <v>27</v>
      </c>
      <c r="J4198">
        <v>21.93</v>
      </c>
      <c r="K4198">
        <v>3</v>
      </c>
      <c r="L4198">
        <v>0</v>
      </c>
      <c r="M4198">
        <v>10.3071</v>
      </c>
    </row>
    <row r="4199" spans="1:13" x14ac:dyDescent="0.3">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
      <c r="A4205" t="s">
        <v>13</v>
      </c>
      <c r="B4205" t="s">
        <v>14</v>
      </c>
      <c r="C4205" t="s">
        <v>15</v>
      </c>
      <c r="D4205" t="s">
        <v>485</v>
      </c>
      <c r="E4205" t="s">
        <v>179</v>
      </c>
      <c r="F4205">
        <v>2920</v>
      </c>
      <c r="G4205" t="s">
        <v>57</v>
      </c>
      <c r="H4205" t="s">
        <v>26</v>
      </c>
      <c r="I4205" t="s">
        <v>34</v>
      </c>
      <c r="J4205">
        <v>49.25</v>
      </c>
      <c r="K4205">
        <v>5</v>
      </c>
      <c r="L4205">
        <v>0</v>
      </c>
      <c r="M4205">
        <v>18.715</v>
      </c>
    </row>
    <row r="4206" spans="1:13" x14ac:dyDescent="0.3">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
      <c r="A4216" t="s">
        <v>28</v>
      </c>
      <c r="B4216" t="s">
        <v>14</v>
      </c>
      <c r="C4216" t="s">
        <v>15</v>
      </c>
      <c r="D4216" t="s">
        <v>402</v>
      </c>
      <c r="E4216" t="s">
        <v>74</v>
      </c>
      <c r="F4216">
        <v>46544</v>
      </c>
      <c r="G4216" t="s">
        <v>47</v>
      </c>
      <c r="H4216" t="s">
        <v>26</v>
      </c>
      <c r="I4216" t="s">
        <v>37</v>
      </c>
      <c r="J4216">
        <v>128.4</v>
      </c>
      <c r="K4216">
        <v>3</v>
      </c>
      <c r="L4216">
        <v>0</v>
      </c>
      <c r="M4216">
        <v>64.2</v>
      </c>
    </row>
    <row r="4217" spans="1:13" x14ac:dyDescent="0.3">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
      <c r="A4218" t="s">
        <v>28</v>
      </c>
      <c r="B4218" t="s">
        <v>22</v>
      </c>
      <c r="C4218" t="s">
        <v>15</v>
      </c>
      <c r="D4218" t="s">
        <v>23</v>
      </c>
      <c r="E4218" t="s">
        <v>24</v>
      </c>
      <c r="F4218">
        <v>90004</v>
      </c>
      <c r="G4218" t="s">
        <v>25</v>
      </c>
      <c r="H4218" t="s">
        <v>26</v>
      </c>
      <c r="I4218" t="s">
        <v>27</v>
      </c>
      <c r="J4218">
        <v>9.24</v>
      </c>
      <c r="K4218">
        <v>3</v>
      </c>
      <c r="L4218">
        <v>0</v>
      </c>
      <c r="M4218">
        <v>4.4352</v>
      </c>
    </row>
    <row r="4219" spans="1:13" x14ac:dyDescent="0.3">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
      <c r="A4242" t="s">
        <v>28</v>
      </c>
      <c r="B4242" t="s">
        <v>44</v>
      </c>
      <c r="C4242" t="s">
        <v>15</v>
      </c>
      <c r="D4242" t="s">
        <v>23</v>
      </c>
      <c r="E4242" t="s">
        <v>24</v>
      </c>
      <c r="F4242">
        <v>90004</v>
      </c>
      <c r="G4242" t="s">
        <v>25</v>
      </c>
      <c r="H4242" t="s">
        <v>26</v>
      </c>
      <c r="I4242" t="s">
        <v>38</v>
      </c>
      <c r="J4242">
        <v>43.92</v>
      </c>
      <c r="K4242">
        <v>4</v>
      </c>
      <c r="L4242">
        <v>0</v>
      </c>
      <c r="M4242">
        <v>11.8584</v>
      </c>
    </row>
    <row r="4243" spans="1:13" x14ac:dyDescent="0.3">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
      <c r="A4245" t="s">
        <v>62</v>
      </c>
      <c r="B4245" t="s">
        <v>44</v>
      </c>
      <c r="C4245" t="s">
        <v>15</v>
      </c>
      <c r="D4245" t="s">
        <v>82</v>
      </c>
      <c r="E4245" t="s">
        <v>83</v>
      </c>
      <c r="F4245">
        <v>22153</v>
      </c>
      <c r="G4245" t="s">
        <v>18</v>
      </c>
      <c r="H4245" t="s">
        <v>26</v>
      </c>
      <c r="I4245" t="s">
        <v>41</v>
      </c>
      <c r="J4245">
        <v>27.81</v>
      </c>
      <c r="K4245">
        <v>3</v>
      </c>
      <c r="L4245">
        <v>0</v>
      </c>
      <c r="M4245">
        <v>13.0707</v>
      </c>
    </row>
    <row r="4246" spans="1:13" x14ac:dyDescent="0.3">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
      <c r="A4249" t="s">
        <v>28</v>
      </c>
      <c r="B4249" t="s">
        <v>44</v>
      </c>
      <c r="C4249" t="s">
        <v>15</v>
      </c>
      <c r="D4249" t="s">
        <v>333</v>
      </c>
      <c r="E4249" t="s">
        <v>248</v>
      </c>
      <c r="F4249">
        <v>21215</v>
      </c>
      <c r="G4249" t="s">
        <v>57</v>
      </c>
      <c r="H4249" t="s">
        <v>19</v>
      </c>
      <c r="I4249" t="s">
        <v>33</v>
      </c>
      <c r="J4249">
        <v>20.9</v>
      </c>
      <c r="K4249">
        <v>5</v>
      </c>
      <c r="L4249">
        <v>0</v>
      </c>
      <c r="M4249">
        <v>7.524</v>
      </c>
    </row>
    <row r="4250" spans="1:13" x14ac:dyDescent="0.3">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
      <c r="A4261" t="s">
        <v>13</v>
      </c>
      <c r="B4261" t="s">
        <v>22</v>
      </c>
      <c r="C4261" t="s">
        <v>15</v>
      </c>
      <c r="D4261" t="s">
        <v>75</v>
      </c>
      <c r="E4261" t="s">
        <v>76</v>
      </c>
      <c r="F4261">
        <v>10035</v>
      </c>
      <c r="G4261" t="s">
        <v>57</v>
      </c>
      <c r="H4261" t="s">
        <v>26</v>
      </c>
      <c r="I4261" t="s">
        <v>60</v>
      </c>
      <c r="J4261">
        <v>47.98</v>
      </c>
      <c r="K4261">
        <v>2</v>
      </c>
      <c r="L4261">
        <v>0</v>
      </c>
      <c r="M4261">
        <v>23.99</v>
      </c>
    </row>
    <row r="4262" spans="1:13" x14ac:dyDescent="0.3">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
      <c r="A4265" t="s">
        <v>28</v>
      </c>
      <c r="B4265" t="s">
        <v>14</v>
      </c>
      <c r="C4265" t="s">
        <v>15</v>
      </c>
      <c r="D4265" t="s">
        <v>55</v>
      </c>
      <c r="E4265" t="s">
        <v>56</v>
      </c>
      <c r="F4265">
        <v>19143</v>
      </c>
      <c r="G4265" t="s">
        <v>57</v>
      </c>
      <c r="H4265" t="s">
        <v>26</v>
      </c>
      <c r="I4265" t="s">
        <v>37</v>
      </c>
      <c r="J4265">
        <v>11.673</v>
      </c>
      <c r="K4265">
        <v>3</v>
      </c>
      <c r="L4265">
        <v>0.7</v>
      </c>
      <c r="M4265">
        <v>-7.782</v>
      </c>
    </row>
    <row r="4266" spans="1:13" x14ac:dyDescent="0.3">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
      <c r="A4281" t="s">
        <v>28</v>
      </c>
      <c r="B4281" t="s">
        <v>22</v>
      </c>
      <c r="C4281" t="s">
        <v>15</v>
      </c>
      <c r="D4281" t="s">
        <v>154</v>
      </c>
      <c r="E4281" t="s">
        <v>132</v>
      </c>
      <c r="F4281">
        <v>8701</v>
      </c>
      <c r="G4281" t="s">
        <v>57</v>
      </c>
      <c r="H4281" t="s">
        <v>26</v>
      </c>
      <c r="I4281" t="s">
        <v>37</v>
      </c>
      <c r="J4281">
        <v>25.3</v>
      </c>
      <c r="K4281">
        <v>5</v>
      </c>
      <c r="L4281">
        <v>0</v>
      </c>
      <c r="M4281">
        <v>11.891</v>
      </c>
    </row>
    <row r="4282" spans="1:13" x14ac:dyDescent="0.3">
      <c r="A4282" t="s">
        <v>28</v>
      </c>
      <c r="B4282" t="s">
        <v>44</v>
      </c>
      <c r="C4282" t="s">
        <v>15</v>
      </c>
      <c r="D4282" t="s">
        <v>75</v>
      </c>
      <c r="E4282" t="s">
        <v>76</v>
      </c>
      <c r="F4282">
        <v>10011</v>
      </c>
      <c r="G4282" t="s">
        <v>57</v>
      </c>
      <c r="H4282" t="s">
        <v>26</v>
      </c>
      <c r="I4282" t="s">
        <v>41</v>
      </c>
      <c r="J4282">
        <v>11.36</v>
      </c>
      <c r="K4282">
        <v>2</v>
      </c>
      <c r="L4282">
        <v>0</v>
      </c>
      <c r="M4282">
        <v>5.2256</v>
      </c>
    </row>
    <row r="4283" spans="1:13" x14ac:dyDescent="0.3">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
      <c r="A4284" t="s">
        <v>62</v>
      </c>
      <c r="B4284" t="s">
        <v>14</v>
      </c>
      <c r="C4284" t="s">
        <v>15</v>
      </c>
      <c r="D4284" t="s">
        <v>330</v>
      </c>
      <c r="E4284" t="s">
        <v>74</v>
      </c>
      <c r="F4284">
        <v>46203</v>
      </c>
      <c r="G4284" t="s">
        <v>47</v>
      </c>
      <c r="H4284" t="s">
        <v>26</v>
      </c>
      <c r="I4284" t="s">
        <v>27</v>
      </c>
      <c r="J4284">
        <v>3.69</v>
      </c>
      <c r="K4284">
        <v>1</v>
      </c>
      <c r="L4284">
        <v>0</v>
      </c>
      <c r="M4284">
        <v>1.7343</v>
      </c>
    </row>
    <row r="4285" spans="1:13" x14ac:dyDescent="0.3">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
      <c r="A4290" t="s">
        <v>28</v>
      </c>
      <c r="B4290" t="s">
        <v>22</v>
      </c>
      <c r="C4290" t="s">
        <v>15</v>
      </c>
      <c r="D4290" t="s">
        <v>61</v>
      </c>
      <c r="E4290" t="s">
        <v>46</v>
      </c>
      <c r="F4290">
        <v>77095</v>
      </c>
      <c r="G4290" t="s">
        <v>47</v>
      </c>
      <c r="H4290" t="s">
        <v>26</v>
      </c>
      <c r="I4290" t="s">
        <v>37</v>
      </c>
      <c r="J4290">
        <v>33.28</v>
      </c>
      <c r="K4290">
        <v>5</v>
      </c>
      <c r="L4290">
        <v>0.8</v>
      </c>
      <c r="M4290">
        <v>-49.92</v>
      </c>
    </row>
    <row r="4291" spans="1:13" x14ac:dyDescent="0.3">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
      <c r="A4292" t="s">
        <v>13</v>
      </c>
      <c r="B4292" t="s">
        <v>44</v>
      </c>
      <c r="C4292" t="s">
        <v>15</v>
      </c>
      <c r="D4292" t="s">
        <v>23</v>
      </c>
      <c r="E4292" t="s">
        <v>24</v>
      </c>
      <c r="F4292">
        <v>90004</v>
      </c>
      <c r="G4292" t="s">
        <v>25</v>
      </c>
      <c r="H4292" t="s">
        <v>26</v>
      </c>
      <c r="I4292" t="s">
        <v>34</v>
      </c>
      <c r="J4292">
        <v>11.16</v>
      </c>
      <c r="K4292">
        <v>2</v>
      </c>
      <c r="L4292">
        <v>0</v>
      </c>
      <c r="M4292">
        <v>2.79</v>
      </c>
    </row>
    <row r="4293" spans="1:13" x14ac:dyDescent="0.3">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
      <c r="A4316" t="s">
        <v>28</v>
      </c>
      <c r="B4316" t="s">
        <v>14</v>
      </c>
      <c r="C4316" t="s">
        <v>15</v>
      </c>
      <c r="D4316" t="s">
        <v>23</v>
      </c>
      <c r="E4316" t="s">
        <v>24</v>
      </c>
      <c r="F4316">
        <v>90045</v>
      </c>
      <c r="G4316" t="s">
        <v>25</v>
      </c>
      <c r="H4316" t="s">
        <v>26</v>
      </c>
      <c r="I4316" t="s">
        <v>34</v>
      </c>
      <c r="J4316">
        <v>20.96</v>
      </c>
      <c r="K4316">
        <v>2</v>
      </c>
      <c r="L4316">
        <v>0</v>
      </c>
      <c r="M4316">
        <v>5.24</v>
      </c>
    </row>
    <row r="4317" spans="1:13" x14ac:dyDescent="0.3">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
      <c r="A4330" t="s">
        <v>28</v>
      </c>
      <c r="B4330" t="s">
        <v>14</v>
      </c>
      <c r="C4330" t="s">
        <v>15</v>
      </c>
      <c r="D4330" t="s">
        <v>75</v>
      </c>
      <c r="E4330" t="s">
        <v>76</v>
      </c>
      <c r="F4330">
        <v>10011</v>
      </c>
      <c r="G4330" t="s">
        <v>57</v>
      </c>
      <c r="H4330" t="s">
        <v>26</v>
      </c>
      <c r="I4330" t="s">
        <v>41</v>
      </c>
      <c r="J4330">
        <v>42.93</v>
      </c>
      <c r="K4330">
        <v>9</v>
      </c>
      <c r="L4330">
        <v>0</v>
      </c>
      <c r="M4330">
        <v>19.3185</v>
      </c>
    </row>
    <row r="4331" spans="1:13" x14ac:dyDescent="0.3">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
      <c r="A4369" t="s">
        <v>13</v>
      </c>
      <c r="B4369" t="s">
        <v>14</v>
      </c>
      <c r="C4369" t="s">
        <v>15</v>
      </c>
      <c r="D4369" t="s">
        <v>79</v>
      </c>
      <c r="E4369" t="s">
        <v>65</v>
      </c>
      <c r="F4369">
        <v>60623</v>
      </c>
      <c r="G4369" t="s">
        <v>47</v>
      </c>
      <c r="H4369" t="s">
        <v>26</v>
      </c>
      <c r="I4369" t="s">
        <v>77</v>
      </c>
      <c r="J4369">
        <v>10.528</v>
      </c>
      <c r="K4369">
        <v>4</v>
      </c>
      <c r="L4369">
        <v>0.2</v>
      </c>
      <c r="M4369">
        <v>3.29</v>
      </c>
    </row>
    <row r="4370" spans="1:13" x14ac:dyDescent="0.3">
      <c r="A4370" t="s">
        <v>13</v>
      </c>
      <c r="B4370" t="s">
        <v>14</v>
      </c>
      <c r="C4370" t="s">
        <v>15</v>
      </c>
      <c r="D4370" t="s">
        <v>79</v>
      </c>
      <c r="E4370" t="s">
        <v>65</v>
      </c>
      <c r="F4370">
        <v>60623</v>
      </c>
      <c r="G4370" t="s">
        <v>47</v>
      </c>
      <c r="H4370" t="s">
        <v>26</v>
      </c>
      <c r="I4370" t="s">
        <v>41</v>
      </c>
      <c r="J4370">
        <v>20.544</v>
      </c>
      <c r="K4370">
        <v>6</v>
      </c>
      <c r="L4370">
        <v>0.2</v>
      </c>
      <c r="M4370">
        <v>6.42</v>
      </c>
    </row>
    <row r="4371" spans="1:13" x14ac:dyDescent="0.3">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
      <c r="A4373" t="s">
        <v>28</v>
      </c>
      <c r="B4373" t="s">
        <v>44</v>
      </c>
      <c r="C4373" t="s">
        <v>15</v>
      </c>
      <c r="D4373" t="s">
        <v>184</v>
      </c>
      <c r="E4373" t="s">
        <v>74</v>
      </c>
      <c r="F4373">
        <v>46226</v>
      </c>
      <c r="G4373" t="s">
        <v>47</v>
      </c>
      <c r="H4373" t="s">
        <v>26</v>
      </c>
      <c r="I4373" t="s">
        <v>27</v>
      </c>
      <c r="J4373">
        <v>51.75</v>
      </c>
      <c r="K4373">
        <v>5</v>
      </c>
      <c r="L4373">
        <v>0</v>
      </c>
      <c r="M4373">
        <v>24.84</v>
      </c>
    </row>
    <row r="4374" spans="1:13" x14ac:dyDescent="0.3">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
      <c r="A4382" t="s">
        <v>28</v>
      </c>
      <c r="B4382" t="s">
        <v>14</v>
      </c>
      <c r="C4382" t="s">
        <v>15</v>
      </c>
      <c r="D4382" t="s">
        <v>52</v>
      </c>
      <c r="E4382" t="s">
        <v>24</v>
      </c>
      <c r="F4382">
        <v>94110</v>
      </c>
      <c r="G4382" t="s">
        <v>25</v>
      </c>
      <c r="H4382" t="s">
        <v>26</v>
      </c>
      <c r="I4382" t="s">
        <v>34</v>
      </c>
      <c r="J4382">
        <v>60.45</v>
      </c>
      <c r="K4382">
        <v>3</v>
      </c>
      <c r="L4382">
        <v>0</v>
      </c>
      <c r="M4382">
        <v>16.3215</v>
      </c>
    </row>
    <row r="4383" spans="1:13" x14ac:dyDescent="0.3">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
      <c r="A4388" t="s">
        <v>28</v>
      </c>
      <c r="B4388" t="s">
        <v>22</v>
      </c>
      <c r="C4388" t="s">
        <v>15</v>
      </c>
      <c r="D4388" t="s">
        <v>52</v>
      </c>
      <c r="E4388" t="s">
        <v>24</v>
      </c>
      <c r="F4388">
        <v>94122</v>
      </c>
      <c r="G4388" t="s">
        <v>25</v>
      </c>
      <c r="H4388" t="s">
        <v>26</v>
      </c>
      <c r="I4388" t="s">
        <v>38</v>
      </c>
      <c r="J4388">
        <v>43.92</v>
      </c>
      <c r="K4388">
        <v>4</v>
      </c>
      <c r="L4388">
        <v>0</v>
      </c>
      <c r="M4388">
        <v>11.8584</v>
      </c>
    </row>
    <row r="4389" spans="1:13" x14ac:dyDescent="0.3">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
      <c r="A4418" t="s">
        <v>28</v>
      </c>
      <c r="B4418" t="s">
        <v>14</v>
      </c>
      <c r="C4418" t="s">
        <v>15</v>
      </c>
      <c r="D4418" t="s">
        <v>52</v>
      </c>
      <c r="E4418" t="s">
        <v>24</v>
      </c>
      <c r="F4418">
        <v>94122</v>
      </c>
      <c r="G4418" t="s">
        <v>25</v>
      </c>
      <c r="H4418" t="s">
        <v>26</v>
      </c>
      <c r="I4418" t="s">
        <v>77</v>
      </c>
      <c r="J4418">
        <v>30.4</v>
      </c>
      <c r="K4418">
        <v>5</v>
      </c>
      <c r="L4418">
        <v>0</v>
      </c>
      <c r="M4418">
        <v>15.2</v>
      </c>
    </row>
    <row r="4419" spans="1:13" x14ac:dyDescent="0.3">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
      <c r="A4422" t="s">
        <v>13</v>
      </c>
      <c r="B4422" t="s">
        <v>14</v>
      </c>
      <c r="C4422" t="s">
        <v>15</v>
      </c>
      <c r="D4422" t="s">
        <v>79</v>
      </c>
      <c r="E4422" t="s">
        <v>65</v>
      </c>
      <c r="F4422">
        <v>60610</v>
      </c>
      <c r="G4422" t="s">
        <v>47</v>
      </c>
      <c r="H4422" t="s">
        <v>26</v>
      </c>
      <c r="I4422" t="s">
        <v>110</v>
      </c>
      <c r="J4422">
        <v>40.92</v>
      </c>
      <c r="K4422">
        <v>5</v>
      </c>
      <c r="L4422">
        <v>0.2</v>
      </c>
      <c r="M4422">
        <v>3.069</v>
      </c>
    </row>
    <row r="4423" spans="1:13" x14ac:dyDescent="0.3">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
      <c r="A4432" t="s">
        <v>13</v>
      </c>
      <c r="B4432" t="s">
        <v>14</v>
      </c>
      <c r="C4432" t="s">
        <v>15</v>
      </c>
      <c r="D4432" t="s">
        <v>16</v>
      </c>
      <c r="E4432" t="s">
        <v>17</v>
      </c>
      <c r="F4432">
        <v>42420</v>
      </c>
      <c r="G4432" t="s">
        <v>18</v>
      </c>
      <c r="H4432" t="s">
        <v>26</v>
      </c>
      <c r="I4432" t="s">
        <v>77</v>
      </c>
      <c r="J4432">
        <v>20</v>
      </c>
      <c r="K4432">
        <v>4</v>
      </c>
      <c r="L4432">
        <v>0</v>
      </c>
      <c r="M4432">
        <v>9.6</v>
      </c>
    </row>
    <row r="4433" spans="1:13" x14ac:dyDescent="0.3">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
      <c r="A4435" t="s">
        <v>13</v>
      </c>
      <c r="B4435" t="s">
        <v>14</v>
      </c>
      <c r="C4435" t="s">
        <v>15</v>
      </c>
      <c r="D4435" t="s">
        <v>16</v>
      </c>
      <c r="E4435" t="s">
        <v>17</v>
      </c>
      <c r="F4435">
        <v>42420</v>
      </c>
      <c r="G4435" t="s">
        <v>18</v>
      </c>
      <c r="H4435" t="s">
        <v>26</v>
      </c>
      <c r="I4435" t="s">
        <v>34</v>
      </c>
      <c r="J4435">
        <v>8.75</v>
      </c>
      <c r="K4435">
        <v>1</v>
      </c>
      <c r="L4435">
        <v>0</v>
      </c>
      <c r="M4435">
        <v>2.625</v>
      </c>
    </row>
    <row r="4436" spans="1:13" x14ac:dyDescent="0.3">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
      <c r="A4441" t="s">
        <v>28</v>
      </c>
      <c r="B4441" t="s">
        <v>14</v>
      </c>
      <c r="C4441" t="s">
        <v>15</v>
      </c>
      <c r="D4441" t="s">
        <v>486</v>
      </c>
      <c r="E4441" t="s">
        <v>46</v>
      </c>
      <c r="F4441">
        <v>77642</v>
      </c>
      <c r="G4441" t="s">
        <v>47</v>
      </c>
      <c r="H4441" t="s">
        <v>26</v>
      </c>
      <c r="I4441" t="s">
        <v>41</v>
      </c>
      <c r="J4441">
        <v>23.68</v>
      </c>
      <c r="K4441">
        <v>4</v>
      </c>
      <c r="L4441">
        <v>0.2</v>
      </c>
      <c r="M4441">
        <v>7.4</v>
      </c>
    </row>
    <row r="4442" spans="1:13" x14ac:dyDescent="0.3">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
      <c r="A4444" t="s">
        <v>28</v>
      </c>
      <c r="B4444" t="s">
        <v>14</v>
      </c>
      <c r="C4444" t="s">
        <v>15</v>
      </c>
      <c r="D4444" t="s">
        <v>69</v>
      </c>
      <c r="E4444" t="s">
        <v>70</v>
      </c>
      <c r="F4444">
        <v>48185</v>
      </c>
      <c r="G4444" t="s">
        <v>47</v>
      </c>
      <c r="H4444" t="s">
        <v>26</v>
      </c>
      <c r="I4444" t="s">
        <v>34</v>
      </c>
      <c r="J4444">
        <v>29.2</v>
      </c>
      <c r="K4444">
        <v>5</v>
      </c>
      <c r="L4444">
        <v>0</v>
      </c>
      <c r="M4444">
        <v>10.512</v>
      </c>
    </row>
    <row r="4445" spans="1:13" x14ac:dyDescent="0.3">
      <c r="A4445" t="s">
        <v>28</v>
      </c>
      <c r="B4445" t="s">
        <v>14</v>
      </c>
      <c r="C4445" t="s">
        <v>15</v>
      </c>
      <c r="D4445" t="s">
        <v>69</v>
      </c>
      <c r="E4445" t="s">
        <v>70</v>
      </c>
      <c r="F4445">
        <v>48185</v>
      </c>
      <c r="G4445" t="s">
        <v>47</v>
      </c>
      <c r="H4445" t="s">
        <v>26</v>
      </c>
      <c r="I4445" t="s">
        <v>41</v>
      </c>
      <c r="J4445">
        <v>32.4</v>
      </c>
      <c r="K4445">
        <v>5</v>
      </c>
      <c r="L4445">
        <v>0</v>
      </c>
      <c r="M4445">
        <v>15.552</v>
      </c>
    </row>
    <row r="4446" spans="1:13" x14ac:dyDescent="0.3">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
      <c r="A4447" t="s">
        <v>28</v>
      </c>
      <c r="B4447" t="s">
        <v>44</v>
      </c>
      <c r="C4447" t="s">
        <v>15</v>
      </c>
      <c r="D4447" t="s">
        <v>107</v>
      </c>
      <c r="E4447" t="s">
        <v>74</v>
      </c>
      <c r="F4447">
        <v>47401</v>
      </c>
      <c r="G4447" t="s">
        <v>47</v>
      </c>
      <c r="H4447" t="s">
        <v>26</v>
      </c>
      <c r="I4447" t="s">
        <v>41</v>
      </c>
      <c r="J4447">
        <v>31.68</v>
      </c>
      <c r="K4447">
        <v>6</v>
      </c>
      <c r="L4447">
        <v>0</v>
      </c>
      <c r="M4447">
        <v>14.256</v>
      </c>
    </row>
    <row r="4448" spans="1:13" x14ac:dyDescent="0.3">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
      <c r="A4483" t="s">
        <v>28</v>
      </c>
      <c r="B4483" t="s">
        <v>14</v>
      </c>
      <c r="C4483" t="s">
        <v>15</v>
      </c>
      <c r="D4483" t="s">
        <v>23</v>
      </c>
      <c r="E4483" t="s">
        <v>24</v>
      </c>
      <c r="F4483">
        <v>90049</v>
      </c>
      <c r="G4483" t="s">
        <v>25</v>
      </c>
      <c r="H4483" t="s">
        <v>26</v>
      </c>
      <c r="I4483" t="s">
        <v>38</v>
      </c>
      <c r="J4483">
        <v>43.32</v>
      </c>
      <c r="K4483">
        <v>2</v>
      </c>
      <c r="L4483">
        <v>0</v>
      </c>
      <c r="M4483">
        <v>14.2956</v>
      </c>
    </row>
    <row r="4484" spans="1:13" x14ac:dyDescent="0.3">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
      <c r="A4509" t="s">
        <v>28</v>
      </c>
      <c r="B4509" t="s">
        <v>44</v>
      </c>
      <c r="C4509" t="s">
        <v>15</v>
      </c>
      <c r="D4509" t="s">
        <v>23</v>
      </c>
      <c r="E4509" t="s">
        <v>24</v>
      </c>
      <c r="F4509">
        <v>90045</v>
      </c>
      <c r="G4509" t="s">
        <v>25</v>
      </c>
      <c r="H4509" t="s">
        <v>26</v>
      </c>
      <c r="I4509" t="s">
        <v>32</v>
      </c>
      <c r="J4509">
        <v>20.34</v>
      </c>
      <c r="K4509">
        <v>1</v>
      </c>
      <c r="L4509">
        <v>0</v>
      </c>
      <c r="M4509">
        <v>0.2034</v>
      </c>
    </row>
    <row r="4510" spans="1:13" x14ac:dyDescent="0.3">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
      <c r="A4518" t="s">
        <v>28</v>
      </c>
      <c r="B4518" t="s">
        <v>14</v>
      </c>
      <c r="C4518" t="s">
        <v>15</v>
      </c>
      <c r="D4518" t="s">
        <v>42</v>
      </c>
      <c r="E4518" t="s">
        <v>43</v>
      </c>
      <c r="F4518">
        <v>98105</v>
      </c>
      <c r="G4518" t="s">
        <v>25</v>
      </c>
      <c r="H4518" t="s">
        <v>26</v>
      </c>
      <c r="I4518" t="s">
        <v>41</v>
      </c>
      <c r="J4518">
        <v>21.4</v>
      </c>
      <c r="K4518">
        <v>5</v>
      </c>
      <c r="L4518">
        <v>0</v>
      </c>
      <c r="M4518">
        <v>10.058</v>
      </c>
    </row>
    <row r="4519" spans="1:13" x14ac:dyDescent="0.3">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
      <c r="A4526" t="s">
        <v>28</v>
      </c>
      <c r="B4526" t="s">
        <v>14</v>
      </c>
      <c r="C4526" t="s">
        <v>15</v>
      </c>
      <c r="D4526" t="s">
        <v>75</v>
      </c>
      <c r="E4526" t="s">
        <v>76</v>
      </c>
      <c r="F4526">
        <v>10024</v>
      </c>
      <c r="G4526" t="s">
        <v>57</v>
      </c>
      <c r="H4526" t="s">
        <v>19</v>
      </c>
      <c r="I4526" t="s">
        <v>33</v>
      </c>
      <c r="J4526">
        <v>89.34</v>
      </c>
      <c r="K4526">
        <v>6</v>
      </c>
      <c r="L4526">
        <v>0</v>
      </c>
      <c r="M4526">
        <v>24.1218</v>
      </c>
    </row>
    <row r="4527" spans="1:13" x14ac:dyDescent="0.3">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
      <c r="A4533" t="s">
        <v>62</v>
      </c>
      <c r="B4533" t="s">
        <v>14</v>
      </c>
      <c r="C4533" t="s">
        <v>15</v>
      </c>
      <c r="D4533" t="s">
        <v>75</v>
      </c>
      <c r="E4533" t="s">
        <v>76</v>
      </c>
      <c r="F4533">
        <v>10009</v>
      </c>
      <c r="G4533" t="s">
        <v>57</v>
      </c>
      <c r="H4533" t="s">
        <v>26</v>
      </c>
      <c r="I4533" t="s">
        <v>32</v>
      </c>
      <c r="J4533">
        <v>40.44</v>
      </c>
      <c r="K4533">
        <v>3</v>
      </c>
      <c r="L4533">
        <v>0</v>
      </c>
      <c r="M4533">
        <v>10.5144</v>
      </c>
    </row>
    <row r="4534" spans="1:13" x14ac:dyDescent="0.3">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
      <c r="A4552" t="s">
        <v>62</v>
      </c>
      <c r="B4552" t="s">
        <v>14</v>
      </c>
      <c r="C4552" t="s">
        <v>15</v>
      </c>
      <c r="D4552" t="s">
        <v>169</v>
      </c>
      <c r="E4552" t="s">
        <v>127</v>
      </c>
      <c r="F4552">
        <v>6040</v>
      </c>
      <c r="G4552" t="s">
        <v>57</v>
      </c>
      <c r="H4552" t="s">
        <v>26</v>
      </c>
      <c r="I4552" t="s">
        <v>27</v>
      </c>
      <c r="J4552">
        <v>5.76</v>
      </c>
      <c r="K4552">
        <v>2</v>
      </c>
      <c r="L4552">
        <v>0</v>
      </c>
      <c r="M4552">
        <v>2.8224</v>
      </c>
    </row>
    <row r="4553" spans="1:13" x14ac:dyDescent="0.3">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
      <c r="A4556" t="s">
        <v>13</v>
      </c>
      <c r="B4556" t="s">
        <v>14</v>
      </c>
      <c r="C4556" t="s">
        <v>15</v>
      </c>
      <c r="D4556" t="s">
        <v>502</v>
      </c>
      <c r="E4556" t="s">
        <v>49</v>
      </c>
      <c r="F4556">
        <v>54601</v>
      </c>
      <c r="G4556" t="s">
        <v>47</v>
      </c>
      <c r="H4556" t="s">
        <v>26</v>
      </c>
      <c r="I4556" t="s">
        <v>37</v>
      </c>
      <c r="J4556">
        <v>56.82</v>
      </c>
      <c r="K4556">
        <v>3</v>
      </c>
      <c r="L4556">
        <v>0</v>
      </c>
      <c r="M4556">
        <v>28.41</v>
      </c>
    </row>
    <row r="4557" spans="1:13" x14ac:dyDescent="0.3">
      <c r="A4557" t="s">
        <v>62</v>
      </c>
      <c r="B4557" t="s">
        <v>14</v>
      </c>
      <c r="C4557" t="s">
        <v>15</v>
      </c>
      <c r="D4557" t="s">
        <v>242</v>
      </c>
      <c r="E4557" t="s">
        <v>91</v>
      </c>
      <c r="F4557">
        <v>29501</v>
      </c>
      <c r="G4557" t="s">
        <v>18</v>
      </c>
      <c r="H4557" t="s">
        <v>26</v>
      </c>
      <c r="I4557" t="s">
        <v>77</v>
      </c>
      <c r="J4557">
        <v>31.56</v>
      </c>
      <c r="K4557">
        <v>4</v>
      </c>
      <c r="L4557">
        <v>0</v>
      </c>
      <c r="M4557">
        <v>14.202</v>
      </c>
    </row>
    <row r="4558" spans="1:13" x14ac:dyDescent="0.3">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
      <c r="A4580" t="s">
        <v>28</v>
      </c>
      <c r="B4580" t="s">
        <v>44</v>
      </c>
      <c r="C4580" t="s">
        <v>15</v>
      </c>
      <c r="D4580" t="s">
        <v>500</v>
      </c>
      <c r="E4580" t="s">
        <v>83</v>
      </c>
      <c r="F4580">
        <v>23666</v>
      </c>
      <c r="G4580" t="s">
        <v>18</v>
      </c>
      <c r="H4580" t="s">
        <v>26</v>
      </c>
      <c r="I4580" t="s">
        <v>37</v>
      </c>
      <c r="J4580">
        <v>113.1</v>
      </c>
      <c r="K4580">
        <v>3</v>
      </c>
      <c r="L4580">
        <v>0</v>
      </c>
      <c r="M4580">
        <v>56.55</v>
      </c>
    </row>
    <row r="4581" spans="1:13" x14ac:dyDescent="0.3">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
      <c r="A4586" t="s">
        <v>13</v>
      </c>
      <c r="B4586" t="s">
        <v>44</v>
      </c>
      <c r="C4586" t="s">
        <v>15</v>
      </c>
      <c r="D4586" t="s">
        <v>505</v>
      </c>
      <c r="E4586" t="s">
        <v>24</v>
      </c>
      <c r="F4586">
        <v>94526</v>
      </c>
      <c r="G4586" t="s">
        <v>25</v>
      </c>
      <c r="H4586" t="s">
        <v>26</v>
      </c>
      <c r="I4586" t="s">
        <v>60</v>
      </c>
      <c r="J4586">
        <v>76.58</v>
      </c>
      <c r="K4586">
        <v>7</v>
      </c>
      <c r="L4586">
        <v>0</v>
      </c>
      <c r="M4586">
        <v>38.29</v>
      </c>
    </row>
    <row r="4587" spans="1:13" x14ac:dyDescent="0.3">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
      <c r="A4600" t="s">
        <v>28</v>
      </c>
      <c r="B4600" t="s">
        <v>44</v>
      </c>
      <c r="C4600" t="s">
        <v>15</v>
      </c>
      <c r="D4600" t="s">
        <v>241</v>
      </c>
      <c r="E4600" t="s">
        <v>49</v>
      </c>
      <c r="F4600">
        <v>53209</v>
      </c>
      <c r="G4600" t="s">
        <v>47</v>
      </c>
      <c r="H4600" t="s">
        <v>26</v>
      </c>
      <c r="I4600" t="s">
        <v>38</v>
      </c>
      <c r="J4600">
        <v>91.6</v>
      </c>
      <c r="K4600">
        <v>5</v>
      </c>
      <c r="L4600">
        <v>0</v>
      </c>
      <c r="M4600">
        <v>26.564</v>
      </c>
    </row>
    <row r="4601" spans="1:13" x14ac:dyDescent="0.3">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
      <c r="A4608" t="s">
        <v>28</v>
      </c>
      <c r="B4608" t="s">
        <v>14</v>
      </c>
      <c r="C4608" t="s">
        <v>15</v>
      </c>
      <c r="D4608" t="s">
        <v>92</v>
      </c>
      <c r="E4608" t="s">
        <v>76</v>
      </c>
      <c r="F4608">
        <v>14609</v>
      </c>
      <c r="G4608" t="s">
        <v>57</v>
      </c>
      <c r="H4608" t="s">
        <v>35</v>
      </c>
      <c r="I4608" t="s">
        <v>36</v>
      </c>
      <c r="J4608">
        <v>45.99</v>
      </c>
      <c r="K4608">
        <v>1</v>
      </c>
      <c r="L4608">
        <v>0</v>
      </c>
      <c r="M4608">
        <v>13.3371</v>
      </c>
    </row>
    <row r="4609" spans="1:13" x14ac:dyDescent="0.3">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
      <c r="A4611" t="s">
        <v>28</v>
      </c>
      <c r="B4611" t="s">
        <v>14</v>
      </c>
      <c r="C4611" t="s">
        <v>15</v>
      </c>
      <c r="D4611" t="s">
        <v>92</v>
      </c>
      <c r="E4611" t="s">
        <v>76</v>
      </c>
      <c r="F4611">
        <v>14609</v>
      </c>
      <c r="G4611" t="s">
        <v>57</v>
      </c>
      <c r="H4611" t="s">
        <v>26</v>
      </c>
      <c r="I4611" t="s">
        <v>41</v>
      </c>
      <c r="J4611">
        <v>45.36</v>
      </c>
      <c r="K4611">
        <v>7</v>
      </c>
      <c r="L4611">
        <v>0</v>
      </c>
      <c r="M4611">
        <v>21.7728</v>
      </c>
    </row>
    <row r="4612" spans="1:13" x14ac:dyDescent="0.3">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
      <c r="A4613" t="s">
        <v>13</v>
      </c>
      <c r="B4613" t="s">
        <v>22</v>
      </c>
      <c r="C4613" t="s">
        <v>15</v>
      </c>
      <c r="D4613" t="s">
        <v>285</v>
      </c>
      <c r="E4613" t="s">
        <v>185</v>
      </c>
      <c r="F4613">
        <v>39503</v>
      </c>
      <c r="G4613" t="s">
        <v>18</v>
      </c>
      <c r="H4613" t="s">
        <v>26</v>
      </c>
      <c r="I4613" t="s">
        <v>37</v>
      </c>
      <c r="J4613">
        <v>31.36</v>
      </c>
      <c r="K4613">
        <v>4</v>
      </c>
      <c r="L4613">
        <v>0</v>
      </c>
      <c r="M4613">
        <v>15.68</v>
      </c>
    </row>
    <row r="4614" spans="1:13" x14ac:dyDescent="0.3">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
      <c r="A4615" t="s">
        <v>28</v>
      </c>
      <c r="B4615" t="s">
        <v>14</v>
      </c>
      <c r="C4615" t="s">
        <v>15</v>
      </c>
      <c r="D4615" t="s">
        <v>189</v>
      </c>
      <c r="E4615" t="s">
        <v>30</v>
      </c>
      <c r="F4615">
        <v>32216</v>
      </c>
      <c r="G4615" t="s">
        <v>18</v>
      </c>
      <c r="H4615" t="s">
        <v>26</v>
      </c>
      <c r="I4615" t="s">
        <v>41</v>
      </c>
      <c r="J4615">
        <v>23.48</v>
      </c>
      <c r="K4615">
        <v>5</v>
      </c>
      <c r="L4615">
        <v>0.2</v>
      </c>
      <c r="M4615">
        <v>8.218</v>
      </c>
    </row>
    <row r="4616" spans="1:13" x14ac:dyDescent="0.3">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
      <c r="A4617" t="s">
        <v>28</v>
      </c>
      <c r="B4617" t="s">
        <v>44</v>
      </c>
      <c r="C4617" t="s">
        <v>15</v>
      </c>
      <c r="D4617" t="s">
        <v>61</v>
      </c>
      <c r="E4617" t="s">
        <v>46</v>
      </c>
      <c r="F4617">
        <v>77070</v>
      </c>
      <c r="G4617" t="s">
        <v>47</v>
      </c>
      <c r="H4617" t="s">
        <v>26</v>
      </c>
      <c r="I4617" t="s">
        <v>77</v>
      </c>
      <c r="J4617">
        <v>28.44</v>
      </c>
      <c r="K4617">
        <v>9</v>
      </c>
      <c r="L4617">
        <v>0.2</v>
      </c>
      <c r="M4617">
        <v>4.266</v>
      </c>
    </row>
    <row r="4618" spans="1:13" x14ac:dyDescent="0.3">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
      <c r="A4622" t="s">
        <v>62</v>
      </c>
      <c r="B4622" t="s">
        <v>44</v>
      </c>
      <c r="C4622" t="s">
        <v>15</v>
      </c>
      <c r="D4622" t="s">
        <v>23</v>
      </c>
      <c r="E4622" t="s">
        <v>24</v>
      </c>
      <c r="F4622">
        <v>90049</v>
      </c>
      <c r="G4622" t="s">
        <v>25</v>
      </c>
      <c r="H4622" t="s">
        <v>26</v>
      </c>
      <c r="I4622" t="s">
        <v>37</v>
      </c>
      <c r="J4622">
        <v>90.48</v>
      </c>
      <c r="K4622">
        <v>3</v>
      </c>
      <c r="L4622">
        <v>0.2</v>
      </c>
      <c r="M4622">
        <v>33.93</v>
      </c>
    </row>
    <row r="4623" spans="1:13" x14ac:dyDescent="0.3">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
      <c r="A4628" t="s">
        <v>28</v>
      </c>
      <c r="B4628" t="s">
        <v>22</v>
      </c>
      <c r="C4628" t="s">
        <v>15</v>
      </c>
      <c r="D4628" t="s">
        <v>75</v>
      </c>
      <c r="E4628" t="s">
        <v>76</v>
      </c>
      <c r="F4628">
        <v>10011</v>
      </c>
      <c r="G4628" t="s">
        <v>57</v>
      </c>
      <c r="H4628" t="s">
        <v>26</v>
      </c>
      <c r="I4628" t="s">
        <v>32</v>
      </c>
      <c r="J4628">
        <v>77.55</v>
      </c>
      <c r="K4628">
        <v>5</v>
      </c>
      <c r="L4628">
        <v>0</v>
      </c>
      <c r="M4628">
        <v>20.163</v>
      </c>
    </row>
    <row r="4629" spans="1:13" x14ac:dyDescent="0.3">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
      <c r="A4633" t="s">
        <v>13</v>
      </c>
      <c r="B4633" t="s">
        <v>14</v>
      </c>
      <c r="C4633" t="s">
        <v>15</v>
      </c>
      <c r="D4633" t="s">
        <v>52</v>
      </c>
      <c r="E4633" t="s">
        <v>24</v>
      </c>
      <c r="F4633">
        <v>94122</v>
      </c>
      <c r="G4633" t="s">
        <v>25</v>
      </c>
      <c r="H4633" t="s">
        <v>26</v>
      </c>
      <c r="I4633" t="s">
        <v>27</v>
      </c>
      <c r="J4633">
        <v>51.75</v>
      </c>
      <c r="K4633">
        <v>5</v>
      </c>
      <c r="L4633">
        <v>0</v>
      </c>
      <c r="M4633">
        <v>24.84</v>
      </c>
    </row>
    <row r="4634" spans="1:13" x14ac:dyDescent="0.3">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
      <c r="A4640" t="s">
        <v>62</v>
      </c>
      <c r="B4640" t="s">
        <v>14</v>
      </c>
      <c r="C4640" t="s">
        <v>15</v>
      </c>
      <c r="D4640" t="s">
        <v>23</v>
      </c>
      <c r="E4640" t="s">
        <v>24</v>
      </c>
      <c r="F4640">
        <v>90045</v>
      </c>
      <c r="G4640" t="s">
        <v>25</v>
      </c>
      <c r="H4640" t="s">
        <v>26</v>
      </c>
      <c r="I4640" t="s">
        <v>34</v>
      </c>
      <c r="J4640">
        <v>47.3</v>
      </c>
      <c r="K4640">
        <v>2</v>
      </c>
      <c r="L4640">
        <v>0</v>
      </c>
      <c r="M4640">
        <v>12.298</v>
      </c>
    </row>
    <row r="4641" spans="1:13" x14ac:dyDescent="0.3">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
      <c r="A4646" t="s">
        <v>28</v>
      </c>
      <c r="B4646" t="s">
        <v>14</v>
      </c>
      <c r="C4646" t="s">
        <v>15</v>
      </c>
      <c r="D4646" t="s">
        <v>42</v>
      </c>
      <c r="E4646" t="s">
        <v>43</v>
      </c>
      <c r="F4646">
        <v>98105</v>
      </c>
      <c r="G4646" t="s">
        <v>25</v>
      </c>
      <c r="H4646" t="s">
        <v>35</v>
      </c>
      <c r="I4646" t="s">
        <v>123</v>
      </c>
      <c r="J4646">
        <v>558.4</v>
      </c>
      <c r="K4646">
        <v>2</v>
      </c>
      <c r="L4646">
        <v>0.2</v>
      </c>
      <c r="M4646">
        <v>41.88</v>
      </c>
    </row>
    <row r="4647" spans="1:13" x14ac:dyDescent="0.3">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
      <c r="A4653" t="s">
        <v>28</v>
      </c>
      <c r="B4653" t="s">
        <v>44</v>
      </c>
      <c r="C4653" t="s">
        <v>15</v>
      </c>
      <c r="D4653" t="s">
        <v>52</v>
      </c>
      <c r="E4653" t="s">
        <v>24</v>
      </c>
      <c r="F4653">
        <v>94110</v>
      </c>
      <c r="G4653" t="s">
        <v>25</v>
      </c>
      <c r="H4653" t="s">
        <v>26</v>
      </c>
      <c r="I4653" t="s">
        <v>41</v>
      </c>
      <c r="J4653">
        <v>195.76</v>
      </c>
      <c r="K4653">
        <v>4</v>
      </c>
      <c r="L4653">
        <v>0</v>
      </c>
      <c r="M4653">
        <v>97.88</v>
      </c>
    </row>
    <row r="4654" spans="1:13" x14ac:dyDescent="0.3">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
      <c r="A4665" t="s">
        <v>28</v>
      </c>
      <c r="B4665" t="s">
        <v>14</v>
      </c>
      <c r="C4665" t="s">
        <v>15</v>
      </c>
      <c r="D4665" t="s">
        <v>189</v>
      </c>
      <c r="E4665" t="s">
        <v>30</v>
      </c>
      <c r="F4665">
        <v>32216</v>
      </c>
      <c r="G4665" t="s">
        <v>18</v>
      </c>
      <c r="H4665" t="s">
        <v>26</v>
      </c>
      <c r="I4665" t="s">
        <v>27</v>
      </c>
      <c r="J4665">
        <v>3</v>
      </c>
      <c r="K4665">
        <v>1</v>
      </c>
      <c r="L4665">
        <v>0.2</v>
      </c>
      <c r="M4665">
        <v>1.05</v>
      </c>
    </row>
    <row r="4666" spans="1:13" x14ac:dyDescent="0.3">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
      <c r="A4686" t="s">
        <v>28</v>
      </c>
      <c r="B4686" t="s">
        <v>22</v>
      </c>
      <c r="C4686" t="s">
        <v>15</v>
      </c>
      <c r="D4686" t="s">
        <v>55</v>
      </c>
      <c r="E4686" t="s">
        <v>56</v>
      </c>
      <c r="F4686">
        <v>19120</v>
      </c>
      <c r="G4686" t="s">
        <v>57</v>
      </c>
      <c r="H4686" t="s">
        <v>19</v>
      </c>
      <c r="I4686" t="s">
        <v>20</v>
      </c>
      <c r="J4686">
        <v>163.88</v>
      </c>
      <c r="K4686">
        <v>4</v>
      </c>
      <c r="L4686">
        <v>0.5</v>
      </c>
      <c r="M4686">
        <v>-81.94</v>
      </c>
    </row>
    <row r="4687" spans="1:13" x14ac:dyDescent="0.3">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
      <c r="A4712" t="s">
        <v>62</v>
      </c>
      <c r="B4712" t="s">
        <v>14</v>
      </c>
      <c r="C4712" t="s">
        <v>15</v>
      </c>
      <c r="D4712" t="s">
        <v>23</v>
      </c>
      <c r="E4712" t="s">
        <v>24</v>
      </c>
      <c r="F4712">
        <v>90049</v>
      </c>
      <c r="G4712" t="s">
        <v>25</v>
      </c>
      <c r="H4712" t="s">
        <v>35</v>
      </c>
      <c r="I4712" t="s">
        <v>59</v>
      </c>
      <c r="J4712">
        <v>62.31</v>
      </c>
      <c r="K4712">
        <v>3</v>
      </c>
      <c r="L4712">
        <v>0</v>
      </c>
      <c r="M4712">
        <v>22.4316</v>
      </c>
    </row>
    <row r="4713" spans="1:13" x14ac:dyDescent="0.3">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
      <c r="A4720" t="s">
        <v>62</v>
      </c>
      <c r="B4720" t="s">
        <v>22</v>
      </c>
      <c r="C4720" t="s">
        <v>15</v>
      </c>
      <c r="D4720" t="s">
        <v>52</v>
      </c>
      <c r="E4720" t="s">
        <v>24</v>
      </c>
      <c r="F4720">
        <v>94109</v>
      </c>
      <c r="G4720" t="s">
        <v>25</v>
      </c>
      <c r="H4720" t="s">
        <v>26</v>
      </c>
      <c r="I4720" t="s">
        <v>41</v>
      </c>
      <c r="J4720">
        <v>45.36</v>
      </c>
      <c r="K4720">
        <v>7</v>
      </c>
      <c r="L4720">
        <v>0</v>
      </c>
      <c r="M4720">
        <v>21.7728</v>
      </c>
    </row>
    <row r="4721" spans="1:13" x14ac:dyDescent="0.3">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
      <c r="A4745" t="s">
        <v>168</v>
      </c>
      <c r="B4745" t="s">
        <v>14</v>
      </c>
      <c r="C4745" t="s">
        <v>15</v>
      </c>
      <c r="D4745" t="s">
        <v>92</v>
      </c>
      <c r="E4745" t="s">
        <v>68</v>
      </c>
      <c r="F4745">
        <v>55901</v>
      </c>
      <c r="G4745" t="s">
        <v>47</v>
      </c>
      <c r="H4745" t="s">
        <v>26</v>
      </c>
      <c r="I4745" t="s">
        <v>77</v>
      </c>
      <c r="J4745">
        <v>7.9</v>
      </c>
      <c r="K4745">
        <v>2</v>
      </c>
      <c r="L4745">
        <v>0</v>
      </c>
      <c r="M4745">
        <v>2.528</v>
      </c>
    </row>
    <row r="4746" spans="1:13" x14ac:dyDescent="0.3">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
      <c r="A4751" t="s">
        <v>62</v>
      </c>
      <c r="B4751" t="s">
        <v>22</v>
      </c>
      <c r="C4751" t="s">
        <v>15</v>
      </c>
      <c r="D4751" t="s">
        <v>42</v>
      </c>
      <c r="E4751" t="s">
        <v>43</v>
      </c>
      <c r="F4751">
        <v>98103</v>
      </c>
      <c r="G4751" t="s">
        <v>25</v>
      </c>
      <c r="H4751" t="s">
        <v>26</v>
      </c>
      <c r="I4751" t="s">
        <v>41</v>
      </c>
      <c r="J4751">
        <v>33.4</v>
      </c>
      <c r="K4751">
        <v>5</v>
      </c>
      <c r="L4751">
        <v>0</v>
      </c>
      <c r="M4751">
        <v>16.032</v>
      </c>
    </row>
    <row r="4752" spans="1:13" x14ac:dyDescent="0.3">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
      <c r="A4783" t="s">
        <v>28</v>
      </c>
      <c r="B4783" t="s">
        <v>14</v>
      </c>
      <c r="C4783" t="s">
        <v>15</v>
      </c>
      <c r="D4783" t="s">
        <v>61</v>
      </c>
      <c r="E4783" t="s">
        <v>46</v>
      </c>
      <c r="F4783">
        <v>77070</v>
      </c>
      <c r="G4783" t="s">
        <v>47</v>
      </c>
      <c r="H4783" t="s">
        <v>26</v>
      </c>
      <c r="I4783" t="s">
        <v>37</v>
      </c>
      <c r="J4783">
        <v>1.476</v>
      </c>
      <c r="K4783">
        <v>3</v>
      </c>
      <c r="L4783">
        <v>0.8</v>
      </c>
      <c r="M4783">
        <v>-2.214</v>
      </c>
    </row>
    <row r="4784" spans="1:13" x14ac:dyDescent="0.3">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
      <c r="A4812" t="s">
        <v>62</v>
      </c>
      <c r="B4812" t="s">
        <v>14</v>
      </c>
      <c r="C4812" t="s">
        <v>15</v>
      </c>
      <c r="D4812" t="s">
        <v>431</v>
      </c>
      <c r="E4812" t="s">
        <v>49</v>
      </c>
      <c r="F4812">
        <v>54703</v>
      </c>
      <c r="G4812" t="s">
        <v>47</v>
      </c>
      <c r="H4812" t="s">
        <v>35</v>
      </c>
      <c r="I4812" t="s">
        <v>36</v>
      </c>
      <c r="J4812">
        <v>239.9</v>
      </c>
      <c r="K4812">
        <v>2</v>
      </c>
      <c r="L4812">
        <v>0</v>
      </c>
      <c r="M4812">
        <v>71.97</v>
      </c>
    </row>
    <row r="4813" spans="1:13" x14ac:dyDescent="0.3">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
      <c r="A4834" t="s">
        <v>28</v>
      </c>
      <c r="B4834" t="s">
        <v>14</v>
      </c>
      <c r="C4834" t="s">
        <v>15</v>
      </c>
      <c r="D4834" t="s">
        <v>512</v>
      </c>
      <c r="E4834" t="s">
        <v>49</v>
      </c>
      <c r="F4834">
        <v>54401</v>
      </c>
      <c r="G4834" t="s">
        <v>47</v>
      </c>
      <c r="H4834" t="s">
        <v>26</v>
      </c>
      <c r="I4834" t="s">
        <v>32</v>
      </c>
      <c r="J4834">
        <v>22.58</v>
      </c>
      <c r="K4834">
        <v>2</v>
      </c>
      <c r="L4834">
        <v>0</v>
      </c>
      <c r="M4834">
        <v>5.8708</v>
      </c>
    </row>
    <row r="4835" spans="1:13" x14ac:dyDescent="0.3">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
      <c r="A4857" t="s">
        <v>13</v>
      </c>
      <c r="B4857" t="s">
        <v>14</v>
      </c>
      <c r="C4857" t="s">
        <v>15</v>
      </c>
      <c r="D4857" t="s">
        <v>267</v>
      </c>
      <c r="E4857" t="s">
        <v>24</v>
      </c>
      <c r="F4857">
        <v>94601</v>
      </c>
      <c r="G4857" t="s">
        <v>25</v>
      </c>
      <c r="H4857" t="s">
        <v>19</v>
      </c>
      <c r="I4857" t="s">
        <v>33</v>
      </c>
      <c r="J4857">
        <v>9.24</v>
      </c>
      <c r="K4857">
        <v>3</v>
      </c>
      <c r="L4857">
        <v>0</v>
      </c>
      <c r="M4857">
        <v>4.4352</v>
      </c>
    </row>
    <row r="4858" spans="1:13" x14ac:dyDescent="0.3">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
      <c r="A4860" t="s">
        <v>28</v>
      </c>
      <c r="B4860" t="s">
        <v>14</v>
      </c>
      <c r="C4860" t="s">
        <v>15</v>
      </c>
      <c r="D4860" t="s">
        <v>23</v>
      </c>
      <c r="E4860" t="s">
        <v>24</v>
      </c>
      <c r="F4860">
        <v>90004</v>
      </c>
      <c r="G4860" t="s">
        <v>25</v>
      </c>
      <c r="H4860" t="s">
        <v>19</v>
      </c>
      <c r="I4860" t="s">
        <v>33</v>
      </c>
      <c r="J4860">
        <v>464.85</v>
      </c>
      <c r="K4860">
        <v>9</v>
      </c>
      <c r="L4860">
        <v>0</v>
      </c>
      <c r="M4860">
        <v>92.97</v>
      </c>
    </row>
    <row r="4861" spans="1:13" x14ac:dyDescent="0.3">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
      <c r="A4870" t="s">
        <v>28</v>
      </c>
      <c r="B4870" t="s">
        <v>14</v>
      </c>
      <c r="C4870" t="s">
        <v>15</v>
      </c>
      <c r="D4870" t="s">
        <v>42</v>
      </c>
      <c r="E4870" t="s">
        <v>43</v>
      </c>
      <c r="F4870">
        <v>98103</v>
      </c>
      <c r="G4870" t="s">
        <v>25</v>
      </c>
      <c r="H4870" t="s">
        <v>26</v>
      </c>
      <c r="I4870" t="s">
        <v>27</v>
      </c>
      <c r="J4870">
        <v>8.64</v>
      </c>
      <c r="K4870">
        <v>3</v>
      </c>
      <c r="L4870">
        <v>0</v>
      </c>
      <c r="M4870">
        <v>4.2336</v>
      </c>
    </row>
    <row r="4871" spans="1:13" x14ac:dyDescent="0.3">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
      <c r="A4880" t="s">
        <v>62</v>
      </c>
      <c r="B4880" t="s">
        <v>14</v>
      </c>
      <c r="C4880" t="s">
        <v>15</v>
      </c>
      <c r="D4880" t="s">
        <v>515</v>
      </c>
      <c r="E4880" t="s">
        <v>30</v>
      </c>
      <c r="F4880">
        <v>32503</v>
      </c>
      <c r="G4880" t="s">
        <v>18</v>
      </c>
      <c r="H4880" t="s">
        <v>26</v>
      </c>
      <c r="I4880" t="s">
        <v>37</v>
      </c>
      <c r="J4880">
        <v>2.214</v>
      </c>
      <c r="K4880">
        <v>3</v>
      </c>
      <c r="L4880">
        <v>0.7</v>
      </c>
      <c r="M4880">
        <v>-1.476</v>
      </c>
    </row>
    <row r="4881" spans="1:13" x14ac:dyDescent="0.3">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
      <c r="A4884" t="s">
        <v>13</v>
      </c>
      <c r="B4884" t="s">
        <v>22</v>
      </c>
      <c r="C4884" t="s">
        <v>15</v>
      </c>
      <c r="D4884" t="s">
        <v>16</v>
      </c>
      <c r="E4884" t="s">
        <v>17</v>
      </c>
      <c r="F4884">
        <v>42420</v>
      </c>
      <c r="G4884" t="s">
        <v>18</v>
      </c>
      <c r="H4884" t="s">
        <v>26</v>
      </c>
      <c r="I4884" t="s">
        <v>32</v>
      </c>
      <c r="J4884">
        <v>59.92</v>
      </c>
      <c r="K4884">
        <v>4</v>
      </c>
      <c r="L4884">
        <v>0</v>
      </c>
      <c r="M4884">
        <v>16.7776</v>
      </c>
    </row>
    <row r="4885" spans="1:13" x14ac:dyDescent="0.3">
      <c r="A4885" t="s">
        <v>28</v>
      </c>
      <c r="B4885" t="s">
        <v>14</v>
      </c>
      <c r="C4885" t="s">
        <v>15</v>
      </c>
      <c r="D4885" t="s">
        <v>208</v>
      </c>
      <c r="E4885" t="s">
        <v>24</v>
      </c>
      <c r="F4885">
        <v>92804</v>
      </c>
      <c r="G4885" t="s">
        <v>25</v>
      </c>
      <c r="H4885" t="s">
        <v>26</v>
      </c>
      <c r="I4885" t="s">
        <v>37</v>
      </c>
      <c r="J4885">
        <v>171.2</v>
      </c>
      <c r="K4885">
        <v>5</v>
      </c>
      <c r="L4885">
        <v>0.2</v>
      </c>
      <c r="M4885">
        <v>64.2</v>
      </c>
    </row>
    <row r="4886" spans="1:13" x14ac:dyDescent="0.3">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
      <c r="A4907" t="s">
        <v>13</v>
      </c>
      <c r="B4907" t="s">
        <v>22</v>
      </c>
      <c r="C4907" t="s">
        <v>15</v>
      </c>
      <c r="D4907" t="s">
        <v>39</v>
      </c>
      <c r="E4907" t="s">
        <v>247</v>
      </c>
      <c r="F4907">
        <v>3301</v>
      </c>
      <c r="G4907" t="s">
        <v>57</v>
      </c>
      <c r="H4907" t="s">
        <v>26</v>
      </c>
      <c r="I4907" t="s">
        <v>37</v>
      </c>
      <c r="J4907">
        <v>22.92</v>
      </c>
      <c r="K4907">
        <v>4</v>
      </c>
      <c r="L4907">
        <v>0</v>
      </c>
      <c r="M4907">
        <v>11.0016</v>
      </c>
    </row>
    <row r="4908" spans="1:13" x14ac:dyDescent="0.3">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
      <c r="A4914" t="s">
        <v>28</v>
      </c>
      <c r="B4914" t="s">
        <v>14</v>
      </c>
      <c r="C4914" t="s">
        <v>15</v>
      </c>
      <c r="D4914" t="s">
        <v>357</v>
      </c>
      <c r="E4914" t="s">
        <v>86</v>
      </c>
      <c r="F4914">
        <v>37604</v>
      </c>
      <c r="G4914" t="s">
        <v>18</v>
      </c>
      <c r="H4914" t="s">
        <v>26</v>
      </c>
      <c r="I4914" t="s">
        <v>37</v>
      </c>
      <c r="J4914">
        <v>5.97</v>
      </c>
      <c r="K4914">
        <v>5</v>
      </c>
      <c r="L4914">
        <v>0.7</v>
      </c>
      <c r="M4914">
        <v>-4.577</v>
      </c>
    </row>
    <row r="4915" spans="1:13" x14ac:dyDescent="0.3">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
      <c r="A4916" t="s">
        <v>13</v>
      </c>
      <c r="B4916" t="s">
        <v>14</v>
      </c>
      <c r="C4916" t="s">
        <v>15</v>
      </c>
      <c r="D4916" t="s">
        <v>42</v>
      </c>
      <c r="E4916" t="s">
        <v>43</v>
      </c>
      <c r="F4916">
        <v>98105</v>
      </c>
      <c r="G4916" t="s">
        <v>25</v>
      </c>
      <c r="H4916" t="s">
        <v>26</v>
      </c>
      <c r="I4916" t="s">
        <v>34</v>
      </c>
      <c r="J4916">
        <v>35.96</v>
      </c>
      <c r="K4916">
        <v>2</v>
      </c>
      <c r="L4916">
        <v>0</v>
      </c>
      <c r="M4916">
        <v>10.4284</v>
      </c>
    </row>
    <row r="4917" spans="1:13" x14ac:dyDescent="0.3">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
      <c r="A4927" t="s">
        <v>62</v>
      </c>
      <c r="B4927" t="s">
        <v>22</v>
      </c>
      <c r="C4927" t="s">
        <v>15</v>
      </c>
      <c r="D4927" t="s">
        <v>184</v>
      </c>
      <c r="E4927" t="s">
        <v>166</v>
      </c>
      <c r="F4927">
        <v>1841</v>
      </c>
      <c r="G4927" t="s">
        <v>57</v>
      </c>
      <c r="H4927" t="s">
        <v>26</v>
      </c>
      <c r="I4927" t="s">
        <v>34</v>
      </c>
      <c r="J4927">
        <v>14.88</v>
      </c>
      <c r="K4927">
        <v>2</v>
      </c>
      <c r="L4927">
        <v>0</v>
      </c>
      <c r="M4927">
        <v>3.72</v>
      </c>
    </row>
    <row r="4928" spans="1:13" x14ac:dyDescent="0.3">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
      <c r="A4933" t="s">
        <v>28</v>
      </c>
      <c r="B4933" t="s">
        <v>22</v>
      </c>
      <c r="C4933" t="s">
        <v>15</v>
      </c>
      <c r="D4933" t="s">
        <v>42</v>
      </c>
      <c r="E4933" t="s">
        <v>43</v>
      </c>
      <c r="F4933">
        <v>98103</v>
      </c>
      <c r="G4933" t="s">
        <v>25</v>
      </c>
      <c r="H4933" t="s">
        <v>26</v>
      </c>
      <c r="I4933" t="s">
        <v>34</v>
      </c>
      <c r="J4933">
        <v>23.1</v>
      </c>
      <c r="K4933">
        <v>2</v>
      </c>
      <c r="L4933">
        <v>0</v>
      </c>
      <c r="M4933">
        <v>6.93</v>
      </c>
    </row>
    <row r="4934" spans="1:13" x14ac:dyDescent="0.3">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
      <c r="A4955" t="s">
        <v>28</v>
      </c>
      <c r="B4955" t="s">
        <v>22</v>
      </c>
      <c r="C4955" t="s">
        <v>15</v>
      </c>
      <c r="D4955" t="s">
        <v>75</v>
      </c>
      <c r="E4955" t="s">
        <v>76</v>
      </c>
      <c r="F4955">
        <v>10009</v>
      </c>
      <c r="G4955" t="s">
        <v>57</v>
      </c>
      <c r="H4955" t="s">
        <v>35</v>
      </c>
      <c r="I4955" t="s">
        <v>36</v>
      </c>
      <c r="J4955">
        <v>85.9</v>
      </c>
      <c r="K4955">
        <v>2</v>
      </c>
      <c r="L4955">
        <v>0</v>
      </c>
      <c r="M4955">
        <v>2.577</v>
      </c>
    </row>
    <row r="4956" spans="1:13" x14ac:dyDescent="0.3">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
      <c r="A4958" t="s">
        <v>13</v>
      </c>
      <c r="B4958" t="s">
        <v>22</v>
      </c>
      <c r="C4958" t="s">
        <v>15</v>
      </c>
      <c r="D4958" t="s">
        <v>311</v>
      </c>
      <c r="E4958" t="s">
        <v>177</v>
      </c>
      <c r="F4958">
        <v>89031</v>
      </c>
      <c r="G4958" t="s">
        <v>25</v>
      </c>
      <c r="H4958" t="s">
        <v>19</v>
      </c>
      <c r="I4958" t="s">
        <v>33</v>
      </c>
      <c r="J4958">
        <v>37.4</v>
      </c>
      <c r="K4958">
        <v>2</v>
      </c>
      <c r="L4958">
        <v>0</v>
      </c>
      <c r="M4958">
        <v>14.212</v>
      </c>
    </row>
    <row r="4959" spans="1:13" x14ac:dyDescent="0.3">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
      <c r="A4967" t="s">
        <v>13</v>
      </c>
      <c r="B4967" t="s">
        <v>22</v>
      </c>
      <c r="C4967" t="s">
        <v>15</v>
      </c>
      <c r="D4967" t="s">
        <v>90</v>
      </c>
      <c r="E4967" t="s">
        <v>86</v>
      </c>
      <c r="F4967">
        <v>38401</v>
      </c>
      <c r="G4967" t="s">
        <v>18</v>
      </c>
      <c r="H4967" t="s">
        <v>35</v>
      </c>
      <c r="I4967" t="s">
        <v>36</v>
      </c>
      <c r="J4967">
        <v>467.04</v>
      </c>
      <c r="K4967">
        <v>4</v>
      </c>
      <c r="L4967">
        <v>0.2</v>
      </c>
      <c r="M4967">
        <v>58.38</v>
      </c>
    </row>
    <row r="4968" spans="1:13" x14ac:dyDescent="0.3">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
      <c r="A4987" t="s">
        <v>168</v>
      </c>
      <c r="B4987" t="s">
        <v>14</v>
      </c>
      <c r="C4987" t="s">
        <v>15</v>
      </c>
      <c r="D4987" t="s">
        <v>75</v>
      </c>
      <c r="E4987" t="s">
        <v>76</v>
      </c>
      <c r="F4987">
        <v>10009</v>
      </c>
      <c r="G4987" t="s">
        <v>57</v>
      </c>
      <c r="H4987" t="s">
        <v>26</v>
      </c>
      <c r="I4987" t="s">
        <v>27</v>
      </c>
      <c r="J4987">
        <v>14.4</v>
      </c>
      <c r="K4987">
        <v>5</v>
      </c>
      <c r="L4987">
        <v>0</v>
      </c>
      <c r="M4987">
        <v>7.056</v>
      </c>
    </row>
    <row r="4988" spans="1:13" x14ac:dyDescent="0.3">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
      <c r="A4996" t="s">
        <v>28</v>
      </c>
      <c r="B4996" t="s">
        <v>22</v>
      </c>
      <c r="C4996" t="s">
        <v>15</v>
      </c>
      <c r="D4996" t="s">
        <v>85</v>
      </c>
      <c r="E4996" t="s">
        <v>86</v>
      </c>
      <c r="F4996">
        <v>38109</v>
      </c>
      <c r="G4996" t="s">
        <v>18</v>
      </c>
      <c r="H4996" t="s">
        <v>19</v>
      </c>
      <c r="I4996" t="s">
        <v>33</v>
      </c>
      <c r="J4996">
        <v>20.32</v>
      </c>
      <c r="K4996">
        <v>5</v>
      </c>
      <c r="L4996">
        <v>0.2</v>
      </c>
      <c r="M4996">
        <v>3.556</v>
      </c>
    </row>
    <row r="4997" spans="1:13" x14ac:dyDescent="0.3">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
      <c r="A5041" t="s">
        <v>62</v>
      </c>
      <c r="B5041" t="s">
        <v>22</v>
      </c>
      <c r="C5041" t="s">
        <v>15</v>
      </c>
      <c r="D5041" t="s">
        <v>106</v>
      </c>
      <c r="E5041" t="s">
        <v>72</v>
      </c>
      <c r="F5041">
        <v>19805</v>
      </c>
      <c r="G5041" t="s">
        <v>57</v>
      </c>
      <c r="H5041" t="s">
        <v>35</v>
      </c>
      <c r="I5041" t="s">
        <v>36</v>
      </c>
      <c r="J5041">
        <v>716</v>
      </c>
      <c r="K5041">
        <v>2</v>
      </c>
      <c r="L5041">
        <v>0</v>
      </c>
      <c r="M5041">
        <v>193.32</v>
      </c>
    </row>
    <row r="5042" spans="1:13" x14ac:dyDescent="0.3">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
      <c r="A5053" t="s">
        <v>28</v>
      </c>
      <c r="B5053" t="s">
        <v>22</v>
      </c>
      <c r="C5053" t="s">
        <v>15</v>
      </c>
      <c r="D5053" t="s">
        <v>55</v>
      </c>
      <c r="E5053" t="s">
        <v>56</v>
      </c>
      <c r="F5053">
        <v>19140</v>
      </c>
      <c r="G5053" t="s">
        <v>57</v>
      </c>
      <c r="H5053" t="s">
        <v>26</v>
      </c>
      <c r="I5053" t="s">
        <v>60</v>
      </c>
      <c r="J5053">
        <v>24.4</v>
      </c>
      <c r="K5053">
        <v>2</v>
      </c>
      <c r="L5053">
        <v>0.2</v>
      </c>
      <c r="M5053">
        <v>7.93</v>
      </c>
    </row>
    <row r="5054" spans="1:13" x14ac:dyDescent="0.3">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
      <c r="A5055" t="s">
        <v>13</v>
      </c>
      <c r="B5055" t="s">
        <v>14</v>
      </c>
      <c r="C5055" t="s">
        <v>15</v>
      </c>
      <c r="D5055" t="s">
        <v>135</v>
      </c>
      <c r="E5055" t="s">
        <v>46</v>
      </c>
      <c r="F5055">
        <v>75217</v>
      </c>
      <c r="G5055" t="s">
        <v>47</v>
      </c>
      <c r="H5055" t="s">
        <v>35</v>
      </c>
      <c r="I5055" t="s">
        <v>59</v>
      </c>
      <c r="J5055">
        <v>398.4</v>
      </c>
      <c r="K5055">
        <v>5</v>
      </c>
      <c r="L5055">
        <v>0.2</v>
      </c>
      <c r="M5055">
        <v>84.66</v>
      </c>
    </row>
    <row r="5056" spans="1:13" x14ac:dyDescent="0.3">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
      <c r="A5058" t="s">
        <v>62</v>
      </c>
      <c r="B5058" t="s">
        <v>14</v>
      </c>
      <c r="C5058" t="s">
        <v>15</v>
      </c>
      <c r="D5058" t="s">
        <v>520</v>
      </c>
      <c r="E5058" t="s">
        <v>24</v>
      </c>
      <c r="F5058">
        <v>92553</v>
      </c>
      <c r="G5058" t="s">
        <v>25</v>
      </c>
      <c r="H5058" t="s">
        <v>26</v>
      </c>
      <c r="I5058" t="s">
        <v>41</v>
      </c>
      <c r="J5058">
        <v>26.4</v>
      </c>
      <c r="K5058">
        <v>5</v>
      </c>
      <c r="L5058">
        <v>0</v>
      </c>
      <c r="M5058">
        <v>11.88</v>
      </c>
    </row>
    <row r="5059" spans="1:13" x14ac:dyDescent="0.3">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
      <c r="A5063" t="s">
        <v>28</v>
      </c>
      <c r="B5063" t="s">
        <v>14</v>
      </c>
      <c r="C5063" t="s">
        <v>15</v>
      </c>
      <c r="D5063" t="s">
        <v>93</v>
      </c>
      <c r="E5063" t="s">
        <v>68</v>
      </c>
      <c r="F5063">
        <v>55407</v>
      </c>
      <c r="G5063" t="s">
        <v>47</v>
      </c>
      <c r="H5063" t="s">
        <v>26</v>
      </c>
      <c r="I5063" t="s">
        <v>37</v>
      </c>
      <c r="J5063">
        <v>43.98</v>
      </c>
      <c r="K5063">
        <v>2</v>
      </c>
      <c r="L5063">
        <v>0</v>
      </c>
      <c r="M5063">
        <v>21.99</v>
      </c>
    </row>
    <row r="5064" spans="1:13" x14ac:dyDescent="0.3">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
      <c r="A5075" t="s">
        <v>168</v>
      </c>
      <c r="B5075" t="s">
        <v>14</v>
      </c>
      <c r="C5075" t="s">
        <v>15</v>
      </c>
      <c r="D5075" t="s">
        <v>52</v>
      </c>
      <c r="E5075" t="s">
        <v>24</v>
      </c>
      <c r="F5075">
        <v>94109</v>
      </c>
      <c r="G5075" t="s">
        <v>25</v>
      </c>
      <c r="H5075" t="s">
        <v>26</v>
      </c>
      <c r="I5075" t="s">
        <v>32</v>
      </c>
      <c r="J5075">
        <v>62.8</v>
      </c>
      <c r="K5075">
        <v>4</v>
      </c>
      <c r="L5075">
        <v>0</v>
      </c>
      <c r="M5075">
        <v>15.7</v>
      </c>
    </row>
    <row r="5076" spans="1:13" x14ac:dyDescent="0.3">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
      <c r="A5077" t="s">
        <v>13</v>
      </c>
      <c r="B5077" t="s">
        <v>14</v>
      </c>
      <c r="C5077" t="s">
        <v>15</v>
      </c>
      <c r="D5077" t="s">
        <v>61</v>
      </c>
      <c r="E5077" t="s">
        <v>46</v>
      </c>
      <c r="F5077">
        <v>77070</v>
      </c>
      <c r="G5077" t="s">
        <v>47</v>
      </c>
      <c r="H5077" t="s">
        <v>19</v>
      </c>
      <c r="I5077" t="s">
        <v>31</v>
      </c>
      <c r="J5077">
        <v>744.1</v>
      </c>
      <c r="K5077">
        <v>5</v>
      </c>
      <c r="L5077">
        <v>0.3</v>
      </c>
      <c r="M5077">
        <v>-95.67</v>
      </c>
    </row>
    <row r="5078" spans="1:13" x14ac:dyDescent="0.3">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
      <c r="A5097" t="s">
        <v>28</v>
      </c>
      <c r="B5097" t="s">
        <v>14</v>
      </c>
      <c r="C5097" t="s">
        <v>15</v>
      </c>
      <c r="D5097" t="s">
        <v>79</v>
      </c>
      <c r="E5097" t="s">
        <v>65</v>
      </c>
      <c r="F5097">
        <v>60610</v>
      </c>
      <c r="G5097" t="s">
        <v>47</v>
      </c>
      <c r="H5097" t="s">
        <v>35</v>
      </c>
      <c r="I5097" t="s">
        <v>36</v>
      </c>
      <c r="J5097">
        <v>35.04</v>
      </c>
      <c r="K5097">
        <v>4</v>
      </c>
      <c r="L5097">
        <v>0.2</v>
      </c>
      <c r="M5097">
        <v>-7.008</v>
      </c>
    </row>
    <row r="5098" spans="1:13" x14ac:dyDescent="0.3">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
      <c r="A5113" t="s">
        <v>28</v>
      </c>
      <c r="B5113" t="s">
        <v>22</v>
      </c>
      <c r="C5113" t="s">
        <v>15</v>
      </c>
      <c r="D5113" t="s">
        <v>55</v>
      </c>
      <c r="E5113" t="s">
        <v>56</v>
      </c>
      <c r="F5113">
        <v>19134</v>
      </c>
      <c r="G5113" t="s">
        <v>57</v>
      </c>
      <c r="H5113" t="s">
        <v>26</v>
      </c>
      <c r="I5113" t="s">
        <v>41</v>
      </c>
      <c r="J5113">
        <v>10.048</v>
      </c>
      <c r="K5113">
        <v>4</v>
      </c>
      <c r="L5113">
        <v>0.2</v>
      </c>
      <c r="M5113">
        <v>3.14</v>
      </c>
    </row>
    <row r="5114" spans="1:13" x14ac:dyDescent="0.3">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
      <c r="A5148" t="s">
        <v>28</v>
      </c>
      <c r="B5148" t="s">
        <v>14</v>
      </c>
      <c r="C5148" t="s">
        <v>15</v>
      </c>
      <c r="D5148" t="s">
        <v>23</v>
      </c>
      <c r="E5148" t="s">
        <v>24</v>
      </c>
      <c r="F5148">
        <v>90045</v>
      </c>
      <c r="G5148" t="s">
        <v>25</v>
      </c>
      <c r="H5148" t="s">
        <v>26</v>
      </c>
      <c r="I5148" t="s">
        <v>38</v>
      </c>
      <c r="J5148">
        <v>46.8</v>
      </c>
      <c r="K5148">
        <v>4</v>
      </c>
      <c r="L5148">
        <v>0</v>
      </c>
      <c r="M5148">
        <v>16.38</v>
      </c>
    </row>
    <row r="5149" spans="1:13" x14ac:dyDescent="0.3">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
      <c r="A5152" t="s">
        <v>13</v>
      </c>
      <c r="B5152" t="s">
        <v>22</v>
      </c>
      <c r="C5152" t="s">
        <v>15</v>
      </c>
      <c r="D5152" t="s">
        <v>52</v>
      </c>
      <c r="E5152" t="s">
        <v>24</v>
      </c>
      <c r="F5152">
        <v>94109</v>
      </c>
      <c r="G5152" t="s">
        <v>25</v>
      </c>
      <c r="H5152" t="s">
        <v>26</v>
      </c>
      <c r="I5152" t="s">
        <v>32</v>
      </c>
      <c r="J5152">
        <v>67.78</v>
      </c>
      <c r="K5152">
        <v>2</v>
      </c>
      <c r="L5152">
        <v>0</v>
      </c>
      <c r="M5152">
        <v>16.945</v>
      </c>
    </row>
    <row r="5153" spans="1:13" x14ac:dyDescent="0.3">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
      <c r="A5156" t="s">
        <v>62</v>
      </c>
      <c r="B5156" t="s">
        <v>14</v>
      </c>
      <c r="C5156" t="s">
        <v>15</v>
      </c>
      <c r="D5156" t="s">
        <v>525</v>
      </c>
      <c r="E5156" t="s">
        <v>112</v>
      </c>
      <c r="F5156">
        <v>63122</v>
      </c>
      <c r="G5156" t="s">
        <v>47</v>
      </c>
      <c r="H5156" t="s">
        <v>26</v>
      </c>
      <c r="I5156" t="s">
        <v>37</v>
      </c>
      <c r="J5156">
        <v>28.4</v>
      </c>
      <c r="K5156">
        <v>4</v>
      </c>
      <c r="L5156">
        <v>0</v>
      </c>
      <c r="M5156">
        <v>13.064</v>
      </c>
    </row>
    <row r="5157" spans="1:13" x14ac:dyDescent="0.3">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
      <c r="A5180" t="s">
        <v>28</v>
      </c>
      <c r="B5180" t="s">
        <v>22</v>
      </c>
      <c r="C5180" t="s">
        <v>15</v>
      </c>
      <c r="D5180" t="s">
        <v>23</v>
      </c>
      <c r="E5180" t="s">
        <v>24</v>
      </c>
      <c r="F5180">
        <v>90036</v>
      </c>
      <c r="G5180" t="s">
        <v>25</v>
      </c>
      <c r="H5180" t="s">
        <v>19</v>
      </c>
      <c r="I5180" t="s">
        <v>33</v>
      </c>
      <c r="J5180">
        <v>37.68</v>
      </c>
      <c r="K5180">
        <v>2</v>
      </c>
      <c r="L5180">
        <v>0</v>
      </c>
      <c r="M5180">
        <v>15.8256</v>
      </c>
    </row>
    <row r="5181" spans="1:13" x14ac:dyDescent="0.3">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
      <c r="A5182" t="s">
        <v>28</v>
      </c>
      <c r="B5182" t="s">
        <v>22</v>
      </c>
      <c r="C5182" t="s">
        <v>15</v>
      </c>
      <c r="D5182" t="s">
        <v>23</v>
      </c>
      <c r="E5182" t="s">
        <v>24</v>
      </c>
      <c r="F5182">
        <v>90036</v>
      </c>
      <c r="G5182" t="s">
        <v>25</v>
      </c>
      <c r="H5182" t="s">
        <v>26</v>
      </c>
      <c r="I5182" t="s">
        <v>38</v>
      </c>
      <c r="J5182">
        <v>75.84</v>
      </c>
      <c r="K5182">
        <v>2</v>
      </c>
      <c r="L5182">
        <v>0</v>
      </c>
      <c r="M5182">
        <v>29.5776</v>
      </c>
    </row>
    <row r="5183" spans="1:13" x14ac:dyDescent="0.3">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
      <c r="A5184" t="s">
        <v>62</v>
      </c>
      <c r="B5184" t="s">
        <v>22</v>
      </c>
      <c r="C5184" t="s">
        <v>15</v>
      </c>
      <c r="D5184" t="s">
        <v>473</v>
      </c>
      <c r="E5184" t="s">
        <v>179</v>
      </c>
      <c r="F5184">
        <v>2895</v>
      </c>
      <c r="G5184" t="s">
        <v>57</v>
      </c>
      <c r="H5184" t="s">
        <v>26</v>
      </c>
      <c r="I5184" t="s">
        <v>37</v>
      </c>
      <c r="J5184">
        <v>45.78</v>
      </c>
      <c r="K5184">
        <v>3</v>
      </c>
      <c r="L5184">
        <v>0</v>
      </c>
      <c r="M5184">
        <v>22.89</v>
      </c>
    </row>
    <row r="5185" spans="1:13" x14ac:dyDescent="0.3">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
      <c r="A5193" t="s">
        <v>28</v>
      </c>
      <c r="B5193" t="s">
        <v>14</v>
      </c>
      <c r="C5193" t="s">
        <v>15</v>
      </c>
      <c r="D5193" t="s">
        <v>52</v>
      </c>
      <c r="E5193" t="s">
        <v>24</v>
      </c>
      <c r="F5193">
        <v>94122</v>
      </c>
      <c r="G5193" t="s">
        <v>25</v>
      </c>
      <c r="H5193" t="s">
        <v>26</v>
      </c>
      <c r="I5193" t="s">
        <v>60</v>
      </c>
      <c r="J5193">
        <v>23.16</v>
      </c>
      <c r="K5193">
        <v>2</v>
      </c>
      <c r="L5193">
        <v>0</v>
      </c>
      <c r="M5193">
        <v>11.58</v>
      </c>
    </row>
    <row r="5194" spans="1:13" x14ac:dyDescent="0.3">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
      <c r="A5197" t="s">
        <v>13</v>
      </c>
      <c r="B5197" t="s">
        <v>22</v>
      </c>
      <c r="C5197" t="s">
        <v>15</v>
      </c>
      <c r="D5197" t="s">
        <v>90</v>
      </c>
      <c r="E5197" t="s">
        <v>91</v>
      </c>
      <c r="F5197">
        <v>29203</v>
      </c>
      <c r="G5197" t="s">
        <v>18</v>
      </c>
      <c r="H5197" t="s">
        <v>26</v>
      </c>
      <c r="I5197" t="s">
        <v>37</v>
      </c>
      <c r="J5197">
        <v>45.66</v>
      </c>
      <c r="K5197">
        <v>3</v>
      </c>
      <c r="L5197">
        <v>0</v>
      </c>
      <c r="M5197">
        <v>22.3734</v>
      </c>
    </row>
    <row r="5198" spans="1:13" x14ac:dyDescent="0.3">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
      <c r="A5210" t="s">
        <v>28</v>
      </c>
      <c r="B5210" t="s">
        <v>14</v>
      </c>
      <c r="C5210" t="s">
        <v>15</v>
      </c>
      <c r="D5210" t="s">
        <v>190</v>
      </c>
      <c r="E5210" t="s">
        <v>76</v>
      </c>
      <c r="F5210">
        <v>13021</v>
      </c>
      <c r="G5210" t="s">
        <v>57</v>
      </c>
      <c r="H5210" t="s">
        <v>26</v>
      </c>
      <c r="I5210" t="s">
        <v>41</v>
      </c>
      <c r="J5210">
        <v>28.9</v>
      </c>
      <c r="K5210">
        <v>5</v>
      </c>
      <c r="L5210">
        <v>0</v>
      </c>
      <c r="M5210">
        <v>14.161</v>
      </c>
    </row>
    <row r="5211" spans="1:13" x14ac:dyDescent="0.3">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
      <c r="A5216" t="s">
        <v>168</v>
      </c>
      <c r="B5216" t="s">
        <v>14</v>
      </c>
      <c r="C5216" t="s">
        <v>15</v>
      </c>
      <c r="D5216" t="s">
        <v>129</v>
      </c>
      <c r="E5216" t="s">
        <v>24</v>
      </c>
      <c r="F5216">
        <v>92374</v>
      </c>
      <c r="G5216" t="s">
        <v>25</v>
      </c>
      <c r="H5216" t="s">
        <v>26</v>
      </c>
      <c r="I5216" t="s">
        <v>34</v>
      </c>
      <c r="J5216">
        <v>35.4</v>
      </c>
      <c r="K5216">
        <v>5</v>
      </c>
      <c r="L5216">
        <v>0</v>
      </c>
      <c r="M5216">
        <v>13.452</v>
      </c>
    </row>
    <row r="5217" spans="1:13" x14ac:dyDescent="0.3">
      <c r="A5217" t="s">
        <v>168</v>
      </c>
      <c r="B5217" t="s">
        <v>14</v>
      </c>
      <c r="C5217" t="s">
        <v>15</v>
      </c>
      <c r="D5217" t="s">
        <v>129</v>
      </c>
      <c r="E5217" t="s">
        <v>24</v>
      </c>
      <c r="F5217">
        <v>92374</v>
      </c>
      <c r="G5217" t="s">
        <v>25</v>
      </c>
      <c r="H5217" t="s">
        <v>26</v>
      </c>
      <c r="I5217" t="s">
        <v>41</v>
      </c>
      <c r="J5217">
        <v>29.9</v>
      </c>
      <c r="K5217">
        <v>5</v>
      </c>
      <c r="L5217">
        <v>0</v>
      </c>
      <c r="M5217">
        <v>13.455</v>
      </c>
    </row>
    <row r="5218" spans="1:13" x14ac:dyDescent="0.3">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
      <c r="A5220" t="s">
        <v>28</v>
      </c>
      <c r="B5220" t="s">
        <v>22</v>
      </c>
      <c r="C5220" t="s">
        <v>15</v>
      </c>
      <c r="D5220" t="s">
        <v>75</v>
      </c>
      <c r="E5220" t="s">
        <v>76</v>
      </c>
      <c r="F5220">
        <v>10011</v>
      </c>
      <c r="G5220" t="s">
        <v>57</v>
      </c>
      <c r="H5220" t="s">
        <v>26</v>
      </c>
      <c r="I5220" t="s">
        <v>34</v>
      </c>
      <c r="J5220">
        <v>8.4</v>
      </c>
      <c r="K5220">
        <v>5</v>
      </c>
      <c r="L5220">
        <v>0</v>
      </c>
      <c r="M5220">
        <v>4.2</v>
      </c>
    </row>
    <row r="5221" spans="1:13" x14ac:dyDescent="0.3">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
      <c r="A5243" t="s">
        <v>13</v>
      </c>
      <c r="B5243" t="s">
        <v>22</v>
      </c>
      <c r="C5243" t="s">
        <v>15</v>
      </c>
      <c r="D5243" t="s">
        <v>42</v>
      </c>
      <c r="E5243" t="s">
        <v>43</v>
      </c>
      <c r="F5243">
        <v>98115</v>
      </c>
      <c r="G5243" t="s">
        <v>25</v>
      </c>
      <c r="H5243" t="s">
        <v>26</v>
      </c>
      <c r="I5243" t="s">
        <v>110</v>
      </c>
      <c r="J5243">
        <v>13.68</v>
      </c>
      <c r="K5243">
        <v>2</v>
      </c>
      <c r="L5243">
        <v>0</v>
      </c>
      <c r="M5243">
        <v>3.6936</v>
      </c>
    </row>
    <row r="5244" spans="1:13" x14ac:dyDescent="0.3">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
      <c r="A5250" t="s">
        <v>13</v>
      </c>
      <c r="B5250" t="s">
        <v>14</v>
      </c>
      <c r="C5250" t="s">
        <v>15</v>
      </c>
      <c r="D5250" t="s">
        <v>42</v>
      </c>
      <c r="E5250" t="s">
        <v>43</v>
      </c>
      <c r="F5250">
        <v>98105</v>
      </c>
      <c r="G5250" t="s">
        <v>25</v>
      </c>
      <c r="H5250" t="s">
        <v>35</v>
      </c>
      <c r="I5250" t="s">
        <v>59</v>
      </c>
      <c r="J5250">
        <v>43.5</v>
      </c>
      <c r="K5250">
        <v>3</v>
      </c>
      <c r="L5250">
        <v>0</v>
      </c>
      <c r="M5250">
        <v>10.875</v>
      </c>
    </row>
    <row r="5251" spans="1:13" x14ac:dyDescent="0.3">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
      <c r="A5273" t="s">
        <v>168</v>
      </c>
      <c r="B5273" t="s">
        <v>22</v>
      </c>
      <c r="C5273" t="s">
        <v>15</v>
      </c>
      <c r="D5273" t="s">
        <v>23</v>
      </c>
      <c r="E5273" t="s">
        <v>24</v>
      </c>
      <c r="F5273">
        <v>90008</v>
      </c>
      <c r="G5273" t="s">
        <v>25</v>
      </c>
      <c r="H5273" t="s">
        <v>19</v>
      </c>
      <c r="I5273" t="s">
        <v>33</v>
      </c>
      <c r="J5273">
        <v>27.92</v>
      </c>
      <c r="K5273">
        <v>4</v>
      </c>
      <c r="L5273">
        <v>0</v>
      </c>
      <c r="M5273">
        <v>8.0968</v>
      </c>
    </row>
    <row r="5274" spans="1:13" x14ac:dyDescent="0.3">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
      <c r="A5276" t="s">
        <v>13</v>
      </c>
      <c r="B5276" t="s">
        <v>14</v>
      </c>
      <c r="C5276" t="s">
        <v>15</v>
      </c>
      <c r="D5276" t="s">
        <v>223</v>
      </c>
      <c r="E5276" t="s">
        <v>380</v>
      </c>
      <c r="F5276">
        <v>5408</v>
      </c>
      <c r="G5276" t="s">
        <v>57</v>
      </c>
      <c r="H5276" t="s">
        <v>19</v>
      </c>
      <c r="I5276" t="s">
        <v>21</v>
      </c>
      <c r="J5276">
        <v>715.2</v>
      </c>
      <c r="K5276">
        <v>3</v>
      </c>
      <c r="L5276">
        <v>0</v>
      </c>
      <c r="M5276">
        <v>178.8</v>
      </c>
    </row>
    <row r="5277" spans="1:13" x14ac:dyDescent="0.3">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
      <c r="A5281" t="s">
        <v>28</v>
      </c>
      <c r="B5281" t="s">
        <v>14</v>
      </c>
      <c r="C5281" t="s">
        <v>15</v>
      </c>
      <c r="D5281" t="s">
        <v>241</v>
      </c>
      <c r="E5281" t="s">
        <v>49</v>
      </c>
      <c r="F5281">
        <v>53209</v>
      </c>
      <c r="G5281" t="s">
        <v>47</v>
      </c>
      <c r="H5281" t="s">
        <v>35</v>
      </c>
      <c r="I5281" t="s">
        <v>59</v>
      </c>
      <c r="J5281">
        <v>13.48</v>
      </c>
      <c r="K5281">
        <v>1</v>
      </c>
      <c r="L5281">
        <v>0</v>
      </c>
      <c r="M5281">
        <v>1.8872</v>
      </c>
    </row>
    <row r="5282" spans="1:13" x14ac:dyDescent="0.3">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
      <c r="A5285" t="s">
        <v>28</v>
      </c>
      <c r="B5285" t="s">
        <v>22</v>
      </c>
      <c r="C5285" t="s">
        <v>15</v>
      </c>
      <c r="D5285" t="s">
        <v>42</v>
      </c>
      <c r="E5285" t="s">
        <v>43</v>
      </c>
      <c r="F5285">
        <v>98105</v>
      </c>
      <c r="G5285" t="s">
        <v>25</v>
      </c>
      <c r="H5285" t="s">
        <v>26</v>
      </c>
      <c r="I5285" t="s">
        <v>32</v>
      </c>
      <c r="J5285">
        <v>15.84</v>
      </c>
      <c r="K5285">
        <v>3</v>
      </c>
      <c r="L5285">
        <v>0</v>
      </c>
      <c r="M5285">
        <v>0</v>
      </c>
    </row>
    <row r="5286" spans="1:13" x14ac:dyDescent="0.3">
      <c r="A5286" t="s">
        <v>28</v>
      </c>
      <c r="B5286" t="s">
        <v>22</v>
      </c>
      <c r="C5286" t="s">
        <v>15</v>
      </c>
      <c r="D5286" t="s">
        <v>42</v>
      </c>
      <c r="E5286" t="s">
        <v>43</v>
      </c>
      <c r="F5286">
        <v>98105</v>
      </c>
      <c r="G5286" t="s">
        <v>25</v>
      </c>
      <c r="H5286" t="s">
        <v>26</v>
      </c>
      <c r="I5286" t="s">
        <v>27</v>
      </c>
      <c r="J5286">
        <v>44.4</v>
      </c>
      <c r="K5286">
        <v>3</v>
      </c>
      <c r="L5286">
        <v>0</v>
      </c>
      <c r="M5286">
        <v>22.2</v>
      </c>
    </row>
    <row r="5287" spans="1:13" x14ac:dyDescent="0.3">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
      <c r="A5292" t="s">
        <v>28</v>
      </c>
      <c r="B5292" t="s">
        <v>14</v>
      </c>
      <c r="C5292" t="s">
        <v>15</v>
      </c>
      <c r="D5292" t="s">
        <v>61</v>
      </c>
      <c r="E5292" t="s">
        <v>46</v>
      </c>
      <c r="F5292">
        <v>77036</v>
      </c>
      <c r="G5292" t="s">
        <v>47</v>
      </c>
      <c r="H5292" t="s">
        <v>19</v>
      </c>
      <c r="I5292" t="s">
        <v>21</v>
      </c>
      <c r="J5292">
        <v>966.7</v>
      </c>
      <c r="K5292">
        <v>5</v>
      </c>
      <c r="L5292">
        <v>0.3</v>
      </c>
      <c r="M5292">
        <v>-13.81</v>
      </c>
    </row>
    <row r="5293" spans="1:13" x14ac:dyDescent="0.3">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
      <c r="A5300" t="s">
        <v>62</v>
      </c>
      <c r="B5300" t="s">
        <v>22</v>
      </c>
      <c r="C5300" t="s">
        <v>15</v>
      </c>
      <c r="D5300" t="s">
        <v>144</v>
      </c>
      <c r="E5300" t="s">
        <v>24</v>
      </c>
      <c r="F5300">
        <v>92037</v>
      </c>
      <c r="G5300" t="s">
        <v>25</v>
      </c>
      <c r="H5300" t="s">
        <v>26</v>
      </c>
      <c r="I5300" t="s">
        <v>60</v>
      </c>
      <c r="J5300">
        <v>4.08</v>
      </c>
      <c r="K5300">
        <v>2</v>
      </c>
      <c r="L5300">
        <v>0</v>
      </c>
      <c r="M5300">
        <v>1.9176</v>
      </c>
    </row>
    <row r="5301" spans="1:13" x14ac:dyDescent="0.3">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
      <c r="A5304" t="s">
        <v>28</v>
      </c>
      <c r="B5304" t="s">
        <v>22</v>
      </c>
      <c r="C5304" t="s">
        <v>15</v>
      </c>
      <c r="D5304" t="s">
        <v>82</v>
      </c>
      <c r="E5304" t="s">
        <v>83</v>
      </c>
      <c r="F5304">
        <v>22153</v>
      </c>
      <c r="G5304" t="s">
        <v>18</v>
      </c>
      <c r="H5304" t="s">
        <v>26</v>
      </c>
      <c r="I5304" t="s">
        <v>27</v>
      </c>
      <c r="J5304">
        <v>62.1</v>
      </c>
      <c r="K5304">
        <v>6</v>
      </c>
      <c r="L5304">
        <v>0</v>
      </c>
      <c r="M5304">
        <v>29.808</v>
      </c>
    </row>
    <row r="5305" spans="1:13" x14ac:dyDescent="0.3">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
      <c r="A5307" t="s">
        <v>28</v>
      </c>
      <c r="B5307" t="s">
        <v>22</v>
      </c>
      <c r="C5307" t="s">
        <v>15</v>
      </c>
      <c r="D5307" t="s">
        <v>230</v>
      </c>
      <c r="E5307" t="s">
        <v>76</v>
      </c>
      <c r="F5307">
        <v>11572</v>
      </c>
      <c r="G5307" t="s">
        <v>57</v>
      </c>
      <c r="H5307" t="s">
        <v>19</v>
      </c>
      <c r="I5307" t="s">
        <v>33</v>
      </c>
      <c r="J5307">
        <v>68.95</v>
      </c>
      <c r="K5307">
        <v>5</v>
      </c>
      <c r="L5307">
        <v>0</v>
      </c>
      <c r="M5307">
        <v>28.959</v>
      </c>
    </row>
    <row r="5308" spans="1:13" x14ac:dyDescent="0.3">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
      <c r="A5325" t="s">
        <v>13</v>
      </c>
      <c r="B5325" t="s">
        <v>14</v>
      </c>
      <c r="C5325" t="s">
        <v>15</v>
      </c>
      <c r="D5325" t="s">
        <v>529</v>
      </c>
      <c r="E5325" t="s">
        <v>54</v>
      </c>
      <c r="F5325">
        <v>68801</v>
      </c>
      <c r="G5325" t="s">
        <v>47</v>
      </c>
      <c r="H5325" t="s">
        <v>26</v>
      </c>
      <c r="I5325" t="s">
        <v>41</v>
      </c>
      <c r="J5325">
        <v>15.96</v>
      </c>
      <c r="K5325">
        <v>2</v>
      </c>
      <c r="L5325">
        <v>0</v>
      </c>
      <c r="M5325">
        <v>7.98</v>
      </c>
    </row>
    <row r="5326" spans="1:13" x14ac:dyDescent="0.3">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
      <c r="A5328" t="s">
        <v>28</v>
      </c>
      <c r="B5328" t="s">
        <v>22</v>
      </c>
      <c r="C5328" t="s">
        <v>15</v>
      </c>
      <c r="D5328" t="s">
        <v>184</v>
      </c>
      <c r="E5328" t="s">
        <v>166</v>
      </c>
      <c r="F5328">
        <v>1841</v>
      </c>
      <c r="G5328" t="s">
        <v>57</v>
      </c>
      <c r="H5328" t="s">
        <v>26</v>
      </c>
      <c r="I5328" t="s">
        <v>34</v>
      </c>
      <c r="J5328">
        <v>6.68</v>
      </c>
      <c r="K5328">
        <v>2</v>
      </c>
      <c r="L5328">
        <v>0</v>
      </c>
      <c r="M5328">
        <v>2.004</v>
      </c>
    </row>
    <row r="5329" spans="1:13" x14ac:dyDescent="0.3">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
      <c r="A5334" t="s">
        <v>28</v>
      </c>
      <c r="B5334" t="s">
        <v>14</v>
      </c>
      <c r="C5334" t="s">
        <v>15</v>
      </c>
      <c r="D5334" t="s">
        <v>75</v>
      </c>
      <c r="E5334" t="s">
        <v>76</v>
      </c>
      <c r="F5334">
        <v>10011</v>
      </c>
      <c r="G5334" t="s">
        <v>57</v>
      </c>
      <c r="H5334" t="s">
        <v>26</v>
      </c>
      <c r="I5334" t="s">
        <v>110</v>
      </c>
      <c r="J5334">
        <v>22.72</v>
      </c>
      <c r="K5334">
        <v>4</v>
      </c>
      <c r="L5334">
        <v>0</v>
      </c>
      <c r="M5334">
        <v>6.5888</v>
      </c>
    </row>
    <row r="5335" spans="1:13" x14ac:dyDescent="0.3">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
      <c r="A5337" t="s">
        <v>28</v>
      </c>
      <c r="B5337" t="s">
        <v>14</v>
      </c>
      <c r="C5337" t="s">
        <v>15</v>
      </c>
      <c r="D5337" t="s">
        <v>114</v>
      </c>
      <c r="E5337" t="s">
        <v>72</v>
      </c>
      <c r="F5337">
        <v>19711</v>
      </c>
      <c r="G5337" t="s">
        <v>57</v>
      </c>
      <c r="H5337" t="s">
        <v>26</v>
      </c>
      <c r="I5337" t="s">
        <v>41</v>
      </c>
      <c r="J5337">
        <v>3.38</v>
      </c>
      <c r="K5337">
        <v>1</v>
      </c>
      <c r="L5337">
        <v>0</v>
      </c>
      <c r="M5337">
        <v>1.5548</v>
      </c>
    </row>
    <row r="5338" spans="1:13" x14ac:dyDescent="0.3">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
      <c r="A5340" t="s">
        <v>13</v>
      </c>
      <c r="B5340" t="s">
        <v>14</v>
      </c>
      <c r="C5340" t="s">
        <v>15</v>
      </c>
      <c r="D5340" t="s">
        <v>230</v>
      </c>
      <c r="E5340" t="s">
        <v>76</v>
      </c>
      <c r="F5340">
        <v>11572</v>
      </c>
      <c r="G5340" t="s">
        <v>57</v>
      </c>
      <c r="H5340" t="s">
        <v>26</v>
      </c>
      <c r="I5340" t="s">
        <v>32</v>
      </c>
      <c r="J5340">
        <v>244.55</v>
      </c>
      <c r="K5340">
        <v>5</v>
      </c>
      <c r="L5340">
        <v>0</v>
      </c>
      <c r="M5340">
        <v>4.891</v>
      </c>
    </row>
    <row r="5341" spans="1:13" x14ac:dyDescent="0.3">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
      <c r="A5351" t="s">
        <v>28</v>
      </c>
      <c r="B5351" t="s">
        <v>22</v>
      </c>
      <c r="C5351" t="s">
        <v>15</v>
      </c>
      <c r="D5351" t="s">
        <v>530</v>
      </c>
      <c r="E5351" t="s">
        <v>68</v>
      </c>
      <c r="F5351">
        <v>55125</v>
      </c>
      <c r="G5351" t="s">
        <v>47</v>
      </c>
      <c r="H5351" t="s">
        <v>26</v>
      </c>
      <c r="I5351" t="s">
        <v>41</v>
      </c>
      <c r="J5351">
        <v>39.9</v>
      </c>
      <c r="K5351">
        <v>5</v>
      </c>
      <c r="L5351">
        <v>0</v>
      </c>
      <c r="M5351">
        <v>19.95</v>
      </c>
    </row>
    <row r="5352" spans="1:13" x14ac:dyDescent="0.3">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
      <c r="A5357" t="s">
        <v>28</v>
      </c>
      <c r="B5357" t="s">
        <v>22</v>
      </c>
      <c r="C5357" t="s">
        <v>15</v>
      </c>
      <c r="D5357" t="s">
        <v>23</v>
      </c>
      <c r="E5357" t="s">
        <v>24</v>
      </c>
      <c r="F5357">
        <v>90004</v>
      </c>
      <c r="G5357" t="s">
        <v>25</v>
      </c>
      <c r="H5357" t="s">
        <v>26</v>
      </c>
      <c r="I5357" t="s">
        <v>41</v>
      </c>
      <c r="J5357">
        <v>8</v>
      </c>
      <c r="K5357">
        <v>2</v>
      </c>
      <c r="L5357">
        <v>0</v>
      </c>
      <c r="M5357">
        <v>3.84</v>
      </c>
    </row>
    <row r="5358" spans="1:13" x14ac:dyDescent="0.3">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
      <c r="A5361" t="s">
        <v>28</v>
      </c>
      <c r="B5361" t="s">
        <v>14</v>
      </c>
      <c r="C5361" t="s">
        <v>15</v>
      </c>
      <c r="D5361" t="s">
        <v>52</v>
      </c>
      <c r="E5361" t="s">
        <v>24</v>
      </c>
      <c r="F5361">
        <v>94122</v>
      </c>
      <c r="G5361" t="s">
        <v>25</v>
      </c>
      <c r="H5361" t="s">
        <v>26</v>
      </c>
      <c r="I5361" t="s">
        <v>34</v>
      </c>
      <c r="J5361">
        <v>45.98</v>
      </c>
      <c r="K5361">
        <v>2</v>
      </c>
      <c r="L5361">
        <v>0</v>
      </c>
      <c r="M5361">
        <v>12.8744</v>
      </c>
    </row>
    <row r="5362" spans="1:13" x14ac:dyDescent="0.3">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
      <c r="A5370" t="s">
        <v>28</v>
      </c>
      <c r="B5370" t="s">
        <v>14</v>
      </c>
      <c r="C5370" t="s">
        <v>15</v>
      </c>
      <c r="D5370" t="s">
        <v>42</v>
      </c>
      <c r="E5370" t="s">
        <v>43</v>
      </c>
      <c r="F5370">
        <v>98103</v>
      </c>
      <c r="G5370" t="s">
        <v>25</v>
      </c>
      <c r="H5370" t="s">
        <v>26</v>
      </c>
      <c r="I5370" t="s">
        <v>32</v>
      </c>
      <c r="J5370">
        <v>15.58</v>
      </c>
      <c r="K5370">
        <v>1</v>
      </c>
      <c r="L5370">
        <v>0</v>
      </c>
      <c r="M5370">
        <v>3.895</v>
      </c>
    </row>
    <row r="5371" spans="1:13" x14ac:dyDescent="0.3">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
      <c r="A5378" t="s">
        <v>28</v>
      </c>
      <c r="B5378" t="s">
        <v>22</v>
      </c>
      <c r="C5378" t="s">
        <v>15</v>
      </c>
      <c r="D5378" t="s">
        <v>42</v>
      </c>
      <c r="E5378" t="s">
        <v>43</v>
      </c>
      <c r="F5378">
        <v>98103</v>
      </c>
      <c r="G5378" t="s">
        <v>25</v>
      </c>
      <c r="H5378" t="s">
        <v>26</v>
      </c>
      <c r="I5378" t="s">
        <v>34</v>
      </c>
      <c r="J5378">
        <v>31.44</v>
      </c>
      <c r="K5378">
        <v>3</v>
      </c>
      <c r="L5378">
        <v>0</v>
      </c>
      <c r="M5378">
        <v>7.86</v>
      </c>
    </row>
    <row r="5379" spans="1:13" x14ac:dyDescent="0.3">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
      <c r="A5386" t="s">
        <v>28</v>
      </c>
      <c r="B5386" t="s">
        <v>14</v>
      </c>
      <c r="C5386" t="s">
        <v>15</v>
      </c>
      <c r="D5386" t="s">
        <v>55</v>
      </c>
      <c r="E5386" t="s">
        <v>56</v>
      </c>
      <c r="F5386">
        <v>19143</v>
      </c>
      <c r="G5386" t="s">
        <v>57</v>
      </c>
      <c r="H5386" t="s">
        <v>35</v>
      </c>
      <c r="I5386" t="s">
        <v>36</v>
      </c>
      <c r="J5386">
        <v>358.2</v>
      </c>
      <c r="K5386">
        <v>3</v>
      </c>
      <c r="L5386">
        <v>0.4</v>
      </c>
      <c r="M5386">
        <v>41.79</v>
      </c>
    </row>
    <row r="5387" spans="1:13" x14ac:dyDescent="0.3">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
      <c r="A5393" t="s">
        <v>28</v>
      </c>
      <c r="B5393" t="s">
        <v>22</v>
      </c>
      <c r="C5393" t="s">
        <v>15</v>
      </c>
      <c r="D5393" t="s">
        <v>106</v>
      </c>
      <c r="E5393" t="s">
        <v>72</v>
      </c>
      <c r="F5393">
        <v>19805</v>
      </c>
      <c r="G5393" t="s">
        <v>57</v>
      </c>
      <c r="H5393" t="s">
        <v>26</v>
      </c>
      <c r="I5393" t="s">
        <v>27</v>
      </c>
      <c r="J5393">
        <v>22.5</v>
      </c>
      <c r="K5393">
        <v>6</v>
      </c>
      <c r="L5393">
        <v>0</v>
      </c>
      <c r="M5393">
        <v>10.8</v>
      </c>
    </row>
    <row r="5394" spans="1:13" x14ac:dyDescent="0.3">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
      <c r="A5397" t="s">
        <v>13</v>
      </c>
      <c r="B5397" t="s">
        <v>22</v>
      </c>
      <c r="C5397" t="s">
        <v>15</v>
      </c>
      <c r="D5397" t="s">
        <v>297</v>
      </c>
      <c r="E5397" t="s">
        <v>51</v>
      </c>
      <c r="F5397">
        <v>84604</v>
      </c>
      <c r="G5397" t="s">
        <v>25</v>
      </c>
      <c r="H5397" t="s">
        <v>26</v>
      </c>
      <c r="I5397" t="s">
        <v>41</v>
      </c>
      <c r="J5397">
        <v>21.98</v>
      </c>
      <c r="K5397">
        <v>7</v>
      </c>
      <c r="L5397">
        <v>0</v>
      </c>
      <c r="M5397">
        <v>9.891</v>
      </c>
    </row>
    <row r="5398" spans="1:13" x14ac:dyDescent="0.3">
      <c r="A5398" t="s">
        <v>168</v>
      </c>
      <c r="B5398" t="s">
        <v>22</v>
      </c>
      <c r="C5398" t="s">
        <v>15</v>
      </c>
      <c r="D5398" t="s">
        <v>52</v>
      </c>
      <c r="E5398" t="s">
        <v>24</v>
      </c>
      <c r="F5398">
        <v>94110</v>
      </c>
      <c r="G5398" t="s">
        <v>25</v>
      </c>
      <c r="H5398" t="s">
        <v>19</v>
      </c>
      <c r="I5398" t="s">
        <v>33</v>
      </c>
      <c r="J5398">
        <v>63.2</v>
      </c>
      <c r="K5398">
        <v>5</v>
      </c>
      <c r="L5398">
        <v>0</v>
      </c>
      <c r="M5398">
        <v>23.384</v>
      </c>
    </row>
    <row r="5399" spans="1:13" x14ac:dyDescent="0.3">
      <c r="A5399" t="s">
        <v>28</v>
      </c>
      <c r="B5399" t="s">
        <v>22</v>
      </c>
      <c r="C5399" t="s">
        <v>15</v>
      </c>
      <c r="D5399" t="s">
        <v>23</v>
      </c>
      <c r="E5399" t="s">
        <v>24</v>
      </c>
      <c r="F5399">
        <v>90004</v>
      </c>
      <c r="G5399" t="s">
        <v>25</v>
      </c>
      <c r="H5399" t="s">
        <v>26</v>
      </c>
      <c r="I5399" t="s">
        <v>38</v>
      </c>
      <c r="J5399">
        <v>39</v>
      </c>
      <c r="K5399">
        <v>12</v>
      </c>
      <c r="L5399">
        <v>0</v>
      </c>
      <c r="M5399">
        <v>11.31</v>
      </c>
    </row>
    <row r="5400" spans="1:13" x14ac:dyDescent="0.3">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
      <c r="A5402" t="s">
        <v>62</v>
      </c>
      <c r="B5402" t="s">
        <v>14</v>
      </c>
      <c r="C5402" t="s">
        <v>15</v>
      </c>
      <c r="D5402" t="s">
        <v>42</v>
      </c>
      <c r="E5402" t="s">
        <v>43</v>
      </c>
      <c r="F5402">
        <v>98103</v>
      </c>
      <c r="G5402" t="s">
        <v>25</v>
      </c>
      <c r="H5402" t="s">
        <v>35</v>
      </c>
      <c r="I5402" t="s">
        <v>59</v>
      </c>
      <c r="J5402">
        <v>71.98</v>
      </c>
      <c r="K5402">
        <v>2</v>
      </c>
      <c r="L5402">
        <v>0</v>
      </c>
      <c r="M5402">
        <v>15.1158</v>
      </c>
    </row>
    <row r="5403" spans="1:13" x14ac:dyDescent="0.3">
      <c r="A5403" t="s">
        <v>62</v>
      </c>
      <c r="B5403" t="s">
        <v>14</v>
      </c>
      <c r="C5403" t="s">
        <v>15</v>
      </c>
      <c r="D5403" t="s">
        <v>42</v>
      </c>
      <c r="E5403" t="s">
        <v>43</v>
      </c>
      <c r="F5403">
        <v>98103</v>
      </c>
      <c r="G5403" t="s">
        <v>25</v>
      </c>
      <c r="H5403" t="s">
        <v>35</v>
      </c>
      <c r="I5403" t="s">
        <v>59</v>
      </c>
      <c r="J5403">
        <v>79.98</v>
      </c>
      <c r="K5403">
        <v>2</v>
      </c>
      <c r="L5403">
        <v>0</v>
      </c>
      <c r="M5403">
        <v>26.3934</v>
      </c>
    </row>
    <row r="5404" spans="1:13" x14ac:dyDescent="0.3">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
      <c r="A5411" t="s">
        <v>28</v>
      </c>
      <c r="B5411" t="s">
        <v>22</v>
      </c>
      <c r="C5411" t="s">
        <v>15</v>
      </c>
      <c r="D5411" t="s">
        <v>52</v>
      </c>
      <c r="E5411" t="s">
        <v>24</v>
      </c>
      <c r="F5411">
        <v>94109</v>
      </c>
      <c r="G5411" t="s">
        <v>25</v>
      </c>
      <c r="H5411" t="s">
        <v>26</v>
      </c>
      <c r="I5411" t="s">
        <v>37</v>
      </c>
      <c r="J5411">
        <v>90.48</v>
      </c>
      <c r="K5411">
        <v>3</v>
      </c>
      <c r="L5411">
        <v>0.2</v>
      </c>
      <c r="M5411">
        <v>33.93</v>
      </c>
    </row>
    <row r="5412" spans="1:13" x14ac:dyDescent="0.3">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
      <c r="A5419" t="s">
        <v>13</v>
      </c>
      <c r="B5419" t="s">
        <v>22</v>
      </c>
      <c r="C5419" t="s">
        <v>15</v>
      </c>
      <c r="D5419" t="s">
        <v>238</v>
      </c>
      <c r="E5419" t="s">
        <v>54</v>
      </c>
      <c r="F5419">
        <v>68104</v>
      </c>
      <c r="G5419" t="s">
        <v>47</v>
      </c>
      <c r="H5419" t="s">
        <v>26</v>
      </c>
      <c r="I5419" t="s">
        <v>37</v>
      </c>
      <c r="J5419">
        <v>15.36</v>
      </c>
      <c r="K5419">
        <v>2</v>
      </c>
      <c r="L5419">
        <v>0</v>
      </c>
      <c r="M5419">
        <v>7.68</v>
      </c>
    </row>
    <row r="5420" spans="1:13" x14ac:dyDescent="0.3">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
      <c r="A5425" t="s">
        <v>13</v>
      </c>
      <c r="B5425" t="s">
        <v>22</v>
      </c>
      <c r="C5425" t="s">
        <v>15</v>
      </c>
      <c r="D5425" t="s">
        <v>182</v>
      </c>
      <c r="E5425" t="s">
        <v>17</v>
      </c>
      <c r="F5425">
        <v>40475</v>
      </c>
      <c r="G5425" t="s">
        <v>18</v>
      </c>
      <c r="H5425" t="s">
        <v>26</v>
      </c>
      <c r="I5425" t="s">
        <v>41</v>
      </c>
      <c r="J5425">
        <v>26.4</v>
      </c>
      <c r="K5425">
        <v>5</v>
      </c>
      <c r="L5425">
        <v>0</v>
      </c>
      <c r="M5425">
        <v>11.88</v>
      </c>
    </row>
    <row r="5426" spans="1:13" x14ac:dyDescent="0.3">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
      <c r="A5437" t="s">
        <v>28</v>
      </c>
      <c r="B5437" t="s">
        <v>44</v>
      </c>
      <c r="C5437" t="s">
        <v>15</v>
      </c>
      <c r="D5437" t="s">
        <v>23</v>
      </c>
      <c r="E5437" t="s">
        <v>24</v>
      </c>
      <c r="F5437">
        <v>90008</v>
      </c>
      <c r="G5437" t="s">
        <v>25</v>
      </c>
      <c r="H5437" t="s">
        <v>35</v>
      </c>
      <c r="I5437" t="s">
        <v>59</v>
      </c>
      <c r="J5437">
        <v>270</v>
      </c>
      <c r="K5437">
        <v>3</v>
      </c>
      <c r="L5437">
        <v>0</v>
      </c>
      <c r="M5437">
        <v>97.2</v>
      </c>
    </row>
    <row r="5438" spans="1:13" x14ac:dyDescent="0.3">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
      <c r="A5439" t="s">
        <v>62</v>
      </c>
      <c r="B5439" t="s">
        <v>22</v>
      </c>
      <c r="C5439" t="s">
        <v>15</v>
      </c>
      <c r="D5439" t="s">
        <v>227</v>
      </c>
      <c r="E5439" t="s">
        <v>30</v>
      </c>
      <c r="F5439">
        <v>32137</v>
      </c>
      <c r="G5439" t="s">
        <v>18</v>
      </c>
      <c r="H5439" t="s">
        <v>26</v>
      </c>
      <c r="I5439" t="s">
        <v>37</v>
      </c>
      <c r="J5439">
        <v>9.81</v>
      </c>
      <c r="K5439">
        <v>5</v>
      </c>
      <c r="L5439">
        <v>0.7</v>
      </c>
      <c r="M5439">
        <v>-6.867</v>
      </c>
    </row>
    <row r="5440" spans="1:13" x14ac:dyDescent="0.3">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
      <c r="A5448" t="s">
        <v>28</v>
      </c>
      <c r="B5448" t="s">
        <v>22</v>
      </c>
      <c r="C5448" t="s">
        <v>15</v>
      </c>
      <c r="D5448" t="s">
        <v>75</v>
      </c>
      <c r="E5448" t="s">
        <v>76</v>
      </c>
      <c r="F5448">
        <v>10035</v>
      </c>
      <c r="G5448" t="s">
        <v>57</v>
      </c>
      <c r="H5448" t="s">
        <v>35</v>
      </c>
      <c r="I5448" t="s">
        <v>36</v>
      </c>
      <c r="J5448">
        <v>33</v>
      </c>
      <c r="K5448">
        <v>6</v>
      </c>
      <c r="L5448">
        <v>0</v>
      </c>
      <c r="M5448">
        <v>8.25</v>
      </c>
    </row>
    <row r="5449" spans="1:13" x14ac:dyDescent="0.3">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
      <c r="A5463" t="s">
        <v>28</v>
      </c>
      <c r="B5463" t="s">
        <v>14</v>
      </c>
      <c r="C5463" t="s">
        <v>15</v>
      </c>
      <c r="D5463" t="s">
        <v>23</v>
      </c>
      <c r="E5463" t="s">
        <v>24</v>
      </c>
      <c r="F5463">
        <v>90032</v>
      </c>
      <c r="G5463" t="s">
        <v>25</v>
      </c>
      <c r="H5463" t="s">
        <v>19</v>
      </c>
      <c r="I5463" t="s">
        <v>33</v>
      </c>
      <c r="J5463">
        <v>9.24</v>
      </c>
      <c r="K5463">
        <v>3</v>
      </c>
      <c r="L5463">
        <v>0</v>
      </c>
      <c r="M5463">
        <v>4.4352</v>
      </c>
    </row>
    <row r="5464" spans="1:13" x14ac:dyDescent="0.3">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
      <c r="A5473" t="s">
        <v>28</v>
      </c>
      <c r="B5473" t="s">
        <v>14</v>
      </c>
      <c r="C5473" t="s">
        <v>15</v>
      </c>
      <c r="D5473" t="s">
        <v>199</v>
      </c>
      <c r="E5473" t="s">
        <v>98</v>
      </c>
      <c r="F5473">
        <v>80134</v>
      </c>
      <c r="G5473" t="s">
        <v>25</v>
      </c>
      <c r="H5473" t="s">
        <v>19</v>
      </c>
      <c r="I5473" t="s">
        <v>33</v>
      </c>
      <c r="J5473">
        <v>13.36</v>
      </c>
      <c r="K5473">
        <v>5</v>
      </c>
      <c r="L5473">
        <v>0.2</v>
      </c>
      <c r="M5473">
        <v>4.008</v>
      </c>
    </row>
    <row r="5474" spans="1:13" x14ac:dyDescent="0.3">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
      <c r="A5477" t="s">
        <v>62</v>
      </c>
      <c r="B5477" t="s">
        <v>44</v>
      </c>
      <c r="C5477" t="s">
        <v>15</v>
      </c>
      <c r="D5477" t="s">
        <v>439</v>
      </c>
      <c r="E5477" t="s">
        <v>68</v>
      </c>
      <c r="F5477">
        <v>55369</v>
      </c>
      <c r="G5477" t="s">
        <v>47</v>
      </c>
      <c r="H5477" t="s">
        <v>26</v>
      </c>
      <c r="I5477" t="s">
        <v>27</v>
      </c>
      <c r="J5477">
        <v>44.4</v>
      </c>
      <c r="K5477">
        <v>3</v>
      </c>
      <c r="L5477">
        <v>0</v>
      </c>
      <c r="M5477">
        <v>22.2</v>
      </c>
    </row>
    <row r="5478" spans="1:13" x14ac:dyDescent="0.3">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
      <c r="A5483" t="s">
        <v>28</v>
      </c>
      <c r="B5483" t="s">
        <v>22</v>
      </c>
      <c r="C5483" t="s">
        <v>15</v>
      </c>
      <c r="D5483" t="s">
        <v>144</v>
      </c>
      <c r="E5483" t="s">
        <v>24</v>
      </c>
      <c r="F5483">
        <v>92105</v>
      </c>
      <c r="G5483" t="s">
        <v>25</v>
      </c>
      <c r="H5483" t="s">
        <v>35</v>
      </c>
      <c r="I5483" t="s">
        <v>59</v>
      </c>
      <c r="J5483">
        <v>36</v>
      </c>
      <c r="K5483">
        <v>2</v>
      </c>
      <c r="L5483">
        <v>0</v>
      </c>
      <c r="M5483">
        <v>6.48</v>
      </c>
    </row>
    <row r="5484" spans="1:13" x14ac:dyDescent="0.3">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
      <c r="A5494" t="s">
        <v>168</v>
      </c>
      <c r="B5494" t="s">
        <v>44</v>
      </c>
      <c r="C5494" t="s">
        <v>15</v>
      </c>
      <c r="D5494" t="s">
        <v>52</v>
      </c>
      <c r="E5494" t="s">
        <v>24</v>
      </c>
      <c r="F5494">
        <v>94122</v>
      </c>
      <c r="G5494" t="s">
        <v>25</v>
      </c>
      <c r="H5494" t="s">
        <v>26</v>
      </c>
      <c r="I5494" t="s">
        <v>110</v>
      </c>
      <c r="J5494">
        <v>7.36</v>
      </c>
      <c r="K5494">
        <v>2</v>
      </c>
      <c r="L5494">
        <v>0</v>
      </c>
      <c r="M5494">
        <v>0.1472</v>
      </c>
    </row>
    <row r="5495" spans="1:13" x14ac:dyDescent="0.3">
      <c r="A5495" t="s">
        <v>168</v>
      </c>
      <c r="B5495" t="s">
        <v>44</v>
      </c>
      <c r="C5495" t="s">
        <v>15</v>
      </c>
      <c r="D5495" t="s">
        <v>52</v>
      </c>
      <c r="E5495" t="s">
        <v>24</v>
      </c>
      <c r="F5495">
        <v>94122</v>
      </c>
      <c r="G5495" t="s">
        <v>25</v>
      </c>
      <c r="H5495" t="s">
        <v>26</v>
      </c>
      <c r="I5495" t="s">
        <v>27</v>
      </c>
      <c r="J5495">
        <v>41.4</v>
      </c>
      <c r="K5495">
        <v>4</v>
      </c>
      <c r="L5495">
        <v>0</v>
      </c>
      <c r="M5495">
        <v>19.872</v>
      </c>
    </row>
    <row r="5496" spans="1:13" x14ac:dyDescent="0.3">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
      <c r="A5507" t="s">
        <v>28</v>
      </c>
      <c r="B5507" t="s">
        <v>22</v>
      </c>
      <c r="C5507" t="s">
        <v>15</v>
      </c>
      <c r="D5507" t="s">
        <v>55</v>
      </c>
      <c r="E5507" t="s">
        <v>56</v>
      </c>
      <c r="F5507">
        <v>19140</v>
      </c>
      <c r="G5507" t="s">
        <v>57</v>
      </c>
      <c r="H5507" t="s">
        <v>35</v>
      </c>
      <c r="I5507" t="s">
        <v>36</v>
      </c>
      <c r="J5507">
        <v>859.2</v>
      </c>
      <c r="K5507">
        <v>4</v>
      </c>
      <c r="L5507">
        <v>0.4</v>
      </c>
      <c r="M5507">
        <v>-186.16</v>
      </c>
    </row>
    <row r="5508" spans="1:13" x14ac:dyDescent="0.3">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
      <c r="A5550" t="s">
        <v>62</v>
      </c>
      <c r="B5550" t="s">
        <v>14</v>
      </c>
      <c r="C5550" t="s">
        <v>15</v>
      </c>
      <c r="D5550" t="s">
        <v>52</v>
      </c>
      <c r="E5550" t="s">
        <v>24</v>
      </c>
      <c r="F5550">
        <v>94109</v>
      </c>
      <c r="G5550" t="s">
        <v>25</v>
      </c>
      <c r="H5550" t="s">
        <v>26</v>
      </c>
      <c r="I5550" t="s">
        <v>38</v>
      </c>
      <c r="J5550">
        <v>43.68</v>
      </c>
      <c r="K5550">
        <v>3</v>
      </c>
      <c r="L5550">
        <v>0</v>
      </c>
      <c r="M5550">
        <v>11.7936</v>
      </c>
    </row>
    <row r="5551" spans="1:13" x14ac:dyDescent="0.3">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
      <c r="A5563" t="s">
        <v>13</v>
      </c>
      <c r="B5563" t="s">
        <v>22</v>
      </c>
      <c r="C5563" t="s">
        <v>15</v>
      </c>
      <c r="D5563" t="s">
        <v>200</v>
      </c>
      <c r="E5563" t="s">
        <v>167</v>
      </c>
      <c r="F5563">
        <v>30318</v>
      </c>
      <c r="G5563" t="s">
        <v>18</v>
      </c>
      <c r="H5563" t="s">
        <v>26</v>
      </c>
      <c r="I5563" t="s">
        <v>37</v>
      </c>
      <c r="J5563">
        <v>34.54</v>
      </c>
      <c r="K5563">
        <v>1</v>
      </c>
      <c r="L5563">
        <v>0</v>
      </c>
      <c r="M5563">
        <v>17.27</v>
      </c>
    </row>
    <row r="5564" spans="1:13" x14ac:dyDescent="0.3">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
      <c r="A5568" t="s">
        <v>168</v>
      </c>
      <c r="B5568" t="s">
        <v>44</v>
      </c>
      <c r="C5568" t="s">
        <v>15</v>
      </c>
      <c r="D5568" t="s">
        <v>79</v>
      </c>
      <c r="E5568" t="s">
        <v>65</v>
      </c>
      <c r="F5568">
        <v>60610</v>
      </c>
      <c r="G5568" t="s">
        <v>47</v>
      </c>
      <c r="H5568" t="s">
        <v>26</v>
      </c>
      <c r="I5568" t="s">
        <v>34</v>
      </c>
      <c r="J5568">
        <v>29.76</v>
      </c>
      <c r="K5568">
        <v>5</v>
      </c>
      <c r="L5568">
        <v>0.2</v>
      </c>
      <c r="M5568">
        <v>1.86</v>
      </c>
    </row>
    <row r="5569" spans="1:13" x14ac:dyDescent="0.3">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
      <c r="A5582" t="s">
        <v>13</v>
      </c>
      <c r="B5582" t="s">
        <v>14</v>
      </c>
      <c r="C5582" t="s">
        <v>15</v>
      </c>
      <c r="D5582" t="s">
        <v>23</v>
      </c>
      <c r="E5582" t="s">
        <v>24</v>
      </c>
      <c r="F5582">
        <v>90004</v>
      </c>
      <c r="G5582" t="s">
        <v>25</v>
      </c>
      <c r="H5582" t="s">
        <v>26</v>
      </c>
      <c r="I5582" t="s">
        <v>41</v>
      </c>
      <c r="J5582">
        <v>47.52</v>
      </c>
      <c r="K5582">
        <v>9</v>
      </c>
      <c r="L5582">
        <v>0</v>
      </c>
      <c r="M5582">
        <v>22.8096</v>
      </c>
    </row>
    <row r="5583" spans="1:13" x14ac:dyDescent="0.3">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
      <c r="A5584" t="s">
        <v>28</v>
      </c>
      <c r="B5584" t="s">
        <v>44</v>
      </c>
      <c r="C5584" t="s">
        <v>15</v>
      </c>
      <c r="D5584" t="s">
        <v>75</v>
      </c>
      <c r="E5584" t="s">
        <v>76</v>
      </c>
      <c r="F5584">
        <v>10024</v>
      </c>
      <c r="G5584" t="s">
        <v>57</v>
      </c>
      <c r="H5584" t="s">
        <v>26</v>
      </c>
      <c r="I5584" t="s">
        <v>34</v>
      </c>
      <c r="J5584">
        <v>8</v>
      </c>
      <c r="K5584">
        <v>5</v>
      </c>
      <c r="L5584">
        <v>0</v>
      </c>
      <c r="M5584">
        <v>3.44</v>
      </c>
    </row>
    <row r="5585" spans="1:13" x14ac:dyDescent="0.3">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
      <c r="A5586" t="s">
        <v>28</v>
      </c>
      <c r="B5586" t="s">
        <v>44</v>
      </c>
      <c r="C5586" t="s">
        <v>15</v>
      </c>
      <c r="D5586" t="s">
        <v>75</v>
      </c>
      <c r="E5586" t="s">
        <v>76</v>
      </c>
      <c r="F5586">
        <v>10011</v>
      </c>
      <c r="G5586" t="s">
        <v>57</v>
      </c>
      <c r="H5586" t="s">
        <v>26</v>
      </c>
      <c r="I5586" t="s">
        <v>32</v>
      </c>
      <c r="J5586">
        <v>83.56</v>
      </c>
      <c r="K5586">
        <v>4</v>
      </c>
      <c r="L5586">
        <v>0</v>
      </c>
      <c r="M5586">
        <v>1.6712</v>
      </c>
    </row>
    <row r="5587" spans="1:13" x14ac:dyDescent="0.3">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
      <c r="A5589" t="s">
        <v>62</v>
      </c>
      <c r="B5589" t="s">
        <v>14</v>
      </c>
      <c r="C5589" t="s">
        <v>15</v>
      </c>
      <c r="D5589" t="s">
        <v>235</v>
      </c>
      <c r="E5589" t="s">
        <v>24</v>
      </c>
      <c r="F5589">
        <v>93534</v>
      </c>
      <c r="G5589" t="s">
        <v>25</v>
      </c>
      <c r="H5589" t="s">
        <v>26</v>
      </c>
      <c r="I5589" t="s">
        <v>77</v>
      </c>
      <c r="J5589">
        <v>10.9</v>
      </c>
      <c r="K5589">
        <v>5</v>
      </c>
      <c r="L5589">
        <v>0</v>
      </c>
      <c r="M5589">
        <v>3.597</v>
      </c>
    </row>
    <row r="5590" spans="1:13" x14ac:dyDescent="0.3">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
      <c r="A5623" t="s">
        <v>28</v>
      </c>
      <c r="B5623" t="s">
        <v>22</v>
      </c>
      <c r="C5623" t="s">
        <v>15</v>
      </c>
      <c r="D5623" t="s">
        <v>502</v>
      </c>
      <c r="E5623" t="s">
        <v>49</v>
      </c>
      <c r="F5623">
        <v>54601</v>
      </c>
      <c r="G5623" t="s">
        <v>47</v>
      </c>
      <c r="H5623" t="s">
        <v>19</v>
      </c>
      <c r="I5623" t="s">
        <v>21</v>
      </c>
      <c r="J5623">
        <v>201.96</v>
      </c>
      <c r="K5623">
        <v>2</v>
      </c>
      <c r="L5623">
        <v>0</v>
      </c>
      <c r="M5623">
        <v>50.49</v>
      </c>
    </row>
    <row r="5624" spans="1:13" x14ac:dyDescent="0.3">
      <c r="A5624" t="s">
        <v>28</v>
      </c>
      <c r="B5624" t="s">
        <v>22</v>
      </c>
      <c r="C5624" t="s">
        <v>15</v>
      </c>
      <c r="D5624" t="s">
        <v>502</v>
      </c>
      <c r="E5624" t="s">
        <v>49</v>
      </c>
      <c r="F5624">
        <v>54601</v>
      </c>
      <c r="G5624" t="s">
        <v>47</v>
      </c>
      <c r="H5624" t="s">
        <v>19</v>
      </c>
      <c r="I5624" t="s">
        <v>33</v>
      </c>
      <c r="J5624">
        <v>68.64</v>
      </c>
      <c r="K5624">
        <v>11</v>
      </c>
      <c r="L5624">
        <v>0</v>
      </c>
      <c r="M5624">
        <v>17.16</v>
      </c>
    </row>
    <row r="5625" spans="1:13" x14ac:dyDescent="0.3">
      <c r="A5625" t="s">
        <v>13</v>
      </c>
      <c r="B5625" t="s">
        <v>22</v>
      </c>
      <c r="C5625" t="s">
        <v>15</v>
      </c>
      <c r="D5625" t="s">
        <v>23</v>
      </c>
      <c r="E5625" t="s">
        <v>24</v>
      </c>
      <c r="F5625">
        <v>90032</v>
      </c>
      <c r="G5625" t="s">
        <v>25</v>
      </c>
      <c r="H5625" t="s">
        <v>35</v>
      </c>
      <c r="I5625" t="s">
        <v>59</v>
      </c>
      <c r="J5625">
        <v>100</v>
      </c>
      <c r="K5625">
        <v>4</v>
      </c>
      <c r="L5625">
        <v>0</v>
      </c>
      <c r="M5625">
        <v>21</v>
      </c>
    </row>
    <row r="5626" spans="1:13" x14ac:dyDescent="0.3">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
      <c r="A5642" t="s">
        <v>28</v>
      </c>
      <c r="B5642" t="s">
        <v>44</v>
      </c>
      <c r="C5642" t="s">
        <v>15</v>
      </c>
      <c r="D5642" t="s">
        <v>154</v>
      </c>
      <c r="E5642" t="s">
        <v>104</v>
      </c>
      <c r="F5642">
        <v>44107</v>
      </c>
      <c r="G5642" t="s">
        <v>57</v>
      </c>
      <c r="H5642" t="s">
        <v>26</v>
      </c>
      <c r="I5642" t="s">
        <v>41</v>
      </c>
      <c r="J5642">
        <v>28.8</v>
      </c>
      <c r="K5642">
        <v>9</v>
      </c>
      <c r="L5642">
        <v>0.2</v>
      </c>
      <c r="M5642">
        <v>10.08</v>
      </c>
    </row>
    <row r="5643" spans="1:13" x14ac:dyDescent="0.3">
      <c r="A5643" t="s">
        <v>62</v>
      </c>
      <c r="B5643" t="s">
        <v>44</v>
      </c>
      <c r="C5643" t="s">
        <v>15</v>
      </c>
      <c r="D5643" t="s">
        <v>341</v>
      </c>
      <c r="E5643" t="s">
        <v>127</v>
      </c>
      <c r="F5643">
        <v>6450</v>
      </c>
      <c r="G5643" t="s">
        <v>57</v>
      </c>
      <c r="H5643" t="s">
        <v>26</v>
      </c>
      <c r="I5643" t="s">
        <v>34</v>
      </c>
      <c r="J5643">
        <v>11.12</v>
      </c>
      <c r="K5643">
        <v>4</v>
      </c>
      <c r="L5643">
        <v>0</v>
      </c>
      <c r="M5643">
        <v>2.8912</v>
      </c>
    </row>
    <row r="5644" spans="1:13" x14ac:dyDescent="0.3">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
      <c r="A5650" t="s">
        <v>13</v>
      </c>
      <c r="B5650" t="s">
        <v>22</v>
      </c>
      <c r="C5650" t="s">
        <v>15</v>
      </c>
      <c r="D5650" t="s">
        <v>428</v>
      </c>
      <c r="E5650" t="s">
        <v>24</v>
      </c>
      <c r="F5650">
        <v>92307</v>
      </c>
      <c r="G5650" t="s">
        <v>25</v>
      </c>
      <c r="H5650" t="s">
        <v>26</v>
      </c>
      <c r="I5650" t="s">
        <v>41</v>
      </c>
      <c r="J5650">
        <v>32.4</v>
      </c>
      <c r="K5650">
        <v>5</v>
      </c>
      <c r="L5650">
        <v>0</v>
      </c>
      <c r="M5650">
        <v>15.552</v>
      </c>
    </row>
    <row r="5651" spans="1:13" x14ac:dyDescent="0.3">
      <c r="A5651" t="s">
        <v>13</v>
      </c>
      <c r="B5651" t="s">
        <v>22</v>
      </c>
      <c r="C5651" t="s">
        <v>15</v>
      </c>
      <c r="D5651" t="s">
        <v>428</v>
      </c>
      <c r="E5651" t="s">
        <v>24</v>
      </c>
      <c r="F5651">
        <v>92307</v>
      </c>
      <c r="G5651" t="s">
        <v>25</v>
      </c>
      <c r="H5651" t="s">
        <v>26</v>
      </c>
      <c r="I5651" t="s">
        <v>60</v>
      </c>
      <c r="J5651">
        <v>57.9</v>
      </c>
      <c r="K5651">
        <v>5</v>
      </c>
      <c r="L5651">
        <v>0</v>
      </c>
      <c r="M5651">
        <v>28.95</v>
      </c>
    </row>
    <row r="5652" spans="1:13" x14ac:dyDescent="0.3">
      <c r="A5652" t="s">
        <v>13</v>
      </c>
      <c r="B5652" t="s">
        <v>22</v>
      </c>
      <c r="C5652" t="s">
        <v>15</v>
      </c>
      <c r="D5652" t="s">
        <v>428</v>
      </c>
      <c r="E5652" t="s">
        <v>24</v>
      </c>
      <c r="F5652">
        <v>92307</v>
      </c>
      <c r="G5652" t="s">
        <v>25</v>
      </c>
      <c r="H5652" t="s">
        <v>26</v>
      </c>
      <c r="I5652" t="s">
        <v>32</v>
      </c>
      <c r="J5652">
        <v>10.56</v>
      </c>
      <c r="K5652">
        <v>2</v>
      </c>
      <c r="L5652">
        <v>0</v>
      </c>
      <c r="M5652">
        <v>0</v>
      </c>
    </row>
    <row r="5653" spans="1:13" x14ac:dyDescent="0.3">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
      <c r="A5656" t="s">
        <v>62</v>
      </c>
      <c r="B5656" t="s">
        <v>44</v>
      </c>
      <c r="C5656" t="s">
        <v>15</v>
      </c>
      <c r="D5656" t="s">
        <v>210</v>
      </c>
      <c r="E5656" t="s">
        <v>95</v>
      </c>
      <c r="F5656">
        <v>97301</v>
      </c>
      <c r="G5656" t="s">
        <v>25</v>
      </c>
      <c r="H5656" t="s">
        <v>26</v>
      </c>
      <c r="I5656" t="s">
        <v>37</v>
      </c>
      <c r="J5656">
        <v>45.24</v>
      </c>
      <c r="K5656">
        <v>4</v>
      </c>
      <c r="L5656">
        <v>0.7</v>
      </c>
      <c r="M5656">
        <v>-30.16</v>
      </c>
    </row>
    <row r="5657" spans="1:13" x14ac:dyDescent="0.3">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
      <c r="A5662" t="s">
        <v>62</v>
      </c>
      <c r="B5662" t="s">
        <v>44</v>
      </c>
      <c r="C5662" t="s">
        <v>15</v>
      </c>
      <c r="D5662" t="s">
        <v>210</v>
      </c>
      <c r="E5662" t="s">
        <v>95</v>
      </c>
      <c r="F5662">
        <v>97301</v>
      </c>
      <c r="G5662" t="s">
        <v>25</v>
      </c>
      <c r="H5662" t="s">
        <v>35</v>
      </c>
      <c r="I5662" t="s">
        <v>36</v>
      </c>
      <c r="J5662">
        <v>28.68</v>
      </c>
      <c r="K5662">
        <v>3</v>
      </c>
      <c r="L5662">
        <v>0.2</v>
      </c>
      <c r="M5662">
        <v>-7.17</v>
      </c>
    </row>
    <row r="5663" spans="1:13" x14ac:dyDescent="0.3">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
      <c r="A5733" t="s">
        <v>28</v>
      </c>
      <c r="B5733" t="s">
        <v>14</v>
      </c>
      <c r="C5733" t="s">
        <v>15</v>
      </c>
      <c r="D5733" t="s">
        <v>48</v>
      </c>
      <c r="E5733" t="s">
        <v>49</v>
      </c>
      <c r="F5733">
        <v>53711</v>
      </c>
      <c r="G5733" t="s">
        <v>47</v>
      </c>
      <c r="H5733" t="s">
        <v>26</v>
      </c>
      <c r="I5733" t="s">
        <v>41</v>
      </c>
      <c r="J5733">
        <v>27.52</v>
      </c>
      <c r="K5733">
        <v>4</v>
      </c>
      <c r="L5733">
        <v>0</v>
      </c>
      <c r="M5733">
        <v>12.6592</v>
      </c>
    </row>
    <row r="5734" spans="1:13" x14ac:dyDescent="0.3">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
      <c r="A5739" t="s">
        <v>28</v>
      </c>
      <c r="B5739" t="s">
        <v>14</v>
      </c>
      <c r="C5739" t="s">
        <v>15</v>
      </c>
      <c r="D5739" t="s">
        <v>23</v>
      </c>
      <c r="E5739" t="s">
        <v>24</v>
      </c>
      <c r="F5739">
        <v>90049</v>
      </c>
      <c r="G5739" t="s">
        <v>25</v>
      </c>
      <c r="H5739" t="s">
        <v>19</v>
      </c>
      <c r="I5739" t="s">
        <v>33</v>
      </c>
      <c r="J5739">
        <v>19.3</v>
      </c>
      <c r="K5739">
        <v>2</v>
      </c>
      <c r="L5739">
        <v>0</v>
      </c>
      <c r="M5739">
        <v>5.79</v>
      </c>
    </row>
    <row r="5740" spans="1:13" x14ac:dyDescent="0.3">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
      <c r="A5753" t="s">
        <v>28</v>
      </c>
      <c r="B5753" t="s">
        <v>14</v>
      </c>
      <c r="C5753" t="s">
        <v>15</v>
      </c>
      <c r="D5753" t="s">
        <v>144</v>
      </c>
      <c r="E5753" t="s">
        <v>24</v>
      </c>
      <c r="F5753">
        <v>92037</v>
      </c>
      <c r="G5753" t="s">
        <v>25</v>
      </c>
      <c r="H5753" t="s">
        <v>26</v>
      </c>
      <c r="I5753" t="s">
        <v>27</v>
      </c>
      <c r="J5753">
        <v>44.4</v>
      </c>
      <c r="K5753">
        <v>3</v>
      </c>
      <c r="L5753">
        <v>0</v>
      </c>
      <c r="M5753">
        <v>22.2</v>
      </c>
    </row>
    <row r="5754" spans="1:13" x14ac:dyDescent="0.3">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
      <c r="A5756" t="s">
        <v>13</v>
      </c>
      <c r="B5756" t="s">
        <v>14</v>
      </c>
      <c r="C5756" t="s">
        <v>15</v>
      </c>
      <c r="D5756" t="s">
        <v>82</v>
      </c>
      <c r="E5756" t="s">
        <v>83</v>
      </c>
      <c r="F5756">
        <v>22153</v>
      </c>
      <c r="G5756" t="s">
        <v>18</v>
      </c>
      <c r="H5756" t="s">
        <v>26</v>
      </c>
      <c r="I5756" t="s">
        <v>34</v>
      </c>
      <c r="J5756">
        <v>5.56</v>
      </c>
      <c r="K5756">
        <v>2</v>
      </c>
      <c r="L5756">
        <v>0</v>
      </c>
      <c r="M5756">
        <v>1.4456</v>
      </c>
    </row>
    <row r="5757" spans="1:13" x14ac:dyDescent="0.3">
      <c r="A5757" t="s">
        <v>28</v>
      </c>
      <c r="B5757" t="s">
        <v>14</v>
      </c>
      <c r="C5757" t="s">
        <v>15</v>
      </c>
      <c r="D5757" t="s">
        <v>45</v>
      </c>
      <c r="E5757" t="s">
        <v>46</v>
      </c>
      <c r="F5757">
        <v>76106</v>
      </c>
      <c r="G5757" t="s">
        <v>47</v>
      </c>
      <c r="H5757" t="s">
        <v>26</v>
      </c>
      <c r="I5757" t="s">
        <v>38</v>
      </c>
      <c r="J5757">
        <v>3.16</v>
      </c>
      <c r="K5757">
        <v>4</v>
      </c>
      <c r="L5757">
        <v>0.8</v>
      </c>
      <c r="M5757">
        <v>-8.532</v>
      </c>
    </row>
    <row r="5758" spans="1:13" x14ac:dyDescent="0.3">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
      <c r="A5770" t="s">
        <v>28</v>
      </c>
      <c r="B5770" t="s">
        <v>14</v>
      </c>
      <c r="C5770" t="s">
        <v>15</v>
      </c>
      <c r="D5770" t="s">
        <v>359</v>
      </c>
      <c r="E5770" t="s">
        <v>166</v>
      </c>
      <c r="F5770">
        <v>1453</v>
      </c>
      <c r="G5770" t="s">
        <v>57</v>
      </c>
      <c r="H5770" t="s">
        <v>26</v>
      </c>
      <c r="I5770" t="s">
        <v>27</v>
      </c>
      <c r="J5770">
        <v>3.15</v>
      </c>
      <c r="K5770">
        <v>1</v>
      </c>
      <c r="L5770">
        <v>0</v>
      </c>
      <c r="M5770">
        <v>1.512</v>
      </c>
    </row>
    <row r="5771" spans="1:13" x14ac:dyDescent="0.3">
      <c r="A5771" t="s">
        <v>28</v>
      </c>
      <c r="B5771" t="s">
        <v>14</v>
      </c>
      <c r="C5771" t="s">
        <v>15</v>
      </c>
      <c r="D5771" t="s">
        <v>359</v>
      </c>
      <c r="E5771" t="s">
        <v>166</v>
      </c>
      <c r="F5771">
        <v>1453</v>
      </c>
      <c r="G5771" t="s">
        <v>57</v>
      </c>
      <c r="H5771" t="s">
        <v>26</v>
      </c>
      <c r="I5771" t="s">
        <v>41</v>
      </c>
      <c r="J5771">
        <v>22.72</v>
      </c>
      <c r="K5771">
        <v>4</v>
      </c>
      <c r="L5771">
        <v>0</v>
      </c>
      <c r="M5771">
        <v>10.224</v>
      </c>
    </row>
    <row r="5772" spans="1:13" x14ac:dyDescent="0.3">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
      <c r="A5785" t="s">
        <v>13</v>
      </c>
      <c r="B5785" t="s">
        <v>14</v>
      </c>
      <c r="C5785" t="s">
        <v>15</v>
      </c>
      <c r="D5785" t="s">
        <v>546</v>
      </c>
      <c r="E5785" t="s">
        <v>24</v>
      </c>
      <c r="F5785">
        <v>95928</v>
      </c>
      <c r="G5785" t="s">
        <v>25</v>
      </c>
      <c r="H5785" t="s">
        <v>26</v>
      </c>
      <c r="I5785" t="s">
        <v>41</v>
      </c>
      <c r="J5785">
        <v>36.44</v>
      </c>
      <c r="K5785">
        <v>4</v>
      </c>
      <c r="L5785">
        <v>0</v>
      </c>
      <c r="M5785">
        <v>16.398</v>
      </c>
    </row>
    <row r="5786" spans="1:13" x14ac:dyDescent="0.3">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
      <c r="A5792" t="s">
        <v>62</v>
      </c>
      <c r="B5792" t="s">
        <v>14</v>
      </c>
      <c r="C5792" t="s">
        <v>15</v>
      </c>
      <c r="D5792" t="s">
        <v>418</v>
      </c>
      <c r="E5792" t="s">
        <v>24</v>
      </c>
      <c r="F5792">
        <v>93309</v>
      </c>
      <c r="G5792" t="s">
        <v>25</v>
      </c>
      <c r="H5792" t="s">
        <v>26</v>
      </c>
      <c r="I5792" t="s">
        <v>77</v>
      </c>
      <c r="J5792">
        <v>35</v>
      </c>
      <c r="K5792">
        <v>7</v>
      </c>
      <c r="L5792">
        <v>0</v>
      </c>
      <c r="M5792">
        <v>16.8</v>
      </c>
    </row>
    <row r="5793" spans="1:13" x14ac:dyDescent="0.3">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
      <c r="A5795" t="s">
        <v>62</v>
      </c>
      <c r="B5795" t="s">
        <v>14</v>
      </c>
      <c r="C5795" t="s">
        <v>15</v>
      </c>
      <c r="D5795" t="s">
        <v>418</v>
      </c>
      <c r="E5795" t="s">
        <v>24</v>
      </c>
      <c r="F5795">
        <v>93309</v>
      </c>
      <c r="G5795" t="s">
        <v>25</v>
      </c>
      <c r="H5795" t="s">
        <v>19</v>
      </c>
      <c r="I5795" t="s">
        <v>33</v>
      </c>
      <c r="J5795">
        <v>51.75</v>
      </c>
      <c r="K5795">
        <v>1</v>
      </c>
      <c r="L5795">
        <v>0</v>
      </c>
      <c r="M5795">
        <v>15.525</v>
      </c>
    </row>
    <row r="5796" spans="1:13" x14ac:dyDescent="0.3">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
      <c r="A5800" t="s">
        <v>13</v>
      </c>
      <c r="B5800" t="s">
        <v>14</v>
      </c>
      <c r="C5800" t="s">
        <v>15</v>
      </c>
      <c r="D5800" t="s">
        <v>75</v>
      </c>
      <c r="E5800" t="s">
        <v>76</v>
      </c>
      <c r="F5800">
        <v>10011</v>
      </c>
      <c r="G5800" t="s">
        <v>57</v>
      </c>
      <c r="H5800" t="s">
        <v>26</v>
      </c>
      <c r="I5800" t="s">
        <v>41</v>
      </c>
      <c r="J5800">
        <v>77.52</v>
      </c>
      <c r="K5800">
        <v>2</v>
      </c>
      <c r="L5800">
        <v>0</v>
      </c>
      <c r="M5800">
        <v>37.9848</v>
      </c>
    </row>
    <row r="5801" spans="1:13" x14ac:dyDescent="0.3">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
      <c r="A5835" t="s">
        <v>28</v>
      </c>
      <c r="B5835" t="s">
        <v>14</v>
      </c>
      <c r="C5835" t="s">
        <v>15</v>
      </c>
      <c r="D5835" t="s">
        <v>39</v>
      </c>
      <c r="E5835" t="s">
        <v>40</v>
      </c>
      <c r="F5835">
        <v>28027</v>
      </c>
      <c r="G5835" t="s">
        <v>18</v>
      </c>
      <c r="H5835" t="s">
        <v>19</v>
      </c>
      <c r="I5835" t="s">
        <v>21</v>
      </c>
      <c r="J5835">
        <v>363.92</v>
      </c>
      <c r="K5835">
        <v>5</v>
      </c>
      <c r="L5835">
        <v>0.2</v>
      </c>
      <c r="M5835">
        <v>0</v>
      </c>
    </row>
    <row r="5836" spans="1:13" x14ac:dyDescent="0.3">
      <c r="A5836" t="s">
        <v>28</v>
      </c>
      <c r="B5836" t="s">
        <v>14</v>
      </c>
      <c r="C5836" t="s">
        <v>15</v>
      </c>
      <c r="D5836" t="s">
        <v>180</v>
      </c>
      <c r="E5836" t="s">
        <v>30</v>
      </c>
      <c r="F5836">
        <v>33178</v>
      </c>
      <c r="G5836" t="s">
        <v>18</v>
      </c>
      <c r="H5836" t="s">
        <v>26</v>
      </c>
      <c r="I5836" t="s">
        <v>37</v>
      </c>
      <c r="J5836">
        <v>64.2</v>
      </c>
      <c r="K5836">
        <v>5</v>
      </c>
      <c r="L5836">
        <v>0.7</v>
      </c>
      <c r="M5836">
        <v>-42.8</v>
      </c>
    </row>
    <row r="5837" spans="1:13" x14ac:dyDescent="0.3">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
      <c r="A5841" t="s">
        <v>13</v>
      </c>
      <c r="B5841" t="s">
        <v>44</v>
      </c>
      <c r="C5841" t="s">
        <v>15</v>
      </c>
      <c r="D5841" t="s">
        <v>155</v>
      </c>
      <c r="E5841" t="s">
        <v>83</v>
      </c>
      <c r="F5841">
        <v>22204</v>
      </c>
      <c r="G5841" t="s">
        <v>18</v>
      </c>
      <c r="H5841" t="s">
        <v>26</v>
      </c>
      <c r="I5841" t="s">
        <v>41</v>
      </c>
      <c r="J5841">
        <v>32.4</v>
      </c>
      <c r="K5841">
        <v>5</v>
      </c>
      <c r="L5841">
        <v>0</v>
      </c>
      <c r="M5841">
        <v>15.552</v>
      </c>
    </row>
    <row r="5842" spans="1:13" x14ac:dyDescent="0.3">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
      <c r="A5847" t="s">
        <v>28</v>
      </c>
      <c r="B5847" t="s">
        <v>14</v>
      </c>
      <c r="C5847" t="s">
        <v>15</v>
      </c>
      <c r="D5847" t="s">
        <v>144</v>
      </c>
      <c r="E5847" t="s">
        <v>24</v>
      </c>
      <c r="F5847">
        <v>92105</v>
      </c>
      <c r="G5847" t="s">
        <v>25</v>
      </c>
      <c r="H5847" t="s">
        <v>26</v>
      </c>
      <c r="I5847" t="s">
        <v>41</v>
      </c>
      <c r="J5847">
        <v>32.4</v>
      </c>
      <c r="K5847">
        <v>5</v>
      </c>
      <c r="L5847">
        <v>0</v>
      </c>
      <c r="M5847">
        <v>15.552</v>
      </c>
    </row>
    <row r="5848" spans="1:13" x14ac:dyDescent="0.3">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
      <c r="A5849" t="s">
        <v>28</v>
      </c>
      <c r="B5849" t="s">
        <v>14</v>
      </c>
      <c r="C5849" t="s">
        <v>15</v>
      </c>
      <c r="D5849" t="s">
        <v>144</v>
      </c>
      <c r="E5849" t="s">
        <v>24</v>
      </c>
      <c r="F5849">
        <v>92105</v>
      </c>
      <c r="G5849" t="s">
        <v>25</v>
      </c>
      <c r="H5849" t="s">
        <v>19</v>
      </c>
      <c r="I5849" t="s">
        <v>33</v>
      </c>
      <c r="J5849">
        <v>36.6</v>
      </c>
      <c r="K5849">
        <v>3</v>
      </c>
      <c r="L5849">
        <v>0</v>
      </c>
      <c r="M5849">
        <v>15.372</v>
      </c>
    </row>
    <row r="5850" spans="1:13" x14ac:dyDescent="0.3">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
      <c r="A5897" t="s">
        <v>28</v>
      </c>
      <c r="B5897" t="s">
        <v>44</v>
      </c>
      <c r="C5897" t="s">
        <v>15</v>
      </c>
      <c r="D5897" t="s">
        <v>23</v>
      </c>
      <c r="E5897" t="s">
        <v>24</v>
      </c>
      <c r="F5897">
        <v>90049</v>
      </c>
      <c r="G5897" t="s">
        <v>25</v>
      </c>
      <c r="H5897" t="s">
        <v>26</v>
      </c>
      <c r="I5897" t="s">
        <v>27</v>
      </c>
      <c r="J5897">
        <v>44.4</v>
      </c>
      <c r="K5897">
        <v>3</v>
      </c>
      <c r="L5897">
        <v>0</v>
      </c>
      <c r="M5897">
        <v>22.2</v>
      </c>
    </row>
    <row r="5898" spans="1:13" x14ac:dyDescent="0.3">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
      <c r="A5902" t="s">
        <v>28</v>
      </c>
      <c r="B5902" t="s">
        <v>44</v>
      </c>
      <c r="C5902" t="s">
        <v>15</v>
      </c>
      <c r="D5902" t="s">
        <v>52</v>
      </c>
      <c r="E5902" t="s">
        <v>24</v>
      </c>
      <c r="F5902">
        <v>94122</v>
      </c>
      <c r="G5902" t="s">
        <v>25</v>
      </c>
      <c r="H5902" t="s">
        <v>26</v>
      </c>
      <c r="I5902" t="s">
        <v>37</v>
      </c>
      <c r="J5902">
        <v>24.192</v>
      </c>
      <c r="K5902">
        <v>9</v>
      </c>
      <c r="L5902">
        <v>0.2</v>
      </c>
      <c r="M5902">
        <v>7.56</v>
      </c>
    </row>
    <row r="5903" spans="1:13" x14ac:dyDescent="0.3">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
      <c r="A5907" t="s">
        <v>168</v>
      </c>
      <c r="B5907" t="s">
        <v>44</v>
      </c>
      <c r="C5907" t="s">
        <v>15</v>
      </c>
      <c r="D5907" t="s">
        <v>52</v>
      </c>
      <c r="E5907" t="s">
        <v>24</v>
      </c>
      <c r="F5907">
        <v>94122</v>
      </c>
      <c r="G5907" t="s">
        <v>25</v>
      </c>
      <c r="H5907" t="s">
        <v>26</v>
      </c>
      <c r="I5907" t="s">
        <v>27</v>
      </c>
      <c r="J5907">
        <v>41.4</v>
      </c>
      <c r="K5907">
        <v>4</v>
      </c>
      <c r="L5907">
        <v>0</v>
      </c>
      <c r="M5907">
        <v>19.872</v>
      </c>
    </row>
    <row r="5908" spans="1:13" x14ac:dyDescent="0.3">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
      <c r="A5913" t="s">
        <v>28</v>
      </c>
      <c r="B5913" t="s">
        <v>44</v>
      </c>
      <c r="C5913" t="s">
        <v>15</v>
      </c>
      <c r="D5913" t="s">
        <v>42</v>
      </c>
      <c r="E5913" t="s">
        <v>43</v>
      </c>
      <c r="F5913">
        <v>98115</v>
      </c>
      <c r="G5913" t="s">
        <v>25</v>
      </c>
      <c r="H5913" t="s">
        <v>26</v>
      </c>
      <c r="I5913" t="s">
        <v>32</v>
      </c>
      <c r="J5913">
        <v>46.53</v>
      </c>
      <c r="K5913">
        <v>3</v>
      </c>
      <c r="L5913">
        <v>0</v>
      </c>
      <c r="M5913">
        <v>13.0284</v>
      </c>
    </row>
    <row r="5914" spans="1:13" x14ac:dyDescent="0.3">
      <c r="A5914" t="s">
        <v>13</v>
      </c>
      <c r="B5914" t="s">
        <v>22</v>
      </c>
      <c r="C5914" t="s">
        <v>15</v>
      </c>
      <c r="D5914" t="s">
        <v>551</v>
      </c>
      <c r="E5914" t="s">
        <v>17</v>
      </c>
      <c r="F5914">
        <v>42301</v>
      </c>
      <c r="G5914" t="s">
        <v>18</v>
      </c>
      <c r="H5914" t="s">
        <v>26</v>
      </c>
      <c r="I5914" t="s">
        <v>110</v>
      </c>
      <c r="J5914">
        <v>25.5</v>
      </c>
      <c r="K5914">
        <v>3</v>
      </c>
      <c r="L5914">
        <v>0</v>
      </c>
      <c r="M5914">
        <v>6.63</v>
      </c>
    </row>
    <row r="5915" spans="1:13" x14ac:dyDescent="0.3">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
      <c r="A5922" t="s">
        <v>28</v>
      </c>
      <c r="B5922" t="s">
        <v>14</v>
      </c>
      <c r="C5922" t="s">
        <v>15</v>
      </c>
      <c r="D5922" t="s">
        <v>75</v>
      </c>
      <c r="E5922" t="s">
        <v>76</v>
      </c>
      <c r="F5922">
        <v>10035</v>
      </c>
      <c r="G5922" t="s">
        <v>57</v>
      </c>
      <c r="H5922" t="s">
        <v>35</v>
      </c>
      <c r="I5922" t="s">
        <v>59</v>
      </c>
      <c r="J5922">
        <v>659.9</v>
      </c>
      <c r="K5922">
        <v>2</v>
      </c>
      <c r="L5922">
        <v>0</v>
      </c>
      <c r="M5922">
        <v>217.767</v>
      </c>
    </row>
    <row r="5923" spans="1:13" x14ac:dyDescent="0.3">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
      <c r="A5948" t="s">
        <v>28</v>
      </c>
      <c r="B5948" t="s">
        <v>22</v>
      </c>
      <c r="C5948" t="s">
        <v>15</v>
      </c>
      <c r="D5948" t="s">
        <v>23</v>
      </c>
      <c r="E5948" t="s">
        <v>24</v>
      </c>
      <c r="F5948">
        <v>90036</v>
      </c>
      <c r="G5948" t="s">
        <v>25</v>
      </c>
      <c r="H5948" t="s">
        <v>26</v>
      </c>
      <c r="I5948" t="s">
        <v>32</v>
      </c>
      <c r="J5948">
        <v>48.84</v>
      </c>
      <c r="K5948">
        <v>4</v>
      </c>
      <c r="L5948">
        <v>0</v>
      </c>
      <c r="M5948">
        <v>13.1868</v>
      </c>
    </row>
    <row r="5949" spans="1:13" x14ac:dyDescent="0.3">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
      <c r="A5955" t="s">
        <v>62</v>
      </c>
      <c r="B5955" t="s">
        <v>22</v>
      </c>
      <c r="C5955" t="s">
        <v>15</v>
      </c>
      <c r="D5955" t="s">
        <v>75</v>
      </c>
      <c r="E5955" t="s">
        <v>76</v>
      </c>
      <c r="F5955">
        <v>10009</v>
      </c>
      <c r="G5955" t="s">
        <v>57</v>
      </c>
      <c r="H5955" t="s">
        <v>26</v>
      </c>
      <c r="I5955" t="s">
        <v>34</v>
      </c>
      <c r="J5955">
        <v>10.5</v>
      </c>
      <c r="K5955">
        <v>5</v>
      </c>
      <c r="L5955">
        <v>0</v>
      </c>
      <c r="M5955">
        <v>2.94</v>
      </c>
    </row>
    <row r="5956" spans="1:13" x14ac:dyDescent="0.3">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
      <c r="A5979" t="s">
        <v>62</v>
      </c>
      <c r="B5979" t="s">
        <v>14</v>
      </c>
      <c r="C5979" t="s">
        <v>15</v>
      </c>
      <c r="D5979" t="s">
        <v>206</v>
      </c>
      <c r="E5979" t="s">
        <v>81</v>
      </c>
      <c r="F5979">
        <v>85204</v>
      </c>
      <c r="G5979" t="s">
        <v>25</v>
      </c>
      <c r="H5979" t="s">
        <v>35</v>
      </c>
      <c r="I5979" t="s">
        <v>36</v>
      </c>
      <c r="J5979">
        <v>552</v>
      </c>
      <c r="K5979">
        <v>10</v>
      </c>
      <c r="L5979">
        <v>0.2</v>
      </c>
      <c r="M5979">
        <v>34.5</v>
      </c>
    </row>
    <row r="5980" spans="1:13" x14ac:dyDescent="0.3">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
      <c r="A5985" t="s">
        <v>13</v>
      </c>
      <c r="B5985" t="s">
        <v>14</v>
      </c>
      <c r="C5985" t="s">
        <v>15</v>
      </c>
      <c r="D5985" t="s">
        <v>55</v>
      </c>
      <c r="E5985" t="s">
        <v>56</v>
      </c>
      <c r="F5985">
        <v>19143</v>
      </c>
      <c r="G5985" t="s">
        <v>57</v>
      </c>
      <c r="H5985" t="s">
        <v>26</v>
      </c>
      <c r="I5985" t="s">
        <v>41</v>
      </c>
      <c r="J5985">
        <v>20.544</v>
      </c>
      <c r="K5985">
        <v>6</v>
      </c>
      <c r="L5985">
        <v>0.2</v>
      </c>
      <c r="M5985">
        <v>6.42</v>
      </c>
    </row>
    <row r="5986" spans="1:13" x14ac:dyDescent="0.3">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
      <c r="A6011" t="s">
        <v>28</v>
      </c>
      <c r="B6011" t="s">
        <v>14</v>
      </c>
      <c r="C6011" t="s">
        <v>15</v>
      </c>
      <c r="D6011" t="s">
        <v>23</v>
      </c>
      <c r="E6011" t="s">
        <v>24</v>
      </c>
      <c r="F6011">
        <v>90049</v>
      </c>
      <c r="G6011" t="s">
        <v>25</v>
      </c>
      <c r="H6011" t="s">
        <v>26</v>
      </c>
      <c r="I6011" t="s">
        <v>32</v>
      </c>
      <c r="J6011">
        <v>74.94</v>
      </c>
      <c r="K6011">
        <v>3</v>
      </c>
      <c r="L6011">
        <v>0</v>
      </c>
      <c r="M6011">
        <v>14.2386</v>
      </c>
    </row>
    <row r="6012" spans="1:13" x14ac:dyDescent="0.3">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
      <c r="A6017" t="s">
        <v>28</v>
      </c>
      <c r="B6017" t="s">
        <v>22</v>
      </c>
      <c r="C6017" t="s">
        <v>15</v>
      </c>
      <c r="D6017" t="s">
        <v>23</v>
      </c>
      <c r="E6017" t="s">
        <v>24</v>
      </c>
      <c r="F6017">
        <v>90049</v>
      </c>
      <c r="G6017" t="s">
        <v>25</v>
      </c>
      <c r="H6017" t="s">
        <v>19</v>
      </c>
      <c r="I6017" t="s">
        <v>33</v>
      </c>
      <c r="J6017">
        <v>91.96</v>
      </c>
      <c r="K6017">
        <v>2</v>
      </c>
      <c r="L6017">
        <v>0</v>
      </c>
      <c r="M6017">
        <v>15.6332</v>
      </c>
    </row>
    <row r="6018" spans="1:13" x14ac:dyDescent="0.3">
      <c r="A6018" t="s">
        <v>28</v>
      </c>
      <c r="B6018" t="s">
        <v>22</v>
      </c>
      <c r="C6018" t="s">
        <v>15</v>
      </c>
      <c r="D6018" t="s">
        <v>23</v>
      </c>
      <c r="E6018" t="s">
        <v>24</v>
      </c>
      <c r="F6018">
        <v>90049</v>
      </c>
      <c r="G6018" t="s">
        <v>25</v>
      </c>
      <c r="H6018" t="s">
        <v>19</v>
      </c>
      <c r="I6018" t="s">
        <v>33</v>
      </c>
      <c r="J6018">
        <v>33.11</v>
      </c>
      <c r="K6018">
        <v>7</v>
      </c>
      <c r="L6018">
        <v>0</v>
      </c>
      <c r="M6018">
        <v>12.9129</v>
      </c>
    </row>
    <row r="6019" spans="1:13" x14ac:dyDescent="0.3">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
      <c r="A6034" t="s">
        <v>62</v>
      </c>
      <c r="B6034" t="s">
        <v>14</v>
      </c>
      <c r="C6034" t="s">
        <v>15</v>
      </c>
      <c r="D6034" t="s">
        <v>75</v>
      </c>
      <c r="E6034" t="s">
        <v>76</v>
      </c>
      <c r="F6034">
        <v>10011</v>
      </c>
      <c r="G6034" t="s">
        <v>57</v>
      </c>
      <c r="H6034" t="s">
        <v>26</v>
      </c>
      <c r="I6034" t="s">
        <v>110</v>
      </c>
      <c r="J6034">
        <v>54.9</v>
      </c>
      <c r="K6034">
        <v>5</v>
      </c>
      <c r="L6034">
        <v>0</v>
      </c>
      <c r="M6034">
        <v>15.372</v>
      </c>
    </row>
    <row r="6035" spans="1:13" x14ac:dyDescent="0.3">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
      <c r="A6055" t="s">
        <v>13</v>
      </c>
      <c r="B6055" t="s">
        <v>44</v>
      </c>
      <c r="C6055" t="s">
        <v>15</v>
      </c>
      <c r="D6055" t="s">
        <v>235</v>
      </c>
      <c r="E6055" t="s">
        <v>104</v>
      </c>
      <c r="F6055">
        <v>43130</v>
      </c>
      <c r="G6055" t="s">
        <v>57</v>
      </c>
      <c r="H6055" t="s">
        <v>19</v>
      </c>
      <c r="I6055" t="s">
        <v>33</v>
      </c>
      <c r="J6055">
        <v>28</v>
      </c>
      <c r="K6055">
        <v>4</v>
      </c>
      <c r="L6055">
        <v>0.2</v>
      </c>
      <c r="M6055">
        <v>7.7</v>
      </c>
    </row>
    <row r="6056" spans="1:13" x14ac:dyDescent="0.3">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
      <c r="A6061" t="s">
        <v>28</v>
      </c>
      <c r="B6061" t="s">
        <v>14</v>
      </c>
      <c r="C6061" t="s">
        <v>15</v>
      </c>
      <c r="D6061" t="s">
        <v>55</v>
      </c>
      <c r="E6061" t="s">
        <v>56</v>
      </c>
      <c r="F6061">
        <v>19120</v>
      </c>
      <c r="G6061" t="s">
        <v>57</v>
      </c>
      <c r="H6061" t="s">
        <v>35</v>
      </c>
      <c r="I6061" t="s">
        <v>59</v>
      </c>
      <c r="J6061">
        <v>27.968</v>
      </c>
      <c r="K6061">
        <v>2</v>
      </c>
      <c r="L6061">
        <v>0.2</v>
      </c>
      <c r="M6061">
        <v>6.992</v>
      </c>
    </row>
    <row r="6062" spans="1:13" x14ac:dyDescent="0.3">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
      <c r="A6070" t="s">
        <v>28</v>
      </c>
      <c r="B6070" t="s">
        <v>44</v>
      </c>
      <c r="C6070" t="s">
        <v>15</v>
      </c>
      <c r="D6070" t="s">
        <v>154</v>
      </c>
      <c r="E6070" t="s">
        <v>24</v>
      </c>
      <c r="F6070">
        <v>90712</v>
      </c>
      <c r="G6070" t="s">
        <v>25</v>
      </c>
      <c r="H6070" t="s">
        <v>19</v>
      </c>
      <c r="I6070" t="s">
        <v>33</v>
      </c>
      <c r="J6070">
        <v>6.98</v>
      </c>
      <c r="K6070">
        <v>1</v>
      </c>
      <c r="L6070">
        <v>0</v>
      </c>
      <c r="M6070">
        <v>3.3504</v>
      </c>
    </row>
    <row r="6071" spans="1:13" x14ac:dyDescent="0.3">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
      <c r="A6078" t="s">
        <v>28</v>
      </c>
      <c r="B6078" t="s">
        <v>14</v>
      </c>
      <c r="C6078" t="s">
        <v>15</v>
      </c>
      <c r="D6078" t="s">
        <v>75</v>
      </c>
      <c r="E6078" t="s">
        <v>76</v>
      </c>
      <c r="F6078">
        <v>10011</v>
      </c>
      <c r="G6078" t="s">
        <v>57</v>
      </c>
      <c r="H6078" t="s">
        <v>35</v>
      </c>
      <c r="I6078" t="s">
        <v>59</v>
      </c>
      <c r="J6078">
        <v>468.9</v>
      </c>
      <c r="K6078">
        <v>6</v>
      </c>
      <c r="L6078">
        <v>0</v>
      </c>
      <c r="M6078">
        <v>206.316</v>
      </c>
    </row>
    <row r="6079" spans="1:13" x14ac:dyDescent="0.3">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
      <c r="A6093" t="s">
        <v>28</v>
      </c>
      <c r="B6093" t="s">
        <v>14</v>
      </c>
      <c r="C6093" t="s">
        <v>15</v>
      </c>
      <c r="D6093" t="s">
        <v>75</v>
      </c>
      <c r="E6093" t="s">
        <v>76</v>
      </c>
      <c r="F6093">
        <v>10035</v>
      </c>
      <c r="G6093" t="s">
        <v>57</v>
      </c>
      <c r="H6093" t="s">
        <v>35</v>
      </c>
      <c r="I6093" t="s">
        <v>59</v>
      </c>
      <c r="J6093">
        <v>212.8</v>
      </c>
      <c r="K6093">
        <v>2</v>
      </c>
      <c r="L6093">
        <v>0</v>
      </c>
      <c r="M6093">
        <v>95.76</v>
      </c>
    </row>
    <row r="6094" spans="1:13" x14ac:dyDescent="0.3">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
      <c r="A6096" t="s">
        <v>28</v>
      </c>
      <c r="B6096" t="s">
        <v>14</v>
      </c>
      <c r="C6096" t="s">
        <v>15</v>
      </c>
      <c r="D6096" t="s">
        <v>75</v>
      </c>
      <c r="E6096" t="s">
        <v>76</v>
      </c>
      <c r="F6096">
        <v>10035</v>
      </c>
      <c r="G6096" t="s">
        <v>57</v>
      </c>
      <c r="H6096" t="s">
        <v>26</v>
      </c>
      <c r="I6096" t="s">
        <v>32</v>
      </c>
      <c r="J6096">
        <v>45.4</v>
      </c>
      <c r="K6096">
        <v>4</v>
      </c>
      <c r="L6096">
        <v>0</v>
      </c>
      <c r="M6096">
        <v>12.712</v>
      </c>
    </row>
    <row r="6097" spans="1:13" x14ac:dyDescent="0.3">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
      <c r="A6109" t="s">
        <v>28</v>
      </c>
      <c r="B6109" t="s">
        <v>14</v>
      </c>
      <c r="C6109" t="s">
        <v>15</v>
      </c>
      <c r="D6109" t="s">
        <v>128</v>
      </c>
      <c r="E6109" t="s">
        <v>46</v>
      </c>
      <c r="F6109">
        <v>75051</v>
      </c>
      <c r="G6109" t="s">
        <v>47</v>
      </c>
      <c r="H6109" t="s">
        <v>35</v>
      </c>
      <c r="I6109" t="s">
        <v>59</v>
      </c>
      <c r="J6109">
        <v>65.44</v>
      </c>
      <c r="K6109">
        <v>5</v>
      </c>
      <c r="L6109">
        <v>0.2</v>
      </c>
      <c r="M6109">
        <v>-8.18</v>
      </c>
    </row>
    <row r="6110" spans="1:13" x14ac:dyDescent="0.3">
      <c r="A6110" t="s">
        <v>28</v>
      </c>
      <c r="B6110" t="s">
        <v>14</v>
      </c>
      <c r="C6110" t="s">
        <v>15</v>
      </c>
      <c r="D6110" t="s">
        <v>79</v>
      </c>
      <c r="E6110" t="s">
        <v>65</v>
      </c>
      <c r="F6110">
        <v>60653</v>
      </c>
      <c r="G6110" t="s">
        <v>47</v>
      </c>
      <c r="H6110" t="s">
        <v>26</v>
      </c>
      <c r="I6110" t="s">
        <v>27</v>
      </c>
      <c r="J6110">
        <v>6</v>
      </c>
      <c r="K6110">
        <v>2</v>
      </c>
      <c r="L6110">
        <v>0.2</v>
      </c>
      <c r="M6110">
        <v>2.1</v>
      </c>
    </row>
    <row r="6111" spans="1:13" x14ac:dyDescent="0.3">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
      <c r="A6164" t="s">
        <v>62</v>
      </c>
      <c r="B6164" t="s">
        <v>22</v>
      </c>
      <c r="C6164" t="s">
        <v>15</v>
      </c>
      <c r="D6164" t="s">
        <v>204</v>
      </c>
      <c r="E6164" t="s">
        <v>30</v>
      </c>
      <c r="F6164">
        <v>33801</v>
      </c>
      <c r="G6164" t="s">
        <v>18</v>
      </c>
      <c r="H6164" t="s">
        <v>26</v>
      </c>
      <c r="I6164" t="s">
        <v>32</v>
      </c>
      <c r="J6164">
        <v>26.16</v>
      </c>
      <c r="K6164">
        <v>3</v>
      </c>
      <c r="L6164">
        <v>0.2</v>
      </c>
      <c r="M6164">
        <v>1.962</v>
      </c>
    </row>
    <row r="6165" spans="1:13" x14ac:dyDescent="0.3">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
      <c r="A6168" t="s">
        <v>62</v>
      </c>
      <c r="B6168" t="s">
        <v>22</v>
      </c>
      <c r="C6168" t="s">
        <v>15</v>
      </c>
      <c r="D6168" t="s">
        <v>204</v>
      </c>
      <c r="E6168" t="s">
        <v>30</v>
      </c>
      <c r="F6168">
        <v>33801</v>
      </c>
      <c r="G6168" t="s">
        <v>18</v>
      </c>
      <c r="H6168" t="s">
        <v>35</v>
      </c>
      <c r="I6168" t="s">
        <v>59</v>
      </c>
      <c r="J6168">
        <v>170.24</v>
      </c>
      <c r="K6168">
        <v>2</v>
      </c>
      <c r="L6168">
        <v>0.2</v>
      </c>
      <c r="M6168">
        <v>53.2</v>
      </c>
    </row>
    <row r="6169" spans="1:13" x14ac:dyDescent="0.3">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
      <c r="A6178" t="s">
        <v>28</v>
      </c>
      <c r="B6178" t="s">
        <v>14</v>
      </c>
      <c r="C6178" t="s">
        <v>15</v>
      </c>
      <c r="D6178" t="s">
        <v>90</v>
      </c>
      <c r="E6178" t="s">
        <v>91</v>
      </c>
      <c r="F6178">
        <v>29203</v>
      </c>
      <c r="G6178" t="s">
        <v>18</v>
      </c>
      <c r="H6178" t="s">
        <v>26</v>
      </c>
      <c r="I6178" t="s">
        <v>32</v>
      </c>
      <c r="J6178">
        <v>85.96</v>
      </c>
      <c r="K6178">
        <v>7</v>
      </c>
      <c r="L6178">
        <v>0</v>
      </c>
      <c r="M6178">
        <v>24.0688</v>
      </c>
    </row>
    <row r="6179" spans="1:13" x14ac:dyDescent="0.3">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
      <c r="A6187" t="s">
        <v>28</v>
      </c>
      <c r="B6187" t="s">
        <v>14</v>
      </c>
      <c r="C6187" t="s">
        <v>15</v>
      </c>
      <c r="D6187" t="s">
        <v>55</v>
      </c>
      <c r="E6187" t="s">
        <v>56</v>
      </c>
      <c r="F6187">
        <v>19120</v>
      </c>
      <c r="G6187" t="s">
        <v>57</v>
      </c>
      <c r="H6187" t="s">
        <v>26</v>
      </c>
      <c r="I6187" t="s">
        <v>34</v>
      </c>
      <c r="J6187">
        <v>106.8</v>
      </c>
      <c r="K6187">
        <v>10</v>
      </c>
      <c r="L6187">
        <v>0.2</v>
      </c>
      <c r="M6187">
        <v>10.68</v>
      </c>
    </row>
    <row r="6188" spans="1:13" x14ac:dyDescent="0.3">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
      <c r="A6196" t="s">
        <v>28</v>
      </c>
      <c r="B6196" t="s">
        <v>14</v>
      </c>
      <c r="C6196" t="s">
        <v>15</v>
      </c>
      <c r="D6196" t="s">
        <v>61</v>
      </c>
      <c r="E6196" t="s">
        <v>46</v>
      </c>
      <c r="F6196">
        <v>77095</v>
      </c>
      <c r="G6196" t="s">
        <v>47</v>
      </c>
      <c r="H6196" t="s">
        <v>26</v>
      </c>
      <c r="I6196" t="s">
        <v>41</v>
      </c>
      <c r="J6196">
        <v>75.88</v>
      </c>
      <c r="K6196">
        <v>5</v>
      </c>
      <c r="L6196">
        <v>0.2</v>
      </c>
      <c r="M6196">
        <v>26.558</v>
      </c>
    </row>
    <row r="6197" spans="1:13" x14ac:dyDescent="0.3">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
      <c r="A6240" t="s">
        <v>28</v>
      </c>
      <c r="B6240" t="s">
        <v>14</v>
      </c>
      <c r="C6240" t="s">
        <v>15</v>
      </c>
      <c r="D6240" t="s">
        <v>117</v>
      </c>
      <c r="E6240" t="s">
        <v>24</v>
      </c>
      <c r="F6240">
        <v>95123</v>
      </c>
      <c r="G6240" t="s">
        <v>25</v>
      </c>
      <c r="H6240" t="s">
        <v>19</v>
      </c>
      <c r="I6240" t="s">
        <v>33</v>
      </c>
      <c r="J6240">
        <v>166.5</v>
      </c>
      <c r="K6240">
        <v>3</v>
      </c>
      <c r="L6240">
        <v>0</v>
      </c>
      <c r="M6240">
        <v>21.645</v>
      </c>
    </row>
    <row r="6241" spans="1:13" x14ac:dyDescent="0.3">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
      <c r="A6250" t="s">
        <v>28</v>
      </c>
      <c r="B6250" t="s">
        <v>14</v>
      </c>
      <c r="C6250" t="s">
        <v>15</v>
      </c>
      <c r="D6250" t="s">
        <v>103</v>
      </c>
      <c r="E6250" t="s">
        <v>74</v>
      </c>
      <c r="F6250">
        <v>47201</v>
      </c>
      <c r="G6250" t="s">
        <v>47</v>
      </c>
      <c r="H6250" t="s">
        <v>19</v>
      </c>
      <c r="I6250" t="s">
        <v>33</v>
      </c>
      <c r="J6250">
        <v>6.24</v>
      </c>
      <c r="K6250">
        <v>3</v>
      </c>
      <c r="L6250">
        <v>0</v>
      </c>
      <c r="M6250">
        <v>2.6208</v>
      </c>
    </row>
    <row r="6251" spans="1:13" x14ac:dyDescent="0.3">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
      <c r="A6252" t="s">
        <v>28</v>
      </c>
      <c r="B6252" t="s">
        <v>14</v>
      </c>
      <c r="C6252" t="s">
        <v>15</v>
      </c>
      <c r="D6252" t="s">
        <v>103</v>
      </c>
      <c r="E6252" t="s">
        <v>74</v>
      </c>
      <c r="F6252">
        <v>47201</v>
      </c>
      <c r="G6252" t="s">
        <v>47</v>
      </c>
      <c r="H6252" t="s">
        <v>26</v>
      </c>
      <c r="I6252" t="s">
        <v>41</v>
      </c>
      <c r="J6252">
        <v>7.98</v>
      </c>
      <c r="K6252">
        <v>1</v>
      </c>
      <c r="L6252">
        <v>0</v>
      </c>
      <c r="M6252">
        <v>3.99</v>
      </c>
    </row>
    <row r="6253" spans="1:13" x14ac:dyDescent="0.3">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
      <c r="A6260" t="s">
        <v>13</v>
      </c>
      <c r="B6260" t="s">
        <v>14</v>
      </c>
      <c r="C6260" t="s">
        <v>15</v>
      </c>
      <c r="D6260" t="s">
        <v>75</v>
      </c>
      <c r="E6260" t="s">
        <v>76</v>
      </c>
      <c r="F6260">
        <v>10009</v>
      </c>
      <c r="G6260" t="s">
        <v>57</v>
      </c>
      <c r="H6260" t="s">
        <v>26</v>
      </c>
      <c r="I6260" t="s">
        <v>60</v>
      </c>
      <c r="J6260">
        <v>22.92</v>
      </c>
      <c r="K6260">
        <v>3</v>
      </c>
      <c r="L6260">
        <v>0</v>
      </c>
      <c r="M6260">
        <v>11.2308</v>
      </c>
    </row>
    <row r="6261" spans="1:13" x14ac:dyDescent="0.3">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
      <c r="A6263" t="s">
        <v>28</v>
      </c>
      <c r="B6263" t="s">
        <v>22</v>
      </c>
      <c r="C6263" t="s">
        <v>15</v>
      </c>
      <c r="D6263" t="s">
        <v>159</v>
      </c>
      <c r="E6263" t="s">
        <v>76</v>
      </c>
      <c r="F6263">
        <v>11561</v>
      </c>
      <c r="G6263" t="s">
        <v>57</v>
      </c>
      <c r="H6263" t="s">
        <v>26</v>
      </c>
      <c r="I6263" t="s">
        <v>27</v>
      </c>
      <c r="J6263">
        <v>41.4</v>
      </c>
      <c r="K6263">
        <v>4</v>
      </c>
      <c r="L6263">
        <v>0</v>
      </c>
      <c r="M6263">
        <v>19.872</v>
      </c>
    </row>
    <row r="6264" spans="1:13" x14ac:dyDescent="0.3">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
      <c r="A6265" t="s">
        <v>28</v>
      </c>
      <c r="B6265" t="s">
        <v>22</v>
      </c>
      <c r="C6265" t="s">
        <v>15</v>
      </c>
      <c r="D6265" t="s">
        <v>103</v>
      </c>
      <c r="E6265" t="s">
        <v>167</v>
      </c>
      <c r="F6265">
        <v>31907</v>
      </c>
      <c r="G6265" t="s">
        <v>18</v>
      </c>
      <c r="H6265" t="s">
        <v>26</v>
      </c>
      <c r="I6265" t="s">
        <v>37</v>
      </c>
      <c r="J6265">
        <v>34.5</v>
      </c>
      <c r="K6265">
        <v>3</v>
      </c>
      <c r="L6265">
        <v>0</v>
      </c>
      <c r="M6265">
        <v>15.525</v>
      </c>
    </row>
    <row r="6266" spans="1:13" x14ac:dyDescent="0.3">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
      <c r="A6270" t="s">
        <v>13</v>
      </c>
      <c r="B6270" t="s">
        <v>44</v>
      </c>
      <c r="C6270" t="s">
        <v>15</v>
      </c>
      <c r="D6270" t="s">
        <v>563</v>
      </c>
      <c r="E6270" t="s">
        <v>166</v>
      </c>
      <c r="F6270">
        <v>2138</v>
      </c>
      <c r="G6270" t="s">
        <v>57</v>
      </c>
      <c r="H6270" t="s">
        <v>26</v>
      </c>
      <c r="I6270" t="s">
        <v>37</v>
      </c>
      <c r="J6270">
        <v>22.45</v>
      </c>
      <c r="K6270">
        <v>5</v>
      </c>
      <c r="L6270">
        <v>0</v>
      </c>
      <c r="M6270">
        <v>10.327</v>
      </c>
    </row>
    <row r="6271" spans="1:13" x14ac:dyDescent="0.3">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
      <c r="A6277" t="s">
        <v>13</v>
      </c>
      <c r="B6277" t="s">
        <v>14</v>
      </c>
      <c r="C6277" t="s">
        <v>15</v>
      </c>
      <c r="D6277" t="s">
        <v>42</v>
      </c>
      <c r="E6277" t="s">
        <v>43</v>
      </c>
      <c r="F6277">
        <v>98105</v>
      </c>
      <c r="G6277" t="s">
        <v>25</v>
      </c>
      <c r="H6277" t="s">
        <v>19</v>
      </c>
      <c r="I6277" t="s">
        <v>33</v>
      </c>
      <c r="J6277">
        <v>24.75</v>
      </c>
      <c r="K6277">
        <v>5</v>
      </c>
      <c r="L6277">
        <v>0</v>
      </c>
      <c r="M6277">
        <v>10.89</v>
      </c>
    </row>
    <row r="6278" spans="1:13" x14ac:dyDescent="0.3">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
      <c r="A6279" t="s">
        <v>13</v>
      </c>
      <c r="B6279" t="s">
        <v>14</v>
      </c>
      <c r="C6279" t="s">
        <v>15</v>
      </c>
      <c r="D6279" t="s">
        <v>42</v>
      </c>
      <c r="E6279" t="s">
        <v>43</v>
      </c>
      <c r="F6279">
        <v>98105</v>
      </c>
      <c r="G6279" t="s">
        <v>25</v>
      </c>
      <c r="H6279" t="s">
        <v>26</v>
      </c>
      <c r="I6279" t="s">
        <v>32</v>
      </c>
      <c r="J6279">
        <v>69.52</v>
      </c>
      <c r="K6279">
        <v>2</v>
      </c>
      <c r="L6279">
        <v>0</v>
      </c>
      <c r="M6279">
        <v>17.38</v>
      </c>
    </row>
    <row r="6280" spans="1:13" x14ac:dyDescent="0.3">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
      <c r="A6298" t="s">
        <v>28</v>
      </c>
      <c r="B6298" t="s">
        <v>22</v>
      </c>
      <c r="C6298" t="s">
        <v>15</v>
      </c>
      <c r="D6298" t="s">
        <v>565</v>
      </c>
      <c r="E6298" t="s">
        <v>166</v>
      </c>
      <c r="F6298">
        <v>1915</v>
      </c>
      <c r="G6298" t="s">
        <v>57</v>
      </c>
      <c r="H6298" t="s">
        <v>26</v>
      </c>
      <c r="I6298" t="s">
        <v>32</v>
      </c>
      <c r="J6298">
        <v>704.25</v>
      </c>
      <c r="K6298">
        <v>5</v>
      </c>
      <c r="L6298">
        <v>0</v>
      </c>
      <c r="M6298">
        <v>84.51</v>
      </c>
    </row>
    <row r="6299" spans="1:13" x14ac:dyDescent="0.3">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
      <c r="A6319" t="s">
        <v>28</v>
      </c>
      <c r="B6319" t="s">
        <v>22</v>
      </c>
      <c r="C6319" t="s">
        <v>15</v>
      </c>
      <c r="D6319" t="s">
        <v>84</v>
      </c>
      <c r="E6319" t="s">
        <v>70</v>
      </c>
      <c r="F6319">
        <v>49201</v>
      </c>
      <c r="G6319" t="s">
        <v>47</v>
      </c>
      <c r="H6319" t="s">
        <v>26</v>
      </c>
      <c r="I6319" t="s">
        <v>41</v>
      </c>
      <c r="J6319">
        <v>15.96</v>
      </c>
      <c r="K6319">
        <v>2</v>
      </c>
      <c r="L6319">
        <v>0</v>
      </c>
      <c r="M6319">
        <v>7.98</v>
      </c>
    </row>
    <row r="6320" spans="1:13" x14ac:dyDescent="0.3">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
      <c r="A6321" t="s">
        <v>13</v>
      </c>
      <c r="B6321" t="s">
        <v>22</v>
      </c>
      <c r="C6321" t="s">
        <v>15</v>
      </c>
      <c r="D6321" t="s">
        <v>314</v>
      </c>
      <c r="E6321" t="s">
        <v>24</v>
      </c>
      <c r="F6321">
        <v>92677</v>
      </c>
      <c r="G6321" t="s">
        <v>25</v>
      </c>
      <c r="H6321" t="s">
        <v>26</v>
      </c>
      <c r="I6321" t="s">
        <v>41</v>
      </c>
      <c r="J6321">
        <v>34.08</v>
      </c>
      <c r="K6321">
        <v>6</v>
      </c>
      <c r="L6321">
        <v>0</v>
      </c>
      <c r="M6321">
        <v>15.336</v>
      </c>
    </row>
    <row r="6322" spans="1:13" x14ac:dyDescent="0.3">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
      <c r="A6326" t="s">
        <v>28</v>
      </c>
      <c r="B6326" t="s">
        <v>22</v>
      </c>
      <c r="C6326" t="s">
        <v>15</v>
      </c>
      <c r="D6326" t="s">
        <v>52</v>
      </c>
      <c r="E6326" t="s">
        <v>24</v>
      </c>
      <c r="F6326">
        <v>94109</v>
      </c>
      <c r="G6326" t="s">
        <v>25</v>
      </c>
      <c r="H6326" t="s">
        <v>26</v>
      </c>
      <c r="I6326" t="s">
        <v>41</v>
      </c>
      <c r="J6326">
        <v>33.4</v>
      </c>
      <c r="K6326">
        <v>5</v>
      </c>
      <c r="L6326">
        <v>0</v>
      </c>
      <c r="M6326">
        <v>16.032</v>
      </c>
    </row>
    <row r="6327" spans="1:13" x14ac:dyDescent="0.3">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
      <c r="A6330" t="s">
        <v>28</v>
      </c>
      <c r="B6330" t="s">
        <v>14</v>
      </c>
      <c r="C6330" t="s">
        <v>15</v>
      </c>
      <c r="D6330" t="s">
        <v>69</v>
      </c>
      <c r="E6330" t="s">
        <v>70</v>
      </c>
      <c r="F6330">
        <v>48185</v>
      </c>
      <c r="G6330" t="s">
        <v>47</v>
      </c>
      <c r="H6330" t="s">
        <v>26</v>
      </c>
      <c r="I6330" t="s">
        <v>37</v>
      </c>
      <c r="J6330">
        <v>19.05</v>
      </c>
      <c r="K6330">
        <v>5</v>
      </c>
      <c r="L6330">
        <v>0</v>
      </c>
      <c r="M6330">
        <v>8.9535</v>
      </c>
    </row>
    <row r="6331" spans="1:13" x14ac:dyDescent="0.3">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
      <c r="A6334" t="s">
        <v>28</v>
      </c>
      <c r="B6334" t="s">
        <v>14</v>
      </c>
      <c r="C6334" t="s">
        <v>15</v>
      </c>
      <c r="D6334" t="s">
        <v>69</v>
      </c>
      <c r="E6334" t="s">
        <v>70</v>
      </c>
      <c r="F6334">
        <v>48185</v>
      </c>
      <c r="G6334" t="s">
        <v>47</v>
      </c>
      <c r="H6334" t="s">
        <v>19</v>
      </c>
      <c r="I6334" t="s">
        <v>33</v>
      </c>
      <c r="J6334">
        <v>14.73</v>
      </c>
      <c r="K6334">
        <v>3</v>
      </c>
      <c r="L6334">
        <v>0</v>
      </c>
      <c r="M6334">
        <v>4.8609</v>
      </c>
    </row>
    <row r="6335" spans="1:13" x14ac:dyDescent="0.3">
      <c r="A6335" t="s">
        <v>28</v>
      </c>
      <c r="B6335" t="s">
        <v>14</v>
      </c>
      <c r="C6335" t="s">
        <v>15</v>
      </c>
      <c r="D6335" t="s">
        <v>69</v>
      </c>
      <c r="E6335" t="s">
        <v>70</v>
      </c>
      <c r="F6335">
        <v>48185</v>
      </c>
      <c r="G6335" t="s">
        <v>47</v>
      </c>
      <c r="H6335" t="s">
        <v>26</v>
      </c>
      <c r="I6335" t="s">
        <v>37</v>
      </c>
      <c r="J6335">
        <v>29.7</v>
      </c>
      <c r="K6335">
        <v>5</v>
      </c>
      <c r="L6335">
        <v>0</v>
      </c>
      <c r="M6335">
        <v>13.365</v>
      </c>
    </row>
    <row r="6336" spans="1:13" x14ac:dyDescent="0.3">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
      <c r="A6340" t="s">
        <v>28</v>
      </c>
      <c r="B6340" t="s">
        <v>22</v>
      </c>
      <c r="C6340" t="s">
        <v>15</v>
      </c>
      <c r="D6340" t="s">
        <v>75</v>
      </c>
      <c r="E6340" t="s">
        <v>76</v>
      </c>
      <c r="F6340">
        <v>10035</v>
      </c>
      <c r="G6340" t="s">
        <v>57</v>
      </c>
      <c r="H6340" t="s">
        <v>35</v>
      </c>
      <c r="I6340" t="s">
        <v>36</v>
      </c>
      <c r="J6340">
        <v>87.8</v>
      </c>
      <c r="K6340">
        <v>4</v>
      </c>
      <c r="L6340">
        <v>0</v>
      </c>
      <c r="M6340">
        <v>43.9</v>
      </c>
    </row>
    <row r="6341" spans="1:13" x14ac:dyDescent="0.3">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
      <c r="A6350" t="s">
        <v>28</v>
      </c>
      <c r="B6350" t="s">
        <v>14</v>
      </c>
      <c r="C6350" t="s">
        <v>15</v>
      </c>
      <c r="D6350" t="s">
        <v>52</v>
      </c>
      <c r="E6350" t="s">
        <v>24</v>
      </c>
      <c r="F6350">
        <v>94109</v>
      </c>
      <c r="G6350" t="s">
        <v>25</v>
      </c>
      <c r="H6350" t="s">
        <v>26</v>
      </c>
      <c r="I6350" t="s">
        <v>32</v>
      </c>
      <c r="J6350">
        <v>37.32</v>
      </c>
      <c r="K6350">
        <v>3</v>
      </c>
      <c r="L6350">
        <v>0</v>
      </c>
      <c r="M6350">
        <v>10.4496</v>
      </c>
    </row>
    <row r="6351" spans="1:13" x14ac:dyDescent="0.3">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
      <c r="A6357" t="s">
        <v>28</v>
      </c>
      <c r="B6357" t="s">
        <v>14</v>
      </c>
      <c r="C6357" t="s">
        <v>15</v>
      </c>
      <c r="D6357" t="s">
        <v>55</v>
      </c>
      <c r="E6357" t="s">
        <v>56</v>
      </c>
      <c r="F6357">
        <v>19120</v>
      </c>
      <c r="G6357" t="s">
        <v>57</v>
      </c>
      <c r="H6357" t="s">
        <v>26</v>
      </c>
      <c r="I6357" t="s">
        <v>32</v>
      </c>
      <c r="J6357">
        <v>83.92</v>
      </c>
      <c r="K6357">
        <v>5</v>
      </c>
      <c r="L6357">
        <v>0.2</v>
      </c>
      <c r="M6357">
        <v>-13.637</v>
      </c>
    </row>
    <row r="6358" spans="1:13" x14ac:dyDescent="0.3">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
      <c r="A6367" t="s">
        <v>62</v>
      </c>
      <c r="B6367" t="s">
        <v>44</v>
      </c>
      <c r="C6367" t="s">
        <v>15</v>
      </c>
      <c r="D6367" t="s">
        <v>75</v>
      </c>
      <c r="E6367" t="s">
        <v>76</v>
      </c>
      <c r="F6367">
        <v>10009</v>
      </c>
      <c r="G6367" t="s">
        <v>57</v>
      </c>
      <c r="H6367" t="s">
        <v>35</v>
      </c>
      <c r="I6367" t="s">
        <v>36</v>
      </c>
      <c r="J6367">
        <v>41.22</v>
      </c>
      <c r="K6367">
        <v>1</v>
      </c>
      <c r="L6367">
        <v>0</v>
      </c>
      <c r="M6367">
        <v>11.1294</v>
      </c>
    </row>
    <row r="6368" spans="1:13" x14ac:dyDescent="0.3">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
      <c r="A6394" t="s">
        <v>28</v>
      </c>
      <c r="B6394" t="s">
        <v>14</v>
      </c>
      <c r="C6394" t="s">
        <v>15</v>
      </c>
      <c r="D6394" t="s">
        <v>75</v>
      </c>
      <c r="E6394" t="s">
        <v>76</v>
      </c>
      <c r="F6394">
        <v>10011</v>
      </c>
      <c r="G6394" t="s">
        <v>57</v>
      </c>
      <c r="H6394" t="s">
        <v>26</v>
      </c>
      <c r="I6394" t="s">
        <v>27</v>
      </c>
      <c r="J6394">
        <v>5.76</v>
      </c>
      <c r="K6394">
        <v>2</v>
      </c>
      <c r="L6394">
        <v>0</v>
      </c>
      <c r="M6394">
        <v>2.8224</v>
      </c>
    </row>
    <row r="6395" spans="1:13" x14ac:dyDescent="0.3">
      <c r="A6395" t="s">
        <v>28</v>
      </c>
      <c r="B6395" t="s">
        <v>14</v>
      </c>
      <c r="C6395" t="s">
        <v>15</v>
      </c>
      <c r="D6395" t="s">
        <v>75</v>
      </c>
      <c r="E6395" t="s">
        <v>76</v>
      </c>
      <c r="F6395">
        <v>10011</v>
      </c>
      <c r="G6395" t="s">
        <v>57</v>
      </c>
      <c r="H6395" t="s">
        <v>26</v>
      </c>
      <c r="I6395" t="s">
        <v>77</v>
      </c>
      <c r="J6395">
        <v>21.48</v>
      </c>
      <c r="K6395">
        <v>6</v>
      </c>
      <c r="L6395">
        <v>0</v>
      </c>
      <c r="M6395">
        <v>10.5252</v>
      </c>
    </row>
    <row r="6396" spans="1:13" x14ac:dyDescent="0.3">
      <c r="A6396" t="s">
        <v>28</v>
      </c>
      <c r="B6396" t="s">
        <v>14</v>
      </c>
      <c r="C6396" t="s">
        <v>15</v>
      </c>
      <c r="D6396" t="s">
        <v>75</v>
      </c>
      <c r="E6396" t="s">
        <v>76</v>
      </c>
      <c r="F6396">
        <v>10011</v>
      </c>
      <c r="G6396" t="s">
        <v>57</v>
      </c>
      <c r="H6396" t="s">
        <v>19</v>
      </c>
      <c r="I6396" t="s">
        <v>33</v>
      </c>
      <c r="J6396">
        <v>396.92</v>
      </c>
      <c r="K6396">
        <v>4</v>
      </c>
      <c r="L6396">
        <v>0</v>
      </c>
      <c r="M6396">
        <v>198.46</v>
      </c>
    </row>
    <row r="6397" spans="1:13" x14ac:dyDescent="0.3">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
      <c r="A6404" t="s">
        <v>62</v>
      </c>
      <c r="B6404" t="s">
        <v>14</v>
      </c>
      <c r="C6404" t="s">
        <v>15</v>
      </c>
      <c r="D6404" t="s">
        <v>325</v>
      </c>
      <c r="E6404" t="s">
        <v>125</v>
      </c>
      <c r="F6404">
        <v>70506</v>
      </c>
      <c r="G6404" t="s">
        <v>18</v>
      </c>
      <c r="H6404" t="s">
        <v>26</v>
      </c>
      <c r="I6404" t="s">
        <v>37</v>
      </c>
      <c r="J6404">
        <v>3.89</v>
      </c>
      <c r="K6404">
        <v>1</v>
      </c>
      <c r="L6404">
        <v>0</v>
      </c>
      <c r="M6404">
        <v>1.8672</v>
      </c>
    </row>
    <row r="6405" spans="1:13" x14ac:dyDescent="0.3">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
      <c r="A6416" t="s">
        <v>13</v>
      </c>
      <c r="B6416" t="s">
        <v>44</v>
      </c>
      <c r="C6416" t="s">
        <v>15</v>
      </c>
      <c r="D6416" t="s">
        <v>479</v>
      </c>
      <c r="E6416" t="s">
        <v>30</v>
      </c>
      <c r="F6416">
        <v>33021</v>
      </c>
      <c r="G6416" t="s">
        <v>18</v>
      </c>
      <c r="H6416" t="s">
        <v>26</v>
      </c>
      <c r="I6416" t="s">
        <v>37</v>
      </c>
      <c r="J6416">
        <v>11.52</v>
      </c>
      <c r="K6416">
        <v>5</v>
      </c>
      <c r="L6416">
        <v>0.7</v>
      </c>
      <c r="M6416">
        <v>-7.68</v>
      </c>
    </row>
    <row r="6417" spans="1:13" x14ac:dyDescent="0.3">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
      <c r="A6419" t="s">
        <v>28</v>
      </c>
      <c r="B6419" t="s">
        <v>14</v>
      </c>
      <c r="C6419" t="s">
        <v>15</v>
      </c>
      <c r="D6419" t="s">
        <v>55</v>
      </c>
      <c r="E6419" t="s">
        <v>56</v>
      </c>
      <c r="F6419">
        <v>19120</v>
      </c>
      <c r="G6419" t="s">
        <v>57</v>
      </c>
      <c r="H6419" t="s">
        <v>26</v>
      </c>
      <c r="I6419" t="s">
        <v>77</v>
      </c>
      <c r="J6419">
        <v>5.984</v>
      </c>
      <c r="K6419">
        <v>2</v>
      </c>
      <c r="L6419">
        <v>0.2</v>
      </c>
      <c r="M6419">
        <v>-1.3464</v>
      </c>
    </row>
    <row r="6420" spans="1:13" x14ac:dyDescent="0.3">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
      <c r="A6437" t="s">
        <v>62</v>
      </c>
      <c r="B6437" t="s">
        <v>14</v>
      </c>
      <c r="C6437" t="s">
        <v>15</v>
      </c>
      <c r="D6437" t="s">
        <v>540</v>
      </c>
      <c r="E6437" t="s">
        <v>437</v>
      </c>
      <c r="F6437">
        <v>83201</v>
      </c>
      <c r="G6437" t="s">
        <v>25</v>
      </c>
      <c r="H6437" t="s">
        <v>19</v>
      </c>
      <c r="I6437" t="s">
        <v>33</v>
      </c>
      <c r="J6437">
        <v>35</v>
      </c>
      <c r="K6437">
        <v>4</v>
      </c>
      <c r="L6437">
        <v>0</v>
      </c>
      <c r="M6437">
        <v>14.7</v>
      </c>
    </row>
    <row r="6438" spans="1:13" x14ac:dyDescent="0.3">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
      <c r="A6448" t="s">
        <v>13</v>
      </c>
      <c r="B6448" t="s">
        <v>44</v>
      </c>
      <c r="C6448" t="s">
        <v>15</v>
      </c>
      <c r="D6448" t="s">
        <v>61</v>
      </c>
      <c r="E6448" t="s">
        <v>46</v>
      </c>
      <c r="F6448">
        <v>77095</v>
      </c>
      <c r="G6448" t="s">
        <v>47</v>
      </c>
      <c r="H6448" t="s">
        <v>19</v>
      </c>
      <c r="I6448" t="s">
        <v>33</v>
      </c>
      <c r="J6448">
        <v>103.5</v>
      </c>
      <c r="K6448">
        <v>5</v>
      </c>
      <c r="L6448">
        <v>0.6</v>
      </c>
      <c r="M6448">
        <v>-77.625</v>
      </c>
    </row>
    <row r="6449" spans="1:13" x14ac:dyDescent="0.3">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
      <c r="A6456" t="s">
        <v>62</v>
      </c>
      <c r="B6456" t="s">
        <v>14</v>
      </c>
      <c r="C6456" t="s">
        <v>15</v>
      </c>
      <c r="D6456" t="s">
        <v>52</v>
      </c>
      <c r="E6456" t="s">
        <v>24</v>
      </c>
      <c r="F6456">
        <v>94110</v>
      </c>
      <c r="G6456" t="s">
        <v>25</v>
      </c>
      <c r="H6456" t="s">
        <v>26</v>
      </c>
      <c r="I6456" t="s">
        <v>32</v>
      </c>
      <c r="J6456">
        <v>56.56</v>
      </c>
      <c r="K6456">
        <v>2</v>
      </c>
      <c r="L6456">
        <v>0</v>
      </c>
      <c r="M6456">
        <v>15.2712</v>
      </c>
    </row>
    <row r="6457" spans="1:13" x14ac:dyDescent="0.3">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
      <c r="A6460" t="s">
        <v>62</v>
      </c>
      <c r="B6460" t="s">
        <v>22</v>
      </c>
      <c r="C6460" t="s">
        <v>15</v>
      </c>
      <c r="D6460" t="s">
        <v>333</v>
      </c>
      <c r="E6460" t="s">
        <v>248</v>
      </c>
      <c r="F6460">
        <v>21215</v>
      </c>
      <c r="G6460" t="s">
        <v>57</v>
      </c>
      <c r="H6460" t="s">
        <v>26</v>
      </c>
      <c r="I6460" t="s">
        <v>34</v>
      </c>
      <c r="J6460">
        <v>3.76</v>
      </c>
      <c r="K6460">
        <v>2</v>
      </c>
      <c r="L6460">
        <v>0</v>
      </c>
      <c r="M6460">
        <v>1.0904</v>
      </c>
    </row>
    <row r="6461" spans="1:13" x14ac:dyDescent="0.3">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
      <c r="A6465" t="s">
        <v>62</v>
      </c>
      <c r="B6465" t="s">
        <v>22</v>
      </c>
      <c r="C6465" t="s">
        <v>15</v>
      </c>
      <c r="D6465" t="s">
        <v>333</v>
      </c>
      <c r="E6465" t="s">
        <v>248</v>
      </c>
      <c r="F6465">
        <v>21215</v>
      </c>
      <c r="G6465" t="s">
        <v>57</v>
      </c>
      <c r="H6465" t="s">
        <v>26</v>
      </c>
      <c r="I6465" t="s">
        <v>27</v>
      </c>
      <c r="J6465">
        <v>74</v>
      </c>
      <c r="K6465">
        <v>5</v>
      </c>
      <c r="L6465">
        <v>0</v>
      </c>
      <c r="M6465">
        <v>37</v>
      </c>
    </row>
    <row r="6466" spans="1:13" x14ac:dyDescent="0.3">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
      <c r="A6475" t="s">
        <v>13</v>
      </c>
      <c r="B6475" t="s">
        <v>14</v>
      </c>
      <c r="C6475" t="s">
        <v>15</v>
      </c>
      <c r="D6475" t="s">
        <v>90</v>
      </c>
      <c r="E6475" t="s">
        <v>86</v>
      </c>
      <c r="F6475">
        <v>38401</v>
      </c>
      <c r="G6475" t="s">
        <v>18</v>
      </c>
      <c r="H6475" t="s">
        <v>26</v>
      </c>
      <c r="I6475" t="s">
        <v>38</v>
      </c>
      <c r="J6475">
        <v>871.8</v>
      </c>
      <c r="K6475">
        <v>3</v>
      </c>
      <c r="L6475">
        <v>0.2</v>
      </c>
      <c r="M6475">
        <v>87.18</v>
      </c>
    </row>
    <row r="6476" spans="1:13" x14ac:dyDescent="0.3">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
      <c r="A6491" t="s">
        <v>28</v>
      </c>
      <c r="B6491" t="s">
        <v>14</v>
      </c>
      <c r="C6491" t="s">
        <v>15</v>
      </c>
      <c r="D6491" t="s">
        <v>75</v>
      </c>
      <c r="E6491" t="s">
        <v>76</v>
      </c>
      <c r="F6491">
        <v>10011</v>
      </c>
      <c r="G6491" t="s">
        <v>57</v>
      </c>
      <c r="H6491" t="s">
        <v>26</v>
      </c>
      <c r="I6491" t="s">
        <v>41</v>
      </c>
      <c r="J6491">
        <v>32.4</v>
      </c>
      <c r="K6491">
        <v>5</v>
      </c>
      <c r="L6491">
        <v>0</v>
      </c>
      <c r="M6491">
        <v>15.552</v>
      </c>
    </row>
    <row r="6492" spans="1:13" x14ac:dyDescent="0.3">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
      <c r="A6496" t="s">
        <v>13</v>
      </c>
      <c r="B6496" t="s">
        <v>14</v>
      </c>
      <c r="C6496" t="s">
        <v>15</v>
      </c>
      <c r="D6496" t="s">
        <v>61</v>
      </c>
      <c r="E6496" t="s">
        <v>46</v>
      </c>
      <c r="F6496">
        <v>77095</v>
      </c>
      <c r="G6496" t="s">
        <v>47</v>
      </c>
      <c r="H6496" t="s">
        <v>35</v>
      </c>
      <c r="I6496" t="s">
        <v>59</v>
      </c>
      <c r="J6496">
        <v>24</v>
      </c>
      <c r="K6496">
        <v>2</v>
      </c>
      <c r="L6496">
        <v>0.2</v>
      </c>
      <c r="M6496">
        <v>-2.7</v>
      </c>
    </row>
    <row r="6497" spans="1:13" x14ac:dyDescent="0.3">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
      <c r="A6514" t="s">
        <v>28</v>
      </c>
      <c r="B6514" t="s">
        <v>44</v>
      </c>
      <c r="C6514" t="s">
        <v>15</v>
      </c>
      <c r="D6514" t="s">
        <v>52</v>
      </c>
      <c r="E6514" t="s">
        <v>24</v>
      </c>
      <c r="F6514">
        <v>94109</v>
      </c>
      <c r="G6514" t="s">
        <v>25</v>
      </c>
      <c r="H6514" t="s">
        <v>26</v>
      </c>
      <c r="I6514" t="s">
        <v>27</v>
      </c>
      <c r="J6514">
        <v>11.52</v>
      </c>
      <c r="K6514">
        <v>4</v>
      </c>
      <c r="L6514">
        <v>0</v>
      </c>
      <c r="M6514">
        <v>5.6448</v>
      </c>
    </row>
    <row r="6515" spans="1:13" x14ac:dyDescent="0.3">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
      <c r="A6517" t="s">
        <v>28</v>
      </c>
      <c r="B6517" t="s">
        <v>14</v>
      </c>
      <c r="C6517" t="s">
        <v>15</v>
      </c>
      <c r="D6517" t="s">
        <v>52</v>
      </c>
      <c r="E6517" t="s">
        <v>24</v>
      </c>
      <c r="F6517">
        <v>94122</v>
      </c>
      <c r="G6517" t="s">
        <v>25</v>
      </c>
      <c r="H6517" t="s">
        <v>19</v>
      </c>
      <c r="I6517" t="s">
        <v>21</v>
      </c>
      <c r="J6517">
        <v>218.352</v>
      </c>
      <c r="K6517">
        <v>3</v>
      </c>
      <c r="L6517">
        <v>0.2</v>
      </c>
      <c r="M6517">
        <v>0</v>
      </c>
    </row>
    <row r="6518" spans="1:13" x14ac:dyDescent="0.3">
      <c r="A6518" t="s">
        <v>28</v>
      </c>
      <c r="B6518" t="s">
        <v>14</v>
      </c>
      <c r="C6518" t="s">
        <v>15</v>
      </c>
      <c r="D6518" t="s">
        <v>52</v>
      </c>
      <c r="E6518" t="s">
        <v>24</v>
      </c>
      <c r="F6518">
        <v>94122</v>
      </c>
      <c r="G6518" t="s">
        <v>25</v>
      </c>
      <c r="H6518" t="s">
        <v>19</v>
      </c>
      <c r="I6518" t="s">
        <v>33</v>
      </c>
      <c r="J6518">
        <v>529.9</v>
      </c>
      <c r="K6518">
        <v>5</v>
      </c>
      <c r="L6518">
        <v>0</v>
      </c>
      <c r="M6518">
        <v>105.98</v>
      </c>
    </row>
    <row r="6519" spans="1:13" x14ac:dyDescent="0.3">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
      <c r="A6524" t="s">
        <v>13</v>
      </c>
      <c r="B6524" t="s">
        <v>14</v>
      </c>
      <c r="C6524" t="s">
        <v>15</v>
      </c>
      <c r="D6524" t="s">
        <v>84</v>
      </c>
      <c r="E6524" t="s">
        <v>70</v>
      </c>
      <c r="F6524">
        <v>49201</v>
      </c>
      <c r="G6524" t="s">
        <v>47</v>
      </c>
      <c r="H6524" t="s">
        <v>26</v>
      </c>
      <c r="I6524" t="s">
        <v>41</v>
      </c>
      <c r="J6524">
        <v>56.07</v>
      </c>
      <c r="K6524">
        <v>7</v>
      </c>
      <c r="L6524">
        <v>0</v>
      </c>
      <c r="M6524">
        <v>25.2315</v>
      </c>
    </row>
    <row r="6525" spans="1:13" x14ac:dyDescent="0.3">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
      <c r="A6528" t="s">
        <v>28</v>
      </c>
      <c r="B6528" t="s">
        <v>44</v>
      </c>
      <c r="C6528" t="s">
        <v>15</v>
      </c>
      <c r="D6528" t="s">
        <v>55</v>
      </c>
      <c r="E6528" t="s">
        <v>56</v>
      </c>
      <c r="F6528">
        <v>19120</v>
      </c>
      <c r="G6528" t="s">
        <v>57</v>
      </c>
      <c r="H6528" t="s">
        <v>26</v>
      </c>
      <c r="I6528" t="s">
        <v>37</v>
      </c>
      <c r="J6528">
        <v>9.42</v>
      </c>
      <c r="K6528">
        <v>5</v>
      </c>
      <c r="L6528">
        <v>0.7</v>
      </c>
      <c r="M6528">
        <v>-7.85</v>
      </c>
    </row>
    <row r="6529" spans="1:13" x14ac:dyDescent="0.3">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
      <c r="A6547" t="s">
        <v>28</v>
      </c>
      <c r="B6547" t="s">
        <v>14</v>
      </c>
      <c r="C6547" t="s">
        <v>15</v>
      </c>
      <c r="D6547" t="s">
        <v>221</v>
      </c>
      <c r="E6547" t="s">
        <v>104</v>
      </c>
      <c r="F6547">
        <v>44105</v>
      </c>
      <c r="G6547" t="s">
        <v>57</v>
      </c>
      <c r="H6547" t="s">
        <v>26</v>
      </c>
      <c r="I6547" t="s">
        <v>27</v>
      </c>
      <c r="J6547">
        <v>5.04</v>
      </c>
      <c r="K6547">
        <v>2</v>
      </c>
      <c r="L6547">
        <v>0.2</v>
      </c>
      <c r="M6547">
        <v>1.764</v>
      </c>
    </row>
    <row r="6548" spans="1:13" x14ac:dyDescent="0.3">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
      <c r="A6551" t="s">
        <v>62</v>
      </c>
      <c r="B6551" t="s">
        <v>44</v>
      </c>
      <c r="C6551" t="s">
        <v>15</v>
      </c>
      <c r="D6551" t="s">
        <v>143</v>
      </c>
      <c r="E6551" t="s">
        <v>68</v>
      </c>
      <c r="F6551">
        <v>55044</v>
      </c>
      <c r="G6551" t="s">
        <v>47</v>
      </c>
      <c r="H6551" t="s">
        <v>19</v>
      </c>
      <c r="I6551" t="s">
        <v>21</v>
      </c>
      <c r="J6551">
        <v>155.88</v>
      </c>
      <c r="K6551">
        <v>6</v>
      </c>
      <c r="L6551">
        <v>0</v>
      </c>
      <c r="M6551">
        <v>38.97</v>
      </c>
    </row>
    <row r="6552" spans="1:13" x14ac:dyDescent="0.3">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
      <c r="A6562" t="s">
        <v>28</v>
      </c>
      <c r="B6562" t="s">
        <v>22</v>
      </c>
      <c r="C6562" t="s">
        <v>15</v>
      </c>
      <c r="D6562" t="s">
        <v>109</v>
      </c>
      <c r="E6562" t="s">
        <v>24</v>
      </c>
      <c r="F6562">
        <v>95661</v>
      </c>
      <c r="G6562" t="s">
        <v>25</v>
      </c>
      <c r="H6562" t="s">
        <v>26</v>
      </c>
      <c r="I6562" t="s">
        <v>27</v>
      </c>
      <c r="J6562">
        <v>3.15</v>
      </c>
      <c r="K6562">
        <v>1</v>
      </c>
      <c r="L6562">
        <v>0</v>
      </c>
      <c r="M6562">
        <v>1.512</v>
      </c>
    </row>
    <row r="6563" spans="1:13" x14ac:dyDescent="0.3">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
      <c r="A6593" t="s">
        <v>28</v>
      </c>
      <c r="B6593" t="s">
        <v>22</v>
      </c>
      <c r="C6593" t="s">
        <v>15</v>
      </c>
      <c r="D6593" t="s">
        <v>52</v>
      </c>
      <c r="E6593" t="s">
        <v>24</v>
      </c>
      <c r="F6593">
        <v>94110</v>
      </c>
      <c r="G6593" t="s">
        <v>25</v>
      </c>
      <c r="H6593" t="s">
        <v>26</v>
      </c>
      <c r="I6593" t="s">
        <v>34</v>
      </c>
      <c r="J6593">
        <v>34.65</v>
      </c>
      <c r="K6593">
        <v>3</v>
      </c>
      <c r="L6593">
        <v>0</v>
      </c>
      <c r="M6593">
        <v>9.702</v>
      </c>
    </row>
    <row r="6594" spans="1:13" x14ac:dyDescent="0.3">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
      <c r="A6597" t="s">
        <v>62</v>
      </c>
      <c r="B6597" t="s">
        <v>22</v>
      </c>
      <c r="C6597" t="s">
        <v>15</v>
      </c>
      <c r="D6597" t="s">
        <v>103</v>
      </c>
      <c r="E6597" t="s">
        <v>104</v>
      </c>
      <c r="F6597">
        <v>43229</v>
      </c>
      <c r="G6597" t="s">
        <v>57</v>
      </c>
      <c r="H6597" t="s">
        <v>26</v>
      </c>
      <c r="I6597" t="s">
        <v>37</v>
      </c>
      <c r="J6597">
        <v>11.76</v>
      </c>
      <c r="K6597">
        <v>5</v>
      </c>
      <c r="L6597">
        <v>0.7</v>
      </c>
      <c r="M6597">
        <v>-7.84</v>
      </c>
    </row>
    <row r="6598" spans="1:13" x14ac:dyDescent="0.3">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
      <c r="A6599" t="s">
        <v>28</v>
      </c>
      <c r="B6599" t="s">
        <v>14</v>
      </c>
      <c r="C6599" t="s">
        <v>15</v>
      </c>
      <c r="D6599" t="s">
        <v>189</v>
      </c>
      <c r="E6599" t="s">
        <v>30</v>
      </c>
      <c r="F6599">
        <v>32216</v>
      </c>
      <c r="G6599" t="s">
        <v>18</v>
      </c>
      <c r="H6599" t="s">
        <v>26</v>
      </c>
      <c r="I6599" t="s">
        <v>37</v>
      </c>
      <c r="J6599">
        <v>1.365</v>
      </c>
      <c r="K6599">
        <v>1</v>
      </c>
      <c r="L6599">
        <v>0.7</v>
      </c>
      <c r="M6599">
        <v>-0.91</v>
      </c>
    </row>
    <row r="6600" spans="1:13" x14ac:dyDescent="0.3">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
      <c r="A6606" t="s">
        <v>28</v>
      </c>
      <c r="B6606" t="s">
        <v>14</v>
      </c>
      <c r="C6606" t="s">
        <v>15</v>
      </c>
      <c r="D6606" t="s">
        <v>240</v>
      </c>
      <c r="E6606" t="s">
        <v>24</v>
      </c>
      <c r="F6606">
        <v>92704</v>
      </c>
      <c r="G6606" t="s">
        <v>25</v>
      </c>
      <c r="H6606" t="s">
        <v>26</v>
      </c>
      <c r="I6606" t="s">
        <v>77</v>
      </c>
      <c r="J6606">
        <v>5.94</v>
      </c>
      <c r="K6606">
        <v>3</v>
      </c>
      <c r="L6606">
        <v>0</v>
      </c>
      <c r="M6606">
        <v>0</v>
      </c>
    </row>
    <row r="6607" spans="1:13" x14ac:dyDescent="0.3">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
      <c r="A6614" t="s">
        <v>28</v>
      </c>
      <c r="B6614" t="s">
        <v>14</v>
      </c>
      <c r="C6614" t="s">
        <v>15</v>
      </c>
      <c r="D6614" t="s">
        <v>183</v>
      </c>
      <c r="E6614" t="s">
        <v>17</v>
      </c>
      <c r="F6614">
        <v>40214</v>
      </c>
      <c r="G6614" t="s">
        <v>18</v>
      </c>
      <c r="H6614" t="s">
        <v>26</v>
      </c>
      <c r="I6614" t="s">
        <v>37</v>
      </c>
      <c r="J6614">
        <v>21.3</v>
      </c>
      <c r="K6614">
        <v>3</v>
      </c>
      <c r="L6614">
        <v>0</v>
      </c>
      <c r="M6614">
        <v>9.798</v>
      </c>
    </row>
    <row r="6615" spans="1:13" x14ac:dyDescent="0.3">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
      <c r="A6618" t="s">
        <v>62</v>
      </c>
      <c r="B6618" t="s">
        <v>14</v>
      </c>
      <c r="C6618" t="s">
        <v>15</v>
      </c>
      <c r="D6618" t="s">
        <v>23</v>
      </c>
      <c r="E6618" t="s">
        <v>24</v>
      </c>
      <c r="F6618">
        <v>90045</v>
      </c>
      <c r="G6618" t="s">
        <v>25</v>
      </c>
      <c r="H6618" t="s">
        <v>26</v>
      </c>
      <c r="I6618" t="s">
        <v>27</v>
      </c>
      <c r="J6618">
        <v>22.5</v>
      </c>
      <c r="K6618">
        <v>6</v>
      </c>
      <c r="L6618">
        <v>0</v>
      </c>
      <c r="M6618">
        <v>10.8</v>
      </c>
    </row>
    <row r="6619" spans="1:13" x14ac:dyDescent="0.3">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
      <c r="A6620" t="s">
        <v>13</v>
      </c>
      <c r="B6620" t="s">
        <v>22</v>
      </c>
      <c r="C6620" t="s">
        <v>15</v>
      </c>
      <c r="D6620" t="s">
        <v>82</v>
      </c>
      <c r="E6620" t="s">
        <v>112</v>
      </c>
      <c r="F6620">
        <v>65807</v>
      </c>
      <c r="G6620" t="s">
        <v>47</v>
      </c>
      <c r="H6620" t="s">
        <v>26</v>
      </c>
      <c r="I6620" t="s">
        <v>41</v>
      </c>
      <c r="J6620">
        <v>32.4</v>
      </c>
      <c r="K6620">
        <v>5</v>
      </c>
      <c r="L6620">
        <v>0</v>
      </c>
      <c r="M6620">
        <v>15.552</v>
      </c>
    </row>
    <row r="6621" spans="1:13" x14ac:dyDescent="0.3">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
      <c r="A6668" t="s">
        <v>13</v>
      </c>
      <c r="B6668" t="s">
        <v>14</v>
      </c>
      <c r="C6668" t="s">
        <v>15</v>
      </c>
      <c r="D6668" t="s">
        <v>304</v>
      </c>
      <c r="E6668" t="s">
        <v>132</v>
      </c>
      <c r="F6668">
        <v>8360</v>
      </c>
      <c r="G6668" t="s">
        <v>57</v>
      </c>
      <c r="H6668" t="s">
        <v>19</v>
      </c>
      <c r="I6668" t="s">
        <v>33</v>
      </c>
      <c r="J6668">
        <v>42.85</v>
      </c>
      <c r="K6668">
        <v>5</v>
      </c>
      <c r="L6668">
        <v>0</v>
      </c>
      <c r="M6668">
        <v>15.426</v>
      </c>
    </row>
    <row r="6669" spans="1:13" x14ac:dyDescent="0.3">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
      <c r="A6670" t="s">
        <v>13</v>
      </c>
      <c r="B6670" t="s">
        <v>14</v>
      </c>
      <c r="C6670" t="s">
        <v>15</v>
      </c>
      <c r="D6670" t="s">
        <v>304</v>
      </c>
      <c r="E6670" t="s">
        <v>132</v>
      </c>
      <c r="F6670">
        <v>8360</v>
      </c>
      <c r="G6670" t="s">
        <v>57</v>
      </c>
      <c r="H6670" t="s">
        <v>26</v>
      </c>
      <c r="I6670" t="s">
        <v>110</v>
      </c>
      <c r="J6670">
        <v>17</v>
      </c>
      <c r="K6670">
        <v>2</v>
      </c>
      <c r="L6670">
        <v>0</v>
      </c>
      <c r="M6670">
        <v>4.42</v>
      </c>
    </row>
    <row r="6671" spans="1:13" x14ac:dyDescent="0.3">
      <c r="A6671" t="s">
        <v>13</v>
      </c>
      <c r="B6671" t="s">
        <v>14</v>
      </c>
      <c r="C6671" t="s">
        <v>15</v>
      </c>
      <c r="D6671" t="s">
        <v>304</v>
      </c>
      <c r="E6671" t="s">
        <v>132</v>
      </c>
      <c r="F6671">
        <v>8360</v>
      </c>
      <c r="G6671" t="s">
        <v>57</v>
      </c>
      <c r="H6671" t="s">
        <v>35</v>
      </c>
      <c r="I6671" t="s">
        <v>59</v>
      </c>
      <c r="J6671">
        <v>87.4</v>
      </c>
      <c r="K6671">
        <v>5</v>
      </c>
      <c r="L6671">
        <v>0</v>
      </c>
      <c r="M6671">
        <v>34.96</v>
      </c>
    </row>
    <row r="6672" spans="1:13" x14ac:dyDescent="0.3">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
      <c r="A6683" t="s">
        <v>13</v>
      </c>
      <c r="B6683" t="s">
        <v>14</v>
      </c>
      <c r="C6683" t="s">
        <v>15</v>
      </c>
      <c r="D6683" t="s">
        <v>341</v>
      </c>
      <c r="E6683" t="s">
        <v>127</v>
      </c>
      <c r="F6683">
        <v>6450</v>
      </c>
      <c r="G6683" t="s">
        <v>57</v>
      </c>
      <c r="H6683" t="s">
        <v>26</v>
      </c>
      <c r="I6683" t="s">
        <v>41</v>
      </c>
      <c r="J6683">
        <v>146.82</v>
      </c>
      <c r="K6683">
        <v>3</v>
      </c>
      <c r="L6683">
        <v>0</v>
      </c>
      <c r="M6683">
        <v>73.41</v>
      </c>
    </row>
    <row r="6684" spans="1:13" x14ac:dyDescent="0.3">
      <c r="A6684" t="s">
        <v>62</v>
      </c>
      <c r="B6684" t="s">
        <v>44</v>
      </c>
      <c r="C6684" t="s">
        <v>15</v>
      </c>
      <c r="D6684" t="s">
        <v>115</v>
      </c>
      <c r="E6684" t="s">
        <v>49</v>
      </c>
      <c r="F6684">
        <v>53132</v>
      </c>
      <c r="G6684" t="s">
        <v>47</v>
      </c>
      <c r="H6684" t="s">
        <v>26</v>
      </c>
      <c r="I6684" t="s">
        <v>37</v>
      </c>
      <c r="J6684">
        <v>3.6</v>
      </c>
      <c r="K6684">
        <v>2</v>
      </c>
      <c r="L6684">
        <v>0</v>
      </c>
      <c r="M6684">
        <v>1.728</v>
      </c>
    </row>
    <row r="6685" spans="1:13" x14ac:dyDescent="0.3">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
      <c r="A6688" t="s">
        <v>28</v>
      </c>
      <c r="B6688" t="s">
        <v>14</v>
      </c>
      <c r="C6688" t="s">
        <v>15</v>
      </c>
      <c r="D6688" t="s">
        <v>107</v>
      </c>
      <c r="E6688" t="s">
        <v>65</v>
      </c>
      <c r="F6688">
        <v>61701</v>
      </c>
      <c r="G6688" t="s">
        <v>47</v>
      </c>
      <c r="H6688" t="s">
        <v>26</v>
      </c>
      <c r="I6688" t="s">
        <v>34</v>
      </c>
      <c r="J6688">
        <v>13.12</v>
      </c>
      <c r="K6688">
        <v>5</v>
      </c>
      <c r="L6688">
        <v>0.2</v>
      </c>
      <c r="M6688">
        <v>1.476</v>
      </c>
    </row>
    <row r="6689" spans="1:13" x14ac:dyDescent="0.3">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
      <c r="A6706" t="s">
        <v>28</v>
      </c>
      <c r="B6706" t="s">
        <v>14</v>
      </c>
      <c r="C6706" t="s">
        <v>15</v>
      </c>
      <c r="D6706" t="s">
        <v>159</v>
      </c>
      <c r="E6706" t="s">
        <v>24</v>
      </c>
      <c r="F6706">
        <v>90805</v>
      </c>
      <c r="G6706" t="s">
        <v>25</v>
      </c>
      <c r="H6706" t="s">
        <v>26</v>
      </c>
      <c r="I6706" t="s">
        <v>77</v>
      </c>
      <c r="J6706">
        <v>5.43</v>
      </c>
      <c r="K6706">
        <v>3</v>
      </c>
      <c r="L6706">
        <v>0</v>
      </c>
      <c r="M6706">
        <v>1.7919</v>
      </c>
    </row>
    <row r="6707" spans="1:13" x14ac:dyDescent="0.3">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
      <c r="A6718" t="s">
        <v>28</v>
      </c>
      <c r="B6718" t="s">
        <v>44</v>
      </c>
      <c r="C6718" t="s">
        <v>15</v>
      </c>
      <c r="D6718" t="s">
        <v>411</v>
      </c>
      <c r="E6718" t="s">
        <v>197</v>
      </c>
      <c r="F6718">
        <v>71901</v>
      </c>
      <c r="G6718" t="s">
        <v>18</v>
      </c>
      <c r="H6718" t="s">
        <v>26</v>
      </c>
      <c r="I6718" t="s">
        <v>77</v>
      </c>
      <c r="J6718">
        <v>30</v>
      </c>
      <c r="K6718">
        <v>6</v>
      </c>
      <c r="L6718">
        <v>0</v>
      </c>
      <c r="M6718">
        <v>14.4</v>
      </c>
    </row>
    <row r="6719" spans="1:13" x14ac:dyDescent="0.3">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
      <c r="A6757" t="s">
        <v>28</v>
      </c>
      <c r="B6757" t="s">
        <v>22</v>
      </c>
      <c r="C6757" t="s">
        <v>15</v>
      </c>
      <c r="D6757" t="s">
        <v>154</v>
      </c>
      <c r="E6757" t="s">
        <v>132</v>
      </c>
      <c r="F6757">
        <v>8701</v>
      </c>
      <c r="G6757" t="s">
        <v>57</v>
      </c>
      <c r="H6757" t="s">
        <v>19</v>
      </c>
      <c r="I6757" t="s">
        <v>33</v>
      </c>
      <c r="J6757">
        <v>47.4</v>
      </c>
      <c r="K6757">
        <v>5</v>
      </c>
      <c r="L6757">
        <v>0</v>
      </c>
      <c r="M6757">
        <v>18.96</v>
      </c>
    </row>
    <row r="6758" spans="1:13" x14ac:dyDescent="0.3">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
      <c r="A6760" t="s">
        <v>28</v>
      </c>
      <c r="B6760" t="s">
        <v>22</v>
      </c>
      <c r="C6760" t="s">
        <v>15</v>
      </c>
      <c r="D6760" t="s">
        <v>154</v>
      </c>
      <c r="E6760" t="s">
        <v>132</v>
      </c>
      <c r="F6760">
        <v>8701</v>
      </c>
      <c r="G6760" t="s">
        <v>57</v>
      </c>
      <c r="H6760" t="s">
        <v>26</v>
      </c>
      <c r="I6760" t="s">
        <v>32</v>
      </c>
      <c r="J6760">
        <v>81.96</v>
      </c>
      <c r="K6760">
        <v>2</v>
      </c>
      <c r="L6760">
        <v>0</v>
      </c>
      <c r="M6760">
        <v>0</v>
      </c>
    </row>
    <row r="6761" spans="1:13" x14ac:dyDescent="0.3">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
      <c r="A6762" t="s">
        <v>28</v>
      </c>
      <c r="B6762" t="s">
        <v>14</v>
      </c>
      <c r="C6762" t="s">
        <v>15</v>
      </c>
      <c r="D6762" t="s">
        <v>75</v>
      </c>
      <c r="E6762" t="s">
        <v>76</v>
      </c>
      <c r="F6762">
        <v>10035</v>
      </c>
      <c r="G6762" t="s">
        <v>57</v>
      </c>
      <c r="H6762" t="s">
        <v>26</v>
      </c>
      <c r="I6762" t="s">
        <v>32</v>
      </c>
      <c r="J6762">
        <v>272.94</v>
      </c>
      <c r="K6762">
        <v>3</v>
      </c>
      <c r="L6762">
        <v>0</v>
      </c>
      <c r="M6762">
        <v>0</v>
      </c>
    </row>
    <row r="6763" spans="1:13" x14ac:dyDescent="0.3">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
      <c r="A6771" t="s">
        <v>28</v>
      </c>
      <c r="B6771" t="s">
        <v>44</v>
      </c>
      <c r="C6771" t="s">
        <v>15</v>
      </c>
      <c r="D6771" t="s">
        <v>103</v>
      </c>
      <c r="E6771" t="s">
        <v>167</v>
      </c>
      <c r="F6771">
        <v>31907</v>
      </c>
      <c r="G6771" t="s">
        <v>18</v>
      </c>
      <c r="H6771" t="s">
        <v>26</v>
      </c>
      <c r="I6771" t="s">
        <v>34</v>
      </c>
      <c r="J6771">
        <v>35.4</v>
      </c>
      <c r="K6771">
        <v>5</v>
      </c>
      <c r="L6771">
        <v>0</v>
      </c>
      <c r="M6771">
        <v>13.452</v>
      </c>
    </row>
    <row r="6772" spans="1:13" x14ac:dyDescent="0.3">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
      <c r="A6793" t="s">
        <v>28</v>
      </c>
      <c r="B6793" t="s">
        <v>44</v>
      </c>
      <c r="C6793" t="s">
        <v>15</v>
      </c>
      <c r="D6793" t="s">
        <v>390</v>
      </c>
      <c r="E6793" t="s">
        <v>24</v>
      </c>
      <c r="F6793">
        <v>95823</v>
      </c>
      <c r="G6793" t="s">
        <v>25</v>
      </c>
      <c r="H6793" t="s">
        <v>19</v>
      </c>
      <c r="I6793" t="s">
        <v>33</v>
      </c>
      <c r="J6793">
        <v>9.98</v>
      </c>
      <c r="K6793">
        <v>1</v>
      </c>
      <c r="L6793">
        <v>0</v>
      </c>
      <c r="M6793">
        <v>2.7944</v>
      </c>
    </row>
    <row r="6794" spans="1:13" x14ac:dyDescent="0.3">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
      <c r="A6800" t="s">
        <v>168</v>
      </c>
      <c r="B6800" t="s">
        <v>14</v>
      </c>
      <c r="C6800" t="s">
        <v>15</v>
      </c>
      <c r="D6800" t="s">
        <v>61</v>
      </c>
      <c r="E6800" t="s">
        <v>46</v>
      </c>
      <c r="F6800">
        <v>77041</v>
      </c>
      <c r="G6800" t="s">
        <v>47</v>
      </c>
      <c r="H6800" t="s">
        <v>19</v>
      </c>
      <c r="I6800" t="s">
        <v>33</v>
      </c>
      <c r="J6800">
        <v>7.88</v>
      </c>
      <c r="K6800">
        <v>5</v>
      </c>
      <c r="L6800">
        <v>0.6</v>
      </c>
      <c r="M6800">
        <v>-3.94</v>
      </c>
    </row>
    <row r="6801" spans="1:13" x14ac:dyDescent="0.3">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
      <c r="A6804" t="s">
        <v>28</v>
      </c>
      <c r="B6804" t="s">
        <v>22</v>
      </c>
      <c r="C6804" t="s">
        <v>15</v>
      </c>
      <c r="D6804" t="s">
        <v>108</v>
      </c>
      <c r="E6804" t="s">
        <v>81</v>
      </c>
      <c r="F6804">
        <v>85023</v>
      </c>
      <c r="G6804" t="s">
        <v>25</v>
      </c>
      <c r="H6804" t="s">
        <v>35</v>
      </c>
      <c r="I6804" t="s">
        <v>59</v>
      </c>
      <c r="J6804">
        <v>100.8</v>
      </c>
      <c r="K6804">
        <v>2</v>
      </c>
      <c r="L6804">
        <v>0.2</v>
      </c>
      <c r="M6804">
        <v>21.42</v>
      </c>
    </row>
    <row r="6805" spans="1:13" x14ac:dyDescent="0.3">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
      <c r="A6817" t="s">
        <v>28</v>
      </c>
      <c r="B6817" t="s">
        <v>14</v>
      </c>
      <c r="C6817" t="s">
        <v>15</v>
      </c>
      <c r="D6817" t="s">
        <v>42</v>
      </c>
      <c r="E6817" t="s">
        <v>43</v>
      </c>
      <c r="F6817">
        <v>98105</v>
      </c>
      <c r="G6817" t="s">
        <v>25</v>
      </c>
      <c r="H6817" t="s">
        <v>19</v>
      </c>
      <c r="I6817" t="s">
        <v>33</v>
      </c>
      <c r="J6817">
        <v>6.24</v>
      </c>
      <c r="K6817">
        <v>3</v>
      </c>
      <c r="L6817">
        <v>0</v>
      </c>
      <c r="M6817">
        <v>2.6208</v>
      </c>
    </row>
    <row r="6818" spans="1:13" x14ac:dyDescent="0.3">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
      <c r="A6825" t="s">
        <v>28</v>
      </c>
      <c r="B6825" t="s">
        <v>22</v>
      </c>
      <c r="C6825" t="s">
        <v>15</v>
      </c>
      <c r="D6825" t="s">
        <v>205</v>
      </c>
      <c r="E6825" t="s">
        <v>88</v>
      </c>
      <c r="F6825">
        <v>36116</v>
      </c>
      <c r="G6825" t="s">
        <v>18</v>
      </c>
      <c r="H6825" t="s">
        <v>26</v>
      </c>
      <c r="I6825" t="s">
        <v>60</v>
      </c>
      <c r="J6825">
        <v>98.46</v>
      </c>
      <c r="K6825">
        <v>9</v>
      </c>
      <c r="L6825">
        <v>0</v>
      </c>
      <c r="M6825">
        <v>49.23</v>
      </c>
    </row>
    <row r="6826" spans="1:13" x14ac:dyDescent="0.3">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
      <c r="A6834" t="s">
        <v>28</v>
      </c>
      <c r="B6834" t="s">
        <v>14</v>
      </c>
      <c r="C6834" t="s">
        <v>15</v>
      </c>
      <c r="D6834" t="s">
        <v>79</v>
      </c>
      <c r="E6834" t="s">
        <v>65</v>
      </c>
      <c r="F6834">
        <v>60610</v>
      </c>
      <c r="G6834" t="s">
        <v>47</v>
      </c>
      <c r="H6834" t="s">
        <v>26</v>
      </c>
      <c r="I6834" t="s">
        <v>34</v>
      </c>
      <c r="J6834">
        <v>8.016</v>
      </c>
      <c r="K6834">
        <v>3</v>
      </c>
      <c r="L6834">
        <v>0.2</v>
      </c>
      <c r="M6834">
        <v>1.002</v>
      </c>
    </row>
    <row r="6835" spans="1:13" x14ac:dyDescent="0.3">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
      <c r="A6836" t="s">
        <v>28</v>
      </c>
      <c r="B6836" t="s">
        <v>22</v>
      </c>
      <c r="C6836" t="s">
        <v>15</v>
      </c>
      <c r="D6836" t="s">
        <v>576</v>
      </c>
      <c r="E6836" t="s">
        <v>24</v>
      </c>
      <c r="F6836">
        <v>90640</v>
      </c>
      <c r="G6836" t="s">
        <v>25</v>
      </c>
      <c r="H6836" t="s">
        <v>35</v>
      </c>
      <c r="I6836" t="s">
        <v>59</v>
      </c>
      <c r="J6836">
        <v>27.88</v>
      </c>
      <c r="K6836">
        <v>2</v>
      </c>
      <c r="L6836">
        <v>0</v>
      </c>
      <c r="M6836">
        <v>3.9032</v>
      </c>
    </row>
    <row r="6837" spans="1:13" x14ac:dyDescent="0.3">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
      <c r="A6839" t="s">
        <v>28</v>
      </c>
      <c r="B6839" t="s">
        <v>22</v>
      </c>
      <c r="C6839" t="s">
        <v>15</v>
      </c>
      <c r="D6839" t="s">
        <v>304</v>
      </c>
      <c r="E6839" t="s">
        <v>132</v>
      </c>
      <c r="F6839">
        <v>8360</v>
      </c>
      <c r="G6839" t="s">
        <v>57</v>
      </c>
      <c r="H6839" t="s">
        <v>26</v>
      </c>
      <c r="I6839" t="s">
        <v>34</v>
      </c>
      <c r="J6839">
        <v>11.12</v>
      </c>
      <c r="K6839">
        <v>4</v>
      </c>
      <c r="L6839">
        <v>0</v>
      </c>
      <c r="M6839">
        <v>2.8912</v>
      </c>
    </row>
    <row r="6840" spans="1:13" x14ac:dyDescent="0.3">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
      <c r="A6841" t="s">
        <v>28</v>
      </c>
      <c r="B6841" t="s">
        <v>22</v>
      </c>
      <c r="C6841" t="s">
        <v>15</v>
      </c>
      <c r="D6841" t="s">
        <v>255</v>
      </c>
      <c r="E6841" t="s">
        <v>24</v>
      </c>
      <c r="F6841">
        <v>90503</v>
      </c>
      <c r="G6841" t="s">
        <v>25</v>
      </c>
      <c r="H6841" t="s">
        <v>35</v>
      </c>
      <c r="I6841" t="s">
        <v>36</v>
      </c>
      <c r="J6841">
        <v>371.2</v>
      </c>
      <c r="K6841">
        <v>5</v>
      </c>
      <c r="L6841">
        <v>0.2</v>
      </c>
      <c r="M6841">
        <v>41.76</v>
      </c>
    </row>
    <row r="6842" spans="1:13" x14ac:dyDescent="0.3">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
      <c r="A6861" t="s">
        <v>28</v>
      </c>
      <c r="B6861" t="s">
        <v>14</v>
      </c>
      <c r="C6861" t="s">
        <v>15</v>
      </c>
      <c r="D6861" t="s">
        <v>23</v>
      </c>
      <c r="E6861" t="s">
        <v>24</v>
      </c>
      <c r="F6861">
        <v>90008</v>
      </c>
      <c r="G6861" t="s">
        <v>25</v>
      </c>
      <c r="H6861" t="s">
        <v>26</v>
      </c>
      <c r="I6861" t="s">
        <v>77</v>
      </c>
      <c r="J6861">
        <v>10.9</v>
      </c>
      <c r="K6861">
        <v>5</v>
      </c>
      <c r="L6861">
        <v>0</v>
      </c>
      <c r="M6861">
        <v>3.597</v>
      </c>
    </row>
    <row r="6862" spans="1:13" x14ac:dyDescent="0.3">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
      <c r="A6863" t="s">
        <v>28</v>
      </c>
      <c r="B6863" t="s">
        <v>14</v>
      </c>
      <c r="C6863" t="s">
        <v>15</v>
      </c>
      <c r="D6863" t="s">
        <v>23</v>
      </c>
      <c r="E6863" t="s">
        <v>24</v>
      </c>
      <c r="F6863">
        <v>90008</v>
      </c>
      <c r="G6863" t="s">
        <v>25</v>
      </c>
      <c r="H6863" t="s">
        <v>26</v>
      </c>
      <c r="I6863" t="s">
        <v>27</v>
      </c>
      <c r="J6863">
        <v>23.04</v>
      </c>
      <c r="K6863">
        <v>8</v>
      </c>
      <c r="L6863">
        <v>0</v>
      </c>
      <c r="M6863">
        <v>11.2896</v>
      </c>
    </row>
    <row r="6864" spans="1:13" x14ac:dyDescent="0.3">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
      <c r="A6872" t="s">
        <v>28</v>
      </c>
      <c r="B6872" t="s">
        <v>22</v>
      </c>
      <c r="C6872" t="s">
        <v>15</v>
      </c>
      <c r="D6872" t="s">
        <v>23</v>
      </c>
      <c r="E6872" t="s">
        <v>24</v>
      </c>
      <c r="F6872">
        <v>90004</v>
      </c>
      <c r="G6872" t="s">
        <v>25</v>
      </c>
      <c r="H6872" t="s">
        <v>26</v>
      </c>
      <c r="I6872" t="s">
        <v>41</v>
      </c>
      <c r="J6872">
        <v>47.52</v>
      </c>
      <c r="K6872">
        <v>9</v>
      </c>
      <c r="L6872">
        <v>0</v>
      </c>
      <c r="M6872">
        <v>21.384</v>
      </c>
    </row>
    <row r="6873" spans="1:13" x14ac:dyDescent="0.3">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
      <c r="A6882" t="s">
        <v>13</v>
      </c>
      <c r="B6882" t="s">
        <v>44</v>
      </c>
      <c r="C6882" t="s">
        <v>15</v>
      </c>
      <c r="D6882" t="s">
        <v>42</v>
      </c>
      <c r="E6882" t="s">
        <v>43</v>
      </c>
      <c r="F6882">
        <v>98105</v>
      </c>
      <c r="G6882" t="s">
        <v>25</v>
      </c>
      <c r="H6882" t="s">
        <v>26</v>
      </c>
      <c r="I6882" t="s">
        <v>41</v>
      </c>
      <c r="J6882">
        <v>32.4</v>
      </c>
      <c r="K6882">
        <v>5</v>
      </c>
      <c r="L6882">
        <v>0</v>
      </c>
      <c r="M6882">
        <v>15.552</v>
      </c>
    </row>
    <row r="6883" spans="1:13" x14ac:dyDescent="0.3">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
      <c r="A6904" t="s">
        <v>28</v>
      </c>
      <c r="B6904" t="s">
        <v>22</v>
      </c>
      <c r="C6904" t="s">
        <v>15</v>
      </c>
      <c r="D6904" t="s">
        <v>79</v>
      </c>
      <c r="E6904" t="s">
        <v>65</v>
      </c>
      <c r="F6904">
        <v>60653</v>
      </c>
      <c r="G6904" t="s">
        <v>47</v>
      </c>
      <c r="H6904" t="s">
        <v>26</v>
      </c>
      <c r="I6904" t="s">
        <v>77</v>
      </c>
      <c r="J6904">
        <v>16</v>
      </c>
      <c r="K6904">
        <v>4</v>
      </c>
      <c r="L6904">
        <v>0.2</v>
      </c>
      <c r="M6904">
        <v>5.6</v>
      </c>
    </row>
    <row r="6905" spans="1:13" x14ac:dyDescent="0.3">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
      <c r="A6923" t="s">
        <v>28</v>
      </c>
      <c r="B6923" t="s">
        <v>44</v>
      </c>
      <c r="C6923" t="s">
        <v>15</v>
      </c>
      <c r="D6923" t="s">
        <v>75</v>
      </c>
      <c r="E6923" t="s">
        <v>76</v>
      </c>
      <c r="F6923">
        <v>10011</v>
      </c>
      <c r="G6923" t="s">
        <v>57</v>
      </c>
      <c r="H6923" t="s">
        <v>26</v>
      </c>
      <c r="I6923" t="s">
        <v>60</v>
      </c>
      <c r="J6923">
        <v>16.98</v>
      </c>
      <c r="K6923">
        <v>1</v>
      </c>
      <c r="L6923">
        <v>0</v>
      </c>
      <c r="M6923">
        <v>8.49</v>
      </c>
    </row>
    <row r="6924" spans="1:13" x14ac:dyDescent="0.3">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
      <c r="A6925" t="s">
        <v>13</v>
      </c>
      <c r="B6925" t="s">
        <v>14</v>
      </c>
      <c r="C6925" t="s">
        <v>15</v>
      </c>
      <c r="D6925" t="s">
        <v>190</v>
      </c>
      <c r="E6925" t="s">
        <v>88</v>
      </c>
      <c r="F6925">
        <v>36830</v>
      </c>
      <c r="G6925" t="s">
        <v>18</v>
      </c>
      <c r="H6925" t="s">
        <v>26</v>
      </c>
      <c r="I6925" t="s">
        <v>60</v>
      </c>
      <c r="J6925">
        <v>7.38</v>
      </c>
      <c r="K6925">
        <v>2</v>
      </c>
      <c r="L6925">
        <v>0</v>
      </c>
      <c r="M6925">
        <v>3.3948</v>
      </c>
    </row>
    <row r="6926" spans="1:13" x14ac:dyDescent="0.3">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
      <c r="A6930" t="s">
        <v>13</v>
      </c>
      <c r="B6930" t="s">
        <v>14</v>
      </c>
      <c r="C6930" t="s">
        <v>15</v>
      </c>
      <c r="D6930" t="s">
        <v>52</v>
      </c>
      <c r="E6930" t="s">
        <v>24</v>
      </c>
      <c r="F6930">
        <v>94109</v>
      </c>
      <c r="G6930" t="s">
        <v>25</v>
      </c>
      <c r="H6930" t="s">
        <v>26</v>
      </c>
      <c r="I6930" t="s">
        <v>27</v>
      </c>
      <c r="J6930">
        <v>21.93</v>
      </c>
      <c r="K6930">
        <v>3</v>
      </c>
      <c r="L6930">
        <v>0</v>
      </c>
      <c r="M6930">
        <v>10.3071</v>
      </c>
    </row>
    <row r="6931" spans="1:13" x14ac:dyDescent="0.3">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
      <c r="A6948" t="s">
        <v>28</v>
      </c>
      <c r="B6948" t="s">
        <v>44</v>
      </c>
      <c r="C6948" t="s">
        <v>15</v>
      </c>
      <c r="D6948" t="s">
        <v>109</v>
      </c>
      <c r="E6948" t="s">
        <v>24</v>
      </c>
      <c r="F6948">
        <v>95661</v>
      </c>
      <c r="G6948" t="s">
        <v>25</v>
      </c>
      <c r="H6948" t="s">
        <v>26</v>
      </c>
      <c r="I6948" t="s">
        <v>77</v>
      </c>
      <c r="J6948">
        <v>2.48</v>
      </c>
      <c r="K6948">
        <v>2</v>
      </c>
      <c r="L6948">
        <v>0</v>
      </c>
      <c r="M6948">
        <v>1.1656</v>
      </c>
    </row>
    <row r="6949" spans="1:13" x14ac:dyDescent="0.3">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
      <c r="A6961" t="s">
        <v>13</v>
      </c>
      <c r="B6961" t="s">
        <v>44</v>
      </c>
      <c r="C6961" t="s">
        <v>15</v>
      </c>
      <c r="D6961" t="s">
        <v>52</v>
      </c>
      <c r="E6961" t="s">
        <v>24</v>
      </c>
      <c r="F6961">
        <v>94110</v>
      </c>
      <c r="G6961" t="s">
        <v>25</v>
      </c>
      <c r="H6961" t="s">
        <v>26</v>
      </c>
      <c r="I6961" t="s">
        <v>41</v>
      </c>
      <c r="J6961">
        <v>146.82</v>
      </c>
      <c r="K6961">
        <v>3</v>
      </c>
      <c r="L6961">
        <v>0</v>
      </c>
      <c r="M6961">
        <v>73.41</v>
      </c>
    </row>
    <row r="6962" spans="1:13" x14ac:dyDescent="0.3">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
      <c r="A6965" t="s">
        <v>13</v>
      </c>
      <c r="B6965" t="s">
        <v>22</v>
      </c>
      <c r="C6965" t="s">
        <v>15</v>
      </c>
      <c r="D6965" t="s">
        <v>90</v>
      </c>
      <c r="E6965" t="s">
        <v>91</v>
      </c>
      <c r="F6965">
        <v>29203</v>
      </c>
      <c r="G6965" t="s">
        <v>18</v>
      </c>
      <c r="H6965" t="s">
        <v>26</v>
      </c>
      <c r="I6965" t="s">
        <v>34</v>
      </c>
      <c r="J6965">
        <v>22.32</v>
      </c>
      <c r="K6965">
        <v>3</v>
      </c>
      <c r="L6965">
        <v>0</v>
      </c>
      <c r="M6965">
        <v>5.58</v>
      </c>
    </row>
    <row r="6966" spans="1:13" x14ac:dyDescent="0.3">
      <c r="A6966" t="s">
        <v>13</v>
      </c>
      <c r="B6966" t="s">
        <v>22</v>
      </c>
      <c r="C6966" t="s">
        <v>15</v>
      </c>
      <c r="D6966" t="s">
        <v>90</v>
      </c>
      <c r="E6966" t="s">
        <v>91</v>
      </c>
      <c r="F6966">
        <v>29203</v>
      </c>
      <c r="G6966" t="s">
        <v>18</v>
      </c>
      <c r="H6966" t="s">
        <v>26</v>
      </c>
      <c r="I6966" t="s">
        <v>37</v>
      </c>
      <c r="J6966">
        <v>24.1</v>
      </c>
      <c r="K6966">
        <v>5</v>
      </c>
      <c r="L6966">
        <v>0</v>
      </c>
      <c r="M6966">
        <v>11.086</v>
      </c>
    </row>
    <row r="6967" spans="1:13" x14ac:dyDescent="0.3">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
      <c r="A6968" t="s">
        <v>13</v>
      </c>
      <c r="B6968" t="s">
        <v>22</v>
      </c>
      <c r="C6968" t="s">
        <v>15</v>
      </c>
      <c r="D6968" t="s">
        <v>90</v>
      </c>
      <c r="E6968" t="s">
        <v>91</v>
      </c>
      <c r="F6968">
        <v>29203</v>
      </c>
      <c r="G6968" t="s">
        <v>18</v>
      </c>
      <c r="H6968" t="s">
        <v>26</v>
      </c>
      <c r="I6968" t="s">
        <v>37</v>
      </c>
      <c r="J6968">
        <v>6.46</v>
      </c>
      <c r="K6968">
        <v>2</v>
      </c>
      <c r="L6968">
        <v>0</v>
      </c>
      <c r="M6968">
        <v>3.1654</v>
      </c>
    </row>
    <row r="6969" spans="1:13" x14ac:dyDescent="0.3">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
      <c r="A6971" t="s">
        <v>13</v>
      </c>
      <c r="B6971" t="s">
        <v>14</v>
      </c>
      <c r="C6971" t="s">
        <v>15</v>
      </c>
      <c r="D6971" t="s">
        <v>560</v>
      </c>
      <c r="E6971" t="s">
        <v>43</v>
      </c>
      <c r="F6971">
        <v>98632</v>
      </c>
      <c r="G6971" t="s">
        <v>25</v>
      </c>
      <c r="H6971" t="s">
        <v>19</v>
      </c>
      <c r="I6971" t="s">
        <v>33</v>
      </c>
      <c r="J6971">
        <v>24.85</v>
      </c>
      <c r="K6971">
        <v>5</v>
      </c>
      <c r="L6971">
        <v>0</v>
      </c>
      <c r="M6971">
        <v>7.7035</v>
      </c>
    </row>
    <row r="6972" spans="1:13" x14ac:dyDescent="0.3">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
      <c r="A6983" t="s">
        <v>62</v>
      </c>
      <c r="B6983" t="s">
        <v>22</v>
      </c>
      <c r="C6983" t="s">
        <v>15</v>
      </c>
      <c r="D6983" t="s">
        <v>75</v>
      </c>
      <c r="E6983" t="s">
        <v>76</v>
      </c>
      <c r="F6983">
        <v>10024</v>
      </c>
      <c r="G6983" t="s">
        <v>57</v>
      </c>
      <c r="H6983" t="s">
        <v>26</v>
      </c>
      <c r="I6983" t="s">
        <v>41</v>
      </c>
      <c r="J6983">
        <v>30.18</v>
      </c>
      <c r="K6983">
        <v>3</v>
      </c>
      <c r="L6983">
        <v>0</v>
      </c>
      <c r="M6983">
        <v>13.8828</v>
      </c>
    </row>
    <row r="6984" spans="1:13" x14ac:dyDescent="0.3">
      <c r="A6984" t="s">
        <v>28</v>
      </c>
      <c r="B6984" t="s">
        <v>14</v>
      </c>
      <c r="C6984" t="s">
        <v>15</v>
      </c>
      <c r="D6984" t="s">
        <v>140</v>
      </c>
      <c r="E6984" t="s">
        <v>70</v>
      </c>
      <c r="F6984">
        <v>48227</v>
      </c>
      <c r="G6984" t="s">
        <v>47</v>
      </c>
      <c r="H6984" t="s">
        <v>26</v>
      </c>
      <c r="I6984" t="s">
        <v>37</v>
      </c>
      <c r="J6984">
        <v>24.1</v>
      </c>
      <c r="K6984">
        <v>5</v>
      </c>
      <c r="L6984">
        <v>0</v>
      </c>
      <c r="M6984">
        <v>11.086</v>
      </c>
    </row>
    <row r="6985" spans="1:13" x14ac:dyDescent="0.3">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
      <c r="A6988" t="s">
        <v>28</v>
      </c>
      <c r="B6988" t="s">
        <v>14</v>
      </c>
      <c r="C6988" t="s">
        <v>15</v>
      </c>
      <c r="D6988" t="s">
        <v>140</v>
      </c>
      <c r="E6988" t="s">
        <v>70</v>
      </c>
      <c r="F6988">
        <v>48227</v>
      </c>
      <c r="G6988" t="s">
        <v>47</v>
      </c>
      <c r="H6988" t="s">
        <v>26</v>
      </c>
      <c r="I6988" t="s">
        <v>34</v>
      </c>
      <c r="J6988">
        <v>11.96</v>
      </c>
      <c r="K6988">
        <v>2</v>
      </c>
      <c r="L6988">
        <v>0</v>
      </c>
      <c r="M6988">
        <v>2.99</v>
      </c>
    </row>
    <row r="6989" spans="1:13" x14ac:dyDescent="0.3">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
      <c r="A7013" t="s">
        <v>28</v>
      </c>
      <c r="B7013" t="s">
        <v>14</v>
      </c>
      <c r="C7013" t="s">
        <v>15</v>
      </c>
      <c r="D7013" t="s">
        <v>75</v>
      </c>
      <c r="E7013" t="s">
        <v>76</v>
      </c>
      <c r="F7013">
        <v>10035</v>
      </c>
      <c r="G7013" t="s">
        <v>57</v>
      </c>
      <c r="H7013" t="s">
        <v>26</v>
      </c>
      <c r="I7013" t="s">
        <v>110</v>
      </c>
      <c r="J7013">
        <v>5.04</v>
      </c>
      <c r="K7013">
        <v>2</v>
      </c>
      <c r="L7013">
        <v>0</v>
      </c>
      <c r="M7013">
        <v>0.1512</v>
      </c>
    </row>
    <row r="7014" spans="1:13" x14ac:dyDescent="0.3">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
      <c r="A7020" t="s">
        <v>13</v>
      </c>
      <c r="B7020" t="s">
        <v>14</v>
      </c>
      <c r="C7020" t="s">
        <v>15</v>
      </c>
      <c r="D7020" t="s">
        <v>75</v>
      </c>
      <c r="E7020" t="s">
        <v>76</v>
      </c>
      <c r="F7020">
        <v>10035</v>
      </c>
      <c r="G7020" t="s">
        <v>57</v>
      </c>
      <c r="H7020" t="s">
        <v>26</v>
      </c>
      <c r="I7020" t="s">
        <v>27</v>
      </c>
      <c r="J7020">
        <v>25.83</v>
      </c>
      <c r="K7020">
        <v>7</v>
      </c>
      <c r="L7020">
        <v>0</v>
      </c>
      <c r="M7020">
        <v>12.1401</v>
      </c>
    </row>
    <row r="7021" spans="1:13" x14ac:dyDescent="0.3">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
      <c r="A7022" t="s">
        <v>28</v>
      </c>
      <c r="B7022" t="s">
        <v>14</v>
      </c>
      <c r="C7022" t="s">
        <v>15</v>
      </c>
      <c r="D7022" t="s">
        <v>134</v>
      </c>
      <c r="E7022" t="s">
        <v>98</v>
      </c>
      <c r="F7022">
        <v>80219</v>
      </c>
      <c r="G7022" t="s">
        <v>25</v>
      </c>
      <c r="H7022" t="s">
        <v>26</v>
      </c>
      <c r="I7022" t="s">
        <v>110</v>
      </c>
      <c r="J7022">
        <v>6.8</v>
      </c>
      <c r="K7022">
        <v>1</v>
      </c>
      <c r="L7022">
        <v>0.2</v>
      </c>
      <c r="M7022">
        <v>0.51</v>
      </c>
    </row>
    <row r="7023" spans="1:13" x14ac:dyDescent="0.3">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
      <c r="A7028" t="s">
        <v>28</v>
      </c>
      <c r="B7028" t="s">
        <v>22</v>
      </c>
      <c r="C7028" t="s">
        <v>15</v>
      </c>
      <c r="D7028" t="s">
        <v>75</v>
      </c>
      <c r="E7028" t="s">
        <v>76</v>
      </c>
      <c r="F7028">
        <v>10024</v>
      </c>
      <c r="G7028" t="s">
        <v>57</v>
      </c>
      <c r="H7028" t="s">
        <v>26</v>
      </c>
      <c r="I7028" t="s">
        <v>37</v>
      </c>
      <c r="J7028">
        <v>46.24</v>
      </c>
      <c r="K7028">
        <v>4</v>
      </c>
      <c r="L7028">
        <v>0.2</v>
      </c>
      <c r="M7028">
        <v>15.606</v>
      </c>
    </row>
    <row r="7029" spans="1:13" x14ac:dyDescent="0.3">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
      <c r="A7031" t="s">
        <v>28</v>
      </c>
      <c r="B7031" t="s">
        <v>22</v>
      </c>
      <c r="C7031" t="s">
        <v>15</v>
      </c>
      <c r="D7031" t="s">
        <v>75</v>
      </c>
      <c r="E7031" t="s">
        <v>76</v>
      </c>
      <c r="F7031">
        <v>10011</v>
      </c>
      <c r="G7031" t="s">
        <v>57</v>
      </c>
      <c r="H7031" t="s">
        <v>26</v>
      </c>
      <c r="I7031" t="s">
        <v>32</v>
      </c>
      <c r="J7031">
        <v>28.14</v>
      </c>
      <c r="K7031">
        <v>3</v>
      </c>
      <c r="L7031">
        <v>0</v>
      </c>
      <c r="M7031">
        <v>7.8792</v>
      </c>
    </row>
    <row r="7032" spans="1:13" x14ac:dyDescent="0.3">
      <c r="A7032" t="s">
        <v>28</v>
      </c>
      <c r="B7032" t="s">
        <v>22</v>
      </c>
      <c r="C7032" t="s">
        <v>15</v>
      </c>
      <c r="D7032" t="s">
        <v>75</v>
      </c>
      <c r="E7032" t="s">
        <v>76</v>
      </c>
      <c r="F7032">
        <v>10011</v>
      </c>
      <c r="G7032" t="s">
        <v>57</v>
      </c>
      <c r="H7032" t="s">
        <v>35</v>
      </c>
      <c r="I7032" t="s">
        <v>59</v>
      </c>
      <c r="J7032">
        <v>36</v>
      </c>
      <c r="K7032">
        <v>2</v>
      </c>
      <c r="L7032">
        <v>0</v>
      </c>
      <c r="M7032">
        <v>6.48</v>
      </c>
    </row>
    <row r="7033" spans="1:13" x14ac:dyDescent="0.3">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
      <c r="A7041" t="s">
        <v>28</v>
      </c>
      <c r="B7041" t="s">
        <v>14</v>
      </c>
      <c r="C7041" t="s">
        <v>15</v>
      </c>
      <c r="D7041" t="s">
        <v>75</v>
      </c>
      <c r="E7041" t="s">
        <v>76</v>
      </c>
      <c r="F7041">
        <v>10009</v>
      </c>
      <c r="G7041" t="s">
        <v>57</v>
      </c>
      <c r="H7041" t="s">
        <v>26</v>
      </c>
      <c r="I7041" t="s">
        <v>32</v>
      </c>
      <c r="J7041">
        <v>166.72</v>
      </c>
      <c r="K7041">
        <v>2</v>
      </c>
      <c r="L7041">
        <v>0</v>
      </c>
      <c r="M7041">
        <v>41.68</v>
      </c>
    </row>
    <row r="7042" spans="1:13" x14ac:dyDescent="0.3">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
      <c r="A7078" t="s">
        <v>28</v>
      </c>
      <c r="B7078" t="s">
        <v>14</v>
      </c>
      <c r="C7078" t="s">
        <v>15</v>
      </c>
      <c r="D7078" t="s">
        <v>42</v>
      </c>
      <c r="E7078" t="s">
        <v>43</v>
      </c>
      <c r="F7078">
        <v>98105</v>
      </c>
      <c r="G7078" t="s">
        <v>25</v>
      </c>
      <c r="H7078" t="s">
        <v>26</v>
      </c>
      <c r="I7078" t="s">
        <v>60</v>
      </c>
      <c r="J7078">
        <v>54.9</v>
      </c>
      <c r="K7078">
        <v>5</v>
      </c>
      <c r="L7078">
        <v>0</v>
      </c>
      <c r="M7078">
        <v>26.901</v>
      </c>
    </row>
    <row r="7079" spans="1:13" x14ac:dyDescent="0.3">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
      <c r="A7084" t="s">
        <v>28</v>
      </c>
      <c r="B7084" t="s">
        <v>14</v>
      </c>
      <c r="C7084" t="s">
        <v>15</v>
      </c>
      <c r="D7084" t="s">
        <v>99</v>
      </c>
      <c r="E7084" t="s">
        <v>40</v>
      </c>
      <c r="F7084">
        <v>28205</v>
      </c>
      <c r="G7084" t="s">
        <v>18</v>
      </c>
      <c r="H7084" t="s">
        <v>26</v>
      </c>
      <c r="I7084" t="s">
        <v>37</v>
      </c>
      <c r="J7084">
        <v>17.22</v>
      </c>
      <c r="K7084">
        <v>5</v>
      </c>
      <c r="L7084">
        <v>0.7</v>
      </c>
      <c r="M7084">
        <v>-12.628</v>
      </c>
    </row>
    <row r="7085" spans="1:13" x14ac:dyDescent="0.3">
      <c r="A7085" t="s">
        <v>13</v>
      </c>
      <c r="B7085" t="s">
        <v>22</v>
      </c>
      <c r="C7085" t="s">
        <v>15</v>
      </c>
      <c r="D7085" t="s">
        <v>39</v>
      </c>
      <c r="E7085" t="s">
        <v>24</v>
      </c>
      <c r="F7085">
        <v>94521</v>
      </c>
      <c r="G7085" t="s">
        <v>25</v>
      </c>
      <c r="H7085" t="s">
        <v>26</v>
      </c>
      <c r="I7085" t="s">
        <v>34</v>
      </c>
      <c r="J7085">
        <v>3.52</v>
      </c>
      <c r="K7085">
        <v>2</v>
      </c>
      <c r="L7085">
        <v>0</v>
      </c>
      <c r="M7085">
        <v>1.6896</v>
      </c>
    </row>
    <row r="7086" spans="1:13" x14ac:dyDescent="0.3">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
      <c r="A7095" t="s">
        <v>28</v>
      </c>
      <c r="B7095" t="s">
        <v>14</v>
      </c>
      <c r="C7095" t="s">
        <v>15</v>
      </c>
      <c r="D7095" t="s">
        <v>16</v>
      </c>
      <c r="E7095" t="s">
        <v>17</v>
      </c>
      <c r="F7095">
        <v>42420</v>
      </c>
      <c r="G7095" t="s">
        <v>18</v>
      </c>
      <c r="H7095" t="s">
        <v>26</v>
      </c>
      <c r="I7095" t="s">
        <v>41</v>
      </c>
      <c r="J7095">
        <v>51.55</v>
      </c>
      <c r="K7095">
        <v>5</v>
      </c>
      <c r="L7095">
        <v>0</v>
      </c>
      <c r="M7095">
        <v>24.2285</v>
      </c>
    </row>
    <row r="7096" spans="1:13" x14ac:dyDescent="0.3">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
      <c r="A7110" t="s">
        <v>28</v>
      </c>
      <c r="B7110" t="s">
        <v>14</v>
      </c>
      <c r="C7110" t="s">
        <v>15</v>
      </c>
      <c r="D7110" t="s">
        <v>75</v>
      </c>
      <c r="E7110" t="s">
        <v>76</v>
      </c>
      <c r="F7110">
        <v>10035</v>
      </c>
      <c r="G7110" t="s">
        <v>57</v>
      </c>
      <c r="H7110" t="s">
        <v>26</v>
      </c>
      <c r="I7110" t="s">
        <v>34</v>
      </c>
      <c r="J7110">
        <v>3.28</v>
      </c>
      <c r="K7110">
        <v>2</v>
      </c>
      <c r="L7110">
        <v>0</v>
      </c>
      <c r="M7110">
        <v>1.476</v>
      </c>
    </row>
    <row r="7111" spans="1:13" x14ac:dyDescent="0.3">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
      <c r="A7112" t="s">
        <v>28</v>
      </c>
      <c r="B7112" t="s">
        <v>14</v>
      </c>
      <c r="C7112" t="s">
        <v>15</v>
      </c>
      <c r="D7112" t="s">
        <v>75</v>
      </c>
      <c r="E7112" t="s">
        <v>76</v>
      </c>
      <c r="F7112">
        <v>10035</v>
      </c>
      <c r="G7112" t="s">
        <v>57</v>
      </c>
      <c r="H7112" t="s">
        <v>26</v>
      </c>
      <c r="I7112" t="s">
        <v>110</v>
      </c>
      <c r="J7112">
        <v>7.76</v>
      </c>
      <c r="K7112">
        <v>2</v>
      </c>
      <c r="L7112">
        <v>0</v>
      </c>
      <c r="M7112">
        <v>2.2504</v>
      </c>
    </row>
    <row r="7113" spans="1:13" x14ac:dyDescent="0.3">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
      <c r="A7114" t="s">
        <v>28</v>
      </c>
      <c r="B7114" t="s">
        <v>14</v>
      </c>
      <c r="C7114" t="s">
        <v>15</v>
      </c>
      <c r="D7114" t="s">
        <v>75</v>
      </c>
      <c r="E7114" t="s">
        <v>76</v>
      </c>
      <c r="F7114">
        <v>10035</v>
      </c>
      <c r="G7114" t="s">
        <v>57</v>
      </c>
      <c r="H7114" t="s">
        <v>26</v>
      </c>
      <c r="I7114" t="s">
        <v>110</v>
      </c>
      <c r="J7114">
        <v>54.9</v>
      </c>
      <c r="K7114">
        <v>5</v>
      </c>
      <c r="L7114">
        <v>0</v>
      </c>
      <c r="M7114">
        <v>15.372</v>
      </c>
    </row>
    <row r="7115" spans="1:13" x14ac:dyDescent="0.3">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
      <c r="A7123" t="s">
        <v>28</v>
      </c>
      <c r="B7123" t="s">
        <v>14</v>
      </c>
      <c r="C7123" t="s">
        <v>15</v>
      </c>
      <c r="D7123" t="s">
        <v>42</v>
      </c>
      <c r="E7123" t="s">
        <v>43</v>
      </c>
      <c r="F7123">
        <v>98105</v>
      </c>
      <c r="G7123" t="s">
        <v>25</v>
      </c>
      <c r="H7123" t="s">
        <v>26</v>
      </c>
      <c r="I7123" t="s">
        <v>41</v>
      </c>
      <c r="J7123">
        <v>41.86</v>
      </c>
      <c r="K7123">
        <v>7</v>
      </c>
      <c r="L7123">
        <v>0</v>
      </c>
      <c r="M7123">
        <v>18.837</v>
      </c>
    </row>
    <row r="7124" spans="1:13" x14ac:dyDescent="0.3">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
      <c r="A7148" t="s">
        <v>28</v>
      </c>
      <c r="B7148" t="s">
        <v>44</v>
      </c>
      <c r="C7148" t="s">
        <v>15</v>
      </c>
      <c r="D7148" t="s">
        <v>55</v>
      </c>
      <c r="E7148" t="s">
        <v>56</v>
      </c>
      <c r="F7148">
        <v>19140</v>
      </c>
      <c r="G7148" t="s">
        <v>57</v>
      </c>
      <c r="H7148" t="s">
        <v>26</v>
      </c>
      <c r="I7148" t="s">
        <v>32</v>
      </c>
      <c r="J7148">
        <v>43.28</v>
      </c>
      <c r="K7148">
        <v>1</v>
      </c>
      <c r="L7148">
        <v>0.2</v>
      </c>
      <c r="M7148">
        <v>3.246</v>
      </c>
    </row>
    <row r="7149" spans="1:13" x14ac:dyDescent="0.3">
      <c r="A7149" t="s">
        <v>28</v>
      </c>
      <c r="B7149" t="s">
        <v>14</v>
      </c>
      <c r="C7149" t="s">
        <v>15</v>
      </c>
      <c r="D7149" t="s">
        <v>159</v>
      </c>
      <c r="E7149" t="s">
        <v>76</v>
      </c>
      <c r="F7149">
        <v>11561</v>
      </c>
      <c r="G7149" t="s">
        <v>57</v>
      </c>
      <c r="H7149" t="s">
        <v>26</v>
      </c>
      <c r="I7149" t="s">
        <v>41</v>
      </c>
      <c r="J7149">
        <v>92.94</v>
      </c>
      <c r="K7149">
        <v>3</v>
      </c>
      <c r="L7149">
        <v>0</v>
      </c>
      <c r="M7149">
        <v>41.823</v>
      </c>
    </row>
    <row r="7150" spans="1:13" x14ac:dyDescent="0.3">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
      <c r="A7152" t="s">
        <v>28</v>
      </c>
      <c r="B7152" t="s">
        <v>44</v>
      </c>
      <c r="C7152" t="s">
        <v>15</v>
      </c>
      <c r="D7152" t="s">
        <v>519</v>
      </c>
      <c r="E7152" t="s">
        <v>88</v>
      </c>
      <c r="F7152">
        <v>35401</v>
      </c>
      <c r="G7152" t="s">
        <v>18</v>
      </c>
      <c r="H7152" t="s">
        <v>19</v>
      </c>
      <c r="I7152" t="s">
        <v>21</v>
      </c>
      <c r="J7152">
        <v>141.96</v>
      </c>
      <c r="K7152">
        <v>2</v>
      </c>
      <c r="L7152">
        <v>0</v>
      </c>
      <c r="M7152">
        <v>35.49</v>
      </c>
    </row>
    <row r="7153" spans="1:13" x14ac:dyDescent="0.3">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
      <c r="A7162" t="s">
        <v>13</v>
      </c>
      <c r="B7162" t="s">
        <v>44</v>
      </c>
      <c r="C7162" t="s">
        <v>15</v>
      </c>
      <c r="D7162" t="s">
        <v>79</v>
      </c>
      <c r="E7162" t="s">
        <v>65</v>
      </c>
      <c r="F7162">
        <v>60623</v>
      </c>
      <c r="G7162" t="s">
        <v>47</v>
      </c>
      <c r="H7162" t="s">
        <v>26</v>
      </c>
      <c r="I7162" t="s">
        <v>77</v>
      </c>
      <c r="J7162">
        <v>16</v>
      </c>
      <c r="K7162">
        <v>4</v>
      </c>
      <c r="L7162">
        <v>0.2</v>
      </c>
      <c r="M7162">
        <v>5.6</v>
      </c>
    </row>
    <row r="7163" spans="1:13" x14ac:dyDescent="0.3">
      <c r="A7163" t="s">
        <v>28</v>
      </c>
      <c r="B7163" t="s">
        <v>14</v>
      </c>
      <c r="C7163" t="s">
        <v>15</v>
      </c>
      <c r="D7163" t="s">
        <v>182</v>
      </c>
      <c r="E7163" t="s">
        <v>83</v>
      </c>
      <c r="F7163">
        <v>23223</v>
      </c>
      <c r="G7163" t="s">
        <v>18</v>
      </c>
      <c r="H7163" t="s">
        <v>26</v>
      </c>
      <c r="I7163" t="s">
        <v>41</v>
      </c>
      <c r="J7163">
        <v>21.84</v>
      </c>
      <c r="K7163">
        <v>3</v>
      </c>
      <c r="L7163">
        <v>0</v>
      </c>
      <c r="M7163">
        <v>10.92</v>
      </c>
    </row>
    <row r="7164" spans="1:13" x14ac:dyDescent="0.3">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
      <c r="A7167" t="s">
        <v>62</v>
      </c>
      <c r="B7167" t="s">
        <v>14</v>
      </c>
      <c r="C7167" t="s">
        <v>15</v>
      </c>
      <c r="D7167" t="s">
        <v>290</v>
      </c>
      <c r="E7167" t="s">
        <v>179</v>
      </c>
      <c r="F7167">
        <v>2908</v>
      </c>
      <c r="G7167" t="s">
        <v>57</v>
      </c>
      <c r="H7167" t="s">
        <v>26</v>
      </c>
      <c r="I7167" t="s">
        <v>32</v>
      </c>
      <c r="J7167">
        <v>69.52</v>
      </c>
      <c r="K7167">
        <v>2</v>
      </c>
      <c r="L7167">
        <v>0</v>
      </c>
      <c r="M7167">
        <v>17.38</v>
      </c>
    </row>
    <row r="7168" spans="1:13" x14ac:dyDescent="0.3">
      <c r="A7168" t="s">
        <v>13</v>
      </c>
      <c r="B7168" t="s">
        <v>14</v>
      </c>
      <c r="C7168" t="s">
        <v>15</v>
      </c>
      <c r="D7168" t="s">
        <v>52</v>
      </c>
      <c r="E7168" t="s">
        <v>24</v>
      </c>
      <c r="F7168">
        <v>94122</v>
      </c>
      <c r="G7168" t="s">
        <v>25</v>
      </c>
      <c r="H7168" t="s">
        <v>26</v>
      </c>
      <c r="I7168" t="s">
        <v>34</v>
      </c>
      <c r="J7168">
        <v>11.52</v>
      </c>
      <c r="K7168">
        <v>4</v>
      </c>
      <c r="L7168">
        <v>0</v>
      </c>
      <c r="M7168">
        <v>3.2256</v>
      </c>
    </row>
    <row r="7169" spans="1:13" x14ac:dyDescent="0.3">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
      <c r="A7183" t="s">
        <v>13</v>
      </c>
      <c r="B7183" t="s">
        <v>14</v>
      </c>
      <c r="C7183" t="s">
        <v>15</v>
      </c>
      <c r="D7183" t="s">
        <v>235</v>
      </c>
      <c r="E7183" t="s">
        <v>104</v>
      </c>
      <c r="F7183">
        <v>43130</v>
      </c>
      <c r="G7183" t="s">
        <v>57</v>
      </c>
      <c r="H7183" t="s">
        <v>35</v>
      </c>
      <c r="I7183" t="s">
        <v>59</v>
      </c>
      <c r="J7183">
        <v>40</v>
      </c>
      <c r="K7183">
        <v>2</v>
      </c>
      <c r="L7183">
        <v>0.2</v>
      </c>
      <c r="M7183">
        <v>0.5</v>
      </c>
    </row>
    <row r="7184" spans="1:13" x14ac:dyDescent="0.3">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
      <c r="A7187" t="s">
        <v>28</v>
      </c>
      <c r="B7187" t="s">
        <v>44</v>
      </c>
      <c r="C7187" t="s">
        <v>15</v>
      </c>
      <c r="D7187" t="s">
        <v>61</v>
      </c>
      <c r="E7187" t="s">
        <v>46</v>
      </c>
      <c r="F7187">
        <v>77095</v>
      </c>
      <c r="G7187" t="s">
        <v>47</v>
      </c>
      <c r="H7187" t="s">
        <v>26</v>
      </c>
      <c r="I7187" t="s">
        <v>34</v>
      </c>
      <c r="J7187">
        <v>8.016</v>
      </c>
      <c r="K7187">
        <v>3</v>
      </c>
      <c r="L7187">
        <v>0.2</v>
      </c>
      <c r="M7187">
        <v>1.002</v>
      </c>
    </row>
    <row r="7188" spans="1:13" x14ac:dyDescent="0.3">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
      <c r="A7197" t="s">
        <v>28</v>
      </c>
      <c r="B7197" t="s">
        <v>44</v>
      </c>
      <c r="C7197" t="s">
        <v>15</v>
      </c>
      <c r="D7197" t="s">
        <v>42</v>
      </c>
      <c r="E7197" t="s">
        <v>43</v>
      </c>
      <c r="F7197">
        <v>98103</v>
      </c>
      <c r="G7197" t="s">
        <v>25</v>
      </c>
      <c r="H7197" t="s">
        <v>19</v>
      </c>
      <c r="I7197" t="s">
        <v>33</v>
      </c>
      <c r="J7197">
        <v>19.54</v>
      </c>
      <c r="K7197">
        <v>2</v>
      </c>
      <c r="L7197">
        <v>0</v>
      </c>
      <c r="M7197">
        <v>7.2298</v>
      </c>
    </row>
    <row r="7198" spans="1:13" x14ac:dyDescent="0.3">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
      <c r="A7201" t="s">
        <v>28</v>
      </c>
      <c r="B7201" t="s">
        <v>44</v>
      </c>
      <c r="C7201" t="s">
        <v>15</v>
      </c>
      <c r="D7201" t="s">
        <v>75</v>
      </c>
      <c r="E7201" t="s">
        <v>76</v>
      </c>
      <c r="F7201">
        <v>10035</v>
      </c>
      <c r="G7201" t="s">
        <v>57</v>
      </c>
      <c r="H7201" t="s">
        <v>35</v>
      </c>
      <c r="I7201" t="s">
        <v>36</v>
      </c>
      <c r="J7201">
        <v>138</v>
      </c>
      <c r="K7201">
        <v>2</v>
      </c>
      <c r="L7201">
        <v>0</v>
      </c>
      <c r="M7201">
        <v>34.5</v>
      </c>
    </row>
    <row r="7202" spans="1:13" x14ac:dyDescent="0.3">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
      <c r="A7212" t="s">
        <v>28</v>
      </c>
      <c r="B7212" t="s">
        <v>22</v>
      </c>
      <c r="C7212" t="s">
        <v>15</v>
      </c>
      <c r="D7212" t="s">
        <v>42</v>
      </c>
      <c r="E7212" t="s">
        <v>43</v>
      </c>
      <c r="F7212">
        <v>98115</v>
      </c>
      <c r="G7212" t="s">
        <v>25</v>
      </c>
      <c r="H7212" t="s">
        <v>26</v>
      </c>
      <c r="I7212" t="s">
        <v>41</v>
      </c>
      <c r="J7212">
        <v>30.18</v>
      </c>
      <c r="K7212">
        <v>3</v>
      </c>
      <c r="L7212">
        <v>0</v>
      </c>
      <c r="M7212">
        <v>13.8828</v>
      </c>
    </row>
    <row r="7213" spans="1:13" x14ac:dyDescent="0.3">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
      <c r="A7227" t="s">
        <v>28</v>
      </c>
      <c r="B7227" t="s">
        <v>14</v>
      </c>
      <c r="C7227" t="s">
        <v>15</v>
      </c>
      <c r="D7227" t="s">
        <v>52</v>
      </c>
      <c r="E7227" t="s">
        <v>24</v>
      </c>
      <c r="F7227">
        <v>94122</v>
      </c>
      <c r="G7227" t="s">
        <v>25</v>
      </c>
      <c r="H7227" t="s">
        <v>19</v>
      </c>
      <c r="I7227" t="s">
        <v>33</v>
      </c>
      <c r="J7227">
        <v>30.8</v>
      </c>
      <c r="K7227">
        <v>4</v>
      </c>
      <c r="L7227">
        <v>0</v>
      </c>
      <c r="M7227">
        <v>10.164</v>
      </c>
    </row>
    <row r="7228" spans="1:13" x14ac:dyDescent="0.3">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
      <c r="A7231" t="s">
        <v>62</v>
      </c>
      <c r="B7231" t="s">
        <v>14</v>
      </c>
      <c r="C7231" t="s">
        <v>15</v>
      </c>
      <c r="D7231" t="s">
        <v>52</v>
      </c>
      <c r="E7231" t="s">
        <v>24</v>
      </c>
      <c r="F7231">
        <v>94122</v>
      </c>
      <c r="G7231" t="s">
        <v>25</v>
      </c>
      <c r="H7231" t="s">
        <v>26</v>
      </c>
      <c r="I7231" t="s">
        <v>41</v>
      </c>
      <c r="J7231">
        <v>22.83</v>
      </c>
      <c r="K7231">
        <v>3</v>
      </c>
      <c r="L7231">
        <v>0</v>
      </c>
      <c r="M7231">
        <v>10.7301</v>
      </c>
    </row>
    <row r="7232" spans="1:13" x14ac:dyDescent="0.3">
      <c r="A7232" t="s">
        <v>62</v>
      </c>
      <c r="B7232" t="s">
        <v>14</v>
      </c>
      <c r="C7232" t="s">
        <v>15</v>
      </c>
      <c r="D7232" t="s">
        <v>126</v>
      </c>
      <c r="E7232" t="s">
        <v>127</v>
      </c>
      <c r="F7232">
        <v>6824</v>
      </c>
      <c r="G7232" t="s">
        <v>57</v>
      </c>
      <c r="H7232" t="s">
        <v>26</v>
      </c>
      <c r="I7232" t="s">
        <v>37</v>
      </c>
      <c r="J7232">
        <v>30.88</v>
      </c>
      <c r="K7232">
        <v>2</v>
      </c>
      <c r="L7232">
        <v>0</v>
      </c>
      <c r="M7232">
        <v>15.44</v>
      </c>
    </row>
    <row r="7233" spans="1:13" x14ac:dyDescent="0.3">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
      <c r="A7238" t="s">
        <v>62</v>
      </c>
      <c r="B7238" t="s">
        <v>14</v>
      </c>
      <c r="C7238" t="s">
        <v>15</v>
      </c>
      <c r="D7238" t="s">
        <v>23</v>
      </c>
      <c r="E7238" t="s">
        <v>24</v>
      </c>
      <c r="F7238">
        <v>90049</v>
      </c>
      <c r="G7238" t="s">
        <v>25</v>
      </c>
      <c r="H7238" t="s">
        <v>26</v>
      </c>
      <c r="I7238" t="s">
        <v>34</v>
      </c>
      <c r="J7238">
        <v>8.64</v>
      </c>
      <c r="K7238">
        <v>3</v>
      </c>
      <c r="L7238">
        <v>0</v>
      </c>
      <c r="M7238">
        <v>2.4192</v>
      </c>
    </row>
    <row r="7239" spans="1:13" x14ac:dyDescent="0.3">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
      <c r="A7242" t="s">
        <v>13</v>
      </c>
      <c r="B7242" t="s">
        <v>14</v>
      </c>
      <c r="C7242" t="s">
        <v>15</v>
      </c>
      <c r="D7242" t="s">
        <v>113</v>
      </c>
      <c r="E7242" t="s">
        <v>24</v>
      </c>
      <c r="F7242">
        <v>91104</v>
      </c>
      <c r="G7242" t="s">
        <v>25</v>
      </c>
      <c r="H7242" t="s">
        <v>19</v>
      </c>
      <c r="I7242" t="s">
        <v>33</v>
      </c>
      <c r="J7242">
        <v>66.36</v>
      </c>
      <c r="K7242">
        <v>7</v>
      </c>
      <c r="L7242">
        <v>0</v>
      </c>
      <c r="M7242">
        <v>26.544</v>
      </c>
    </row>
    <row r="7243" spans="1:13" x14ac:dyDescent="0.3">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
      <c r="A7251" t="s">
        <v>13</v>
      </c>
      <c r="B7251" t="s">
        <v>14</v>
      </c>
      <c r="C7251" t="s">
        <v>15</v>
      </c>
      <c r="D7251" t="s">
        <v>23</v>
      </c>
      <c r="E7251" t="s">
        <v>24</v>
      </c>
      <c r="F7251">
        <v>90008</v>
      </c>
      <c r="G7251" t="s">
        <v>25</v>
      </c>
      <c r="H7251" t="s">
        <v>35</v>
      </c>
      <c r="I7251" t="s">
        <v>59</v>
      </c>
      <c r="J7251">
        <v>119.98</v>
      </c>
      <c r="K7251">
        <v>2</v>
      </c>
      <c r="L7251">
        <v>0</v>
      </c>
      <c r="M7251">
        <v>35.994</v>
      </c>
    </row>
    <row r="7252" spans="1:13" x14ac:dyDescent="0.3">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
      <c r="A7256" t="s">
        <v>28</v>
      </c>
      <c r="B7256" t="s">
        <v>44</v>
      </c>
      <c r="C7256" t="s">
        <v>15</v>
      </c>
      <c r="D7256" t="s">
        <v>474</v>
      </c>
      <c r="E7256" t="s">
        <v>49</v>
      </c>
      <c r="F7256">
        <v>54880</v>
      </c>
      <c r="G7256" t="s">
        <v>47</v>
      </c>
      <c r="H7256" t="s">
        <v>19</v>
      </c>
      <c r="I7256" t="s">
        <v>33</v>
      </c>
      <c r="J7256">
        <v>47.4</v>
      </c>
      <c r="K7256">
        <v>5</v>
      </c>
      <c r="L7256">
        <v>0</v>
      </c>
      <c r="M7256">
        <v>21.33</v>
      </c>
    </row>
    <row r="7257" spans="1:13" x14ac:dyDescent="0.3">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
      <c r="A7258" t="s">
        <v>28</v>
      </c>
      <c r="B7258" t="s">
        <v>44</v>
      </c>
      <c r="C7258" t="s">
        <v>15</v>
      </c>
      <c r="D7258" t="s">
        <v>474</v>
      </c>
      <c r="E7258" t="s">
        <v>49</v>
      </c>
      <c r="F7258">
        <v>54880</v>
      </c>
      <c r="G7258" t="s">
        <v>47</v>
      </c>
      <c r="H7258" t="s">
        <v>26</v>
      </c>
      <c r="I7258" t="s">
        <v>34</v>
      </c>
      <c r="J7258">
        <v>5.56</v>
      </c>
      <c r="K7258">
        <v>2</v>
      </c>
      <c r="L7258">
        <v>0</v>
      </c>
      <c r="M7258">
        <v>1.4456</v>
      </c>
    </row>
    <row r="7259" spans="1:13" x14ac:dyDescent="0.3">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
      <c r="A7287" t="s">
        <v>28</v>
      </c>
      <c r="B7287" t="s">
        <v>14</v>
      </c>
      <c r="C7287" t="s">
        <v>15</v>
      </c>
      <c r="D7287" t="s">
        <v>52</v>
      </c>
      <c r="E7287" t="s">
        <v>24</v>
      </c>
      <c r="F7287">
        <v>94110</v>
      </c>
      <c r="G7287" t="s">
        <v>25</v>
      </c>
      <c r="H7287" t="s">
        <v>35</v>
      </c>
      <c r="I7287" t="s">
        <v>59</v>
      </c>
      <c r="J7287">
        <v>46.36</v>
      </c>
      <c r="K7287">
        <v>4</v>
      </c>
      <c r="L7287">
        <v>0</v>
      </c>
      <c r="M7287">
        <v>15.2988</v>
      </c>
    </row>
    <row r="7288" spans="1:13" x14ac:dyDescent="0.3">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
      <c r="A7293" t="s">
        <v>62</v>
      </c>
      <c r="B7293" t="s">
        <v>14</v>
      </c>
      <c r="C7293" t="s">
        <v>15</v>
      </c>
      <c r="D7293" t="s">
        <v>52</v>
      </c>
      <c r="E7293" t="s">
        <v>24</v>
      </c>
      <c r="F7293">
        <v>94122</v>
      </c>
      <c r="G7293" t="s">
        <v>25</v>
      </c>
      <c r="H7293" t="s">
        <v>26</v>
      </c>
      <c r="I7293" t="s">
        <v>27</v>
      </c>
      <c r="J7293">
        <v>26.01</v>
      </c>
      <c r="K7293">
        <v>9</v>
      </c>
      <c r="L7293">
        <v>0</v>
      </c>
      <c r="M7293">
        <v>12.2247</v>
      </c>
    </row>
    <row r="7294" spans="1:13" x14ac:dyDescent="0.3">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
      <c r="A7308" t="s">
        <v>13</v>
      </c>
      <c r="B7308" t="s">
        <v>14</v>
      </c>
      <c r="C7308" t="s">
        <v>15</v>
      </c>
      <c r="D7308" t="s">
        <v>117</v>
      </c>
      <c r="E7308" t="s">
        <v>24</v>
      </c>
      <c r="F7308">
        <v>95123</v>
      </c>
      <c r="G7308" t="s">
        <v>25</v>
      </c>
      <c r="H7308" t="s">
        <v>35</v>
      </c>
      <c r="I7308" t="s">
        <v>59</v>
      </c>
      <c r="J7308">
        <v>72</v>
      </c>
      <c r="K7308">
        <v>4</v>
      </c>
      <c r="L7308">
        <v>0</v>
      </c>
      <c r="M7308">
        <v>12.96</v>
      </c>
    </row>
    <row r="7309" spans="1:13" x14ac:dyDescent="0.3">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
      <c r="A7324" t="s">
        <v>28</v>
      </c>
      <c r="B7324" t="s">
        <v>22</v>
      </c>
      <c r="C7324" t="s">
        <v>15</v>
      </c>
      <c r="D7324" t="s">
        <v>79</v>
      </c>
      <c r="E7324" t="s">
        <v>65</v>
      </c>
      <c r="F7324">
        <v>60623</v>
      </c>
      <c r="G7324" t="s">
        <v>47</v>
      </c>
      <c r="H7324" t="s">
        <v>35</v>
      </c>
      <c r="I7324" t="s">
        <v>59</v>
      </c>
      <c r="J7324">
        <v>100.8</v>
      </c>
      <c r="K7324">
        <v>2</v>
      </c>
      <c r="L7324">
        <v>0.2</v>
      </c>
      <c r="M7324">
        <v>21.42</v>
      </c>
    </row>
    <row r="7325" spans="1:13" x14ac:dyDescent="0.3">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
      <c r="A7329" t="s">
        <v>28</v>
      </c>
      <c r="B7329" t="s">
        <v>44</v>
      </c>
      <c r="C7329" t="s">
        <v>15</v>
      </c>
      <c r="D7329" t="s">
        <v>585</v>
      </c>
      <c r="E7329" t="s">
        <v>24</v>
      </c>
      <c r="F7329">
        <v>91505</v>
      </c>
      <c r="G7329" t="s">
        <v>25</v>
      </c>
      <c r="H7329" t="s">
        <v>19</v>
      </c>
      <c r="I7329" t="s">
        <v>33</v>
      </c>
      <c r="J7329">
        <v>111</v>
      </c>
      <c r="K7329">
        <v>2</v>
      </c>
      <c r="L7329">
        <v>0</v>
      </c>
      <c r="M7329">
        <v>14.43</v>
      </c>
    </row>
    <row r="7330" spans="1:13" x14ac:dyDescent="0.3">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
      <c r="A7341" t="s">
        <v>62</v>
      </c>
      <c r="B7341" t="s">
        <v>22</v>
      </c>
      <c r="C7341" t="s">
        <v>15</v>
      </c>
      <c r="D7341" t="s">
        <v>75</v>
      </c>
      <c r="E7341" t="s">
        <v>76</v>
      </c>
      <c r="F7341">
        <v>10009</v>
      </c>
      <c r="G7341" t="s">
        <v>57</v>
      </c>
      <c r="H7341" t="s">
        <v>26</v>
      </c>
      <c r="I7341" t="s">
        <v>34</v>
      </c>
      <c r="J7341">
        <v>5.76</v>
      </c>
      <c r="K7341">
        <v>2</v>
      </c>
      <c r="L7341">
        <v>0</v>
      </c>
      <c r="M7341">
        <v>1.6128</v>
      </c>
    </row>
    <row r="7342" spans="1:13" x14ac:dyDescent="0.3">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
      <c r="A7351" t="s">
        <v>28</v>
      </c>
      <c r="B7351" t="s">
        <v>22</v>
      </c>
      <c r="C7351" t="s">
        <v>15</v>
      </c>
      <c r="D7351" t="s">
        <v>241</v>
      </c>
      <c r="E7351" t="s">
        <v>49</v>
      </c>
      <c r="F7351">
        <v>53209</v>
      </c>
      <c r="G7351" t="s">
        <v>47</v>
      </c>
      <c r="H7351" t="s">
        <v>26</v>
      </c>
      <c r="I7351" t="s">
        <v>37</v>
      </c>
      <c r="J7351">
        <v>38.82</v>
      </c>
      <c r="K7351">
        <v>6</v>
      </c>
      <c r="L7351">
        <v>0</v>
      </c>
      <c r="M7351">
        <v>19.41</v>
      </c>
    </row>
    <row r="7352" spans="1:13" x14ac:dyDescent="0.3">
      <c r="A7352" t="s">
        <v>28</v>
      </c>
      <c r="B7352" t="s">
        <v>22</v>
      </c>
      <c r="C7352" t="s">
        <v>15</v>
      </c>
      <c r="D7352" t="s">
        <v>241</v>
      </c>
      <c r="E7352" t="s">
        <v>49</v>
      </c>
      <c r="F7352">
        <v>53209</v>
      </c>
      <c r="G7352" t="s">
        <v>47</v>
      </c>
      <c r="H7352" t="s">
        <v>26</v>
      </c>
      <c r="I7352" t="s">
        <v>37</v>
      </c>
      <c r="J7352">
        <v>21.9</v>
      </c>
      <c r="K7352">
        <v>5</v>
      </c>
      <c r="L7352">
        <v>0</v>
      </c>
      <c r="M7352">
        <v>10.512</v>
      </c>
    </row>
    <row r="7353" spans="1:13" x14ac:dyDescent="0.3">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
      <c r="A7356" t="s">
        <v>28</v>
      </c>
      <c r="B7356" t="s">
        <v>44</v>
      </c>
      <c r="C7356" t="s">
        <v>15</v>
      </c>
      <c r="D7356" t="s">
        <v>52</v>
      </c>
      <c r="E7356" t="s">
        <v>24</v>
      </c>
      <c r="F7356">
        <v>94109</v>
      </c>
      <c r="G7356" t="s">
        <v>25</v>
      </c>
      <c r="H7356" t="s">
        <v>26</v>
      </c>
      <c r="I7356" t="s">
        <v>41</v>
      </c>
      <c r="J7356">
        <v>29.9</v>
      </c>
      <c r="K7356">
        <v>5</v>
      </c>
      <c r="L7356">
        <v>0</v>
      </c>
      <c r="M7356">
        <v>13.455</v>
      </c>
    </row>
    <row r="7357" spans="1:13" x14ac:dyDescent="0.3">
      <c r="A7357" t="s">
        <v>13</v>
      </c>
      <c r="B7357" t="s">
        <v>22</v>
      </c>
      <c r="C7357" t="s">
        <v>15</v>
      </c>
      <c r="D7357" t="s">
        <v>140</v>
      </c>
      <c r="E7357" t="s">
        <v>70</v>
      </c>
      <c r="F7357">
        <v>48205</v>
      </c>
      <c r="G7357" t="s">
        <v>47</v>
      </c>
      <c r="H7357" t="s">
        <v>26</v>
      </c>
      <c r="I7357" t="s">
        <v>37</v>
      </c>
      <c r="J7357">
        <v>116.4</v>
      </c>
      <c r="K7357">
        <v>8</v>
      </c>
      <c r="L7357">
        <v>0</v>
      </c>
      <c r="M7357">
        <v>52.38</v>
      </c>
    </row>
    <row r="7358" spans="1:13" x14ac:dyDescent="0.3">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
      <c r="A7376" t="s">
        <v>13</v>
      </c>
      <c r="B7376" t="s">
        <v>14</v>
      </c>
      <c r="C7376" t="s">
        <v>15</v>
      </c>
      <c r="D7376" t="s">
        <v>159</v>
      </c>
      <c r="E7376" t="s">
        <v>24</v>
      </c>
      <c r="F7376">
        <v>90805</v>
      </c>
      <c r="G7376" t="s">
        <v>25</v>
      </c>
      <c r="H7376" t="s">
        <v>26</v>
      </c>
      <c r="I7376" t="s">
        <v>77</v>
      </c>
      <c r="J7376">
        <v>7.89</v>
      </c>
      <c r="K7376">
        <v>1</v>
      </c>
      <c r="L7376">
        <v>0</v>
      </c>
      <c r="M7376">
        <v>3.5505</v>
      </c>
    </row>
    <row r="7377" spans="1:13" x14ac:dyDescent="0.3">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
      <c r="A7382" t="s">
        <v>28</v>
      </c>
      <c r="B7382" t="s">
        <v>14</v>
      </c>
      <c r="C7382" t="s">
        <v>15</v>
      </c>
      <c r="D7382" t="s">
        <v>238</v>
      </c>
      <c r="E7382" t="s">
        <v>54</v>
      </c>
      <c r="F7382">
        <v>68104</v>
      </c>
      <c r="G7382" t="s">
        <v>47</v>
      </c>
      <c r="H7382" t="s">
        <v>26</v>
      </c>
      <c r="I7382" t="s">
        <v>27</v>
      </c>
      <c r="J7382">
        <v>14.4</v>
      </c>
      <c r="K7382">
        <v>5</v>
      </c>
      <c r="L7382">
        <v>0</v>
      </c>
      <c r="M7382">
        <v>7.056</v>
      </c>
    </row>
    <row r="7383" spans="1:13" x14ac:dyDescent="0.3">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
      <c r="A7396" t="s">
        <v>28</v>
      </c>
      <c r="B7396" t="s">
        <v>14</v>
      </c>
      <c r="C7396" t="s">
        <v>15</v>
      </c>
      <c r="D7396" t="s">
        <v>23</v>
      </c>
      <c r="E7396" t="s">
        <v>24</v>
      </c>
      <c r="F7396">
        <v>90049</v>
      </c>
      <c r="G7396" t="s">
        <v>25</v>
      </c>
      <c r="H7396" t="s">
        <v>26</v>
      </c>
      <c r="I7396" t="s">
        <v>41</v>
      </c>
      <c r="J7396">
        <v>34.4</v>
      </c>
      <c r="K7396">
        <v>5</v>
      </c>
      <c r="L7396">
        <v>0</v>
      </c>
      <c r="M7396">
        <v>15.824</v>
      </c>
    </row>
    <row r="7397" spans="1:13" x14ac:dyDescent="0.3">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
      <c r="A7401" t="s">
        <v>13</v>
      </c>
      <c r="B7401" t="s">
        <v>14</v>
      </c>
      <c r="C7401" t="s">
        <v>15</v>
      </c>
      <c r="D7401" t="s">
        <v>79</v>
      </c>
      <c r="E7401" t="s">
        <v>65</v>
      </c>
      <c r="F7401">
        <v>60610</v>
      </c>
      <c r="G7401" t="s">
        <v>47</v>
      </c>
      <c r="H7401" t="s">
        <v>35</v>
      </c>
      <c r="I7401" t="s">
        <v>59</v>
      </c>
      <c r="J7401">
        <v>23.84</v>
      </c>
      <c r="K7401">
        <v>4</v>
      </c>
      <c r="L7401">
        <v>0.2</v>
      </c>
      <c r="M7401">
        <v>3.278</v>
      </c>
    </row>
    <row r="7402" spans="1:13" x14ac:dyDescent="0.3">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
      <c r="A7416" t="s">
        <v>13</v>
      </c>
      <c r="B7416" t="s">
        <v>22</v>
      </c>
      <c r="C7416" t="s">
        <v>15</v>
      </c>
      <c r="D7416" t="s">
        <v>55</v>
      </c>
      <c r="E7416" t="s">
        <v>56</v>
      </c>
      <c r="F7416">
        <v>19134</v>
      </c>
      <c r="G7416" t="s">
        <v>57</v>
      </c>
      <c r="H7416" t="s">
        <v>19</v>
      </c>
      <c r="I7416" t="s">
        <v>21</v>
      </c>
      <c r="J7416">
        <v>386.68</v>
      </c>
      <c r="K7416">
        <v>2</v>
      </c>
      <c r="L7416">
        <v>0.3</v>
      </c>
      <c r="M7416">
        <v>-5.524</v>
      </c>
    </row>
    <row r="7417" spans="1:13" x14ac:dyDescent="0.3">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
      <c r="A7422" t="s">
        <v>13</v>
      </c>
      <c r="B7422" t="s">
        <v>22</v>
      </c>
      <c r="C7422" t="s">
        <v>15</v>
      </c>
      <c r="D7422" t="s">
        <v>55</v>
      </c>
      <c r="E7422" t="s">
        <v>56</v>
      </c>
      <c r="F7422">
        <v>19134</v>
      </c>
      <c r="G7422" t="s">
        <v>57</v>
      </c>
      <c r="H7422" t="s">
        <v>26</v>
      </c>
      <c r="I7422" t="s">
        <v>37</v>
      </c>
      <c r="J7422">
        <v>23.16</v>
      </c>
      <c r="K7422">
        <v>5</v>
      </c>
      <c r="L7422">
        <v>0.7</v>
      </c>
      <c r="M7422">
        <v>-15.44</v>
      </c>
    </row>
    <row r="7423" spans="1:13" x14ac:dyDescent="0.3">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
      <c r="A7432" t="s">
        <v>28</v>
      </c>
      <c r="B7432" t="s">
        <v>22</v>
      </c>
      <c r="C7432" t="s">
        <v>15</v>
      </c>
      <c r="D7432" t="s">
        <v>84</v>
      </c>
      <c r="E7432" t="s">
        <v>185</v>
      </c>
      <c r="F7432">
        <v>39212</v>
      </c>
      <c r="G7432" t="s">
        <v>18</v>
      </c>
      <c r="H7432" t="s">
        <v>26</v>
      </c>
      <c r="I7432" t="s">
        <v>41</v>
      </c>
      <c r="J7432">
        <v>16</v>
      </c>
      <c r="K7432">
        <v>4</v>
      </c>
      <c r="L7432">
        <v>0</v>
      </c>
      <c r="M7432">
        <v>7.68</v>
      </c>
    </row>
    <row r="7433" spans="1:13" x14ac:dyDescent="0.3">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
      <c r="A7440" t="s">
        <v>13</v>
      </c>
      <c r="B7440" t="s">
        <v>22</v>
      </c>
      <c r="C7440" t="s">
        <v>15</v>
      </c>
      <c r="D7440" t="s">
        <v>476</v>
      </c>
      <c r="E7440" t="s">
        <v>43</v>
      </c>
      <c r="F7440">
        <v>98042</v>
      </c>
      <c r="G7440" t="s">
        <v>25</v>
      </c>
      <c r="H7440" t="s">
        <v>19</v>
      </c>
      <c r="I7440" t="s">
        <v>33</v>
      </c>
      <c r="J7440">
        <v>46.9</v>
      </c>
      <c r="K7440">
        <v>5</v>
      </c>
      <c r="L7440">
        <v>0</v>
      </c>
      <c r="M7440">
        <v>13.132</v>
      </c>
    </row>
    <row r="7441" spans="1:13" x14ac:dyDescent="0.3">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
      <c r="A7449" t="s">
        <v>13</v>
      </c>
      <c r="B7449" t="s">
        <v>44</v>
      </c>
      <c r="C7449" t="s">
        <v>15</v>
      </c>
      <c r="D7449" t="s">
        <v>79</v>
      </c>
      <c r="E7449" t="s">
        <v>65</v>
      </c>
      <c r="F7449">
        <v>60610</v>
      </c>
      <c r="G7449" t="s">
        <v>47</v>
      </c>
      <c r="H7449" t="s">
        <v>26</v>
      </c>
      <c r="I7449" t="s">
        <v>41</v>
      </c>
      <c r="J7449">
        <v>419.4</v>
      </c>
      <c r="K7449">
        <v>5</v>
      </c>
      <c r="L7449">
        <v>0.2</v>
      </c>
      <c r="M7449">
        <v>146.79</v>
      </c>
    </row>
    <row r="7450" spans="1:13" x14ac:dyDescent="0.3">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
      <c r="A7453" t="s">
        <v>13</v>
      </c>
      <c r="B7453" t="s">
        <v>44</v>
      </c>
      <c r="C7453" t="s">
        <v>15</v>
      </c>
      <c r="D7453" t="s">
        <v>61</v>
      </c>
      <c r="E7453" t="s">
        <v>46</v>
      </c>
      <c r="F7453">
        <v>77036</v>
      </c>
      <c r="G7453" t="s">
        <v>47</v>
      </c>
      <c r="H7453" t="s">
        <v>26</v>
      </c>
      <c r="I7453" t="s">
        <v>37</v>
      </c>
      <c r="J7453">
        <v>5.8</v>
      </c>
      <c r="K7453">
        <v>5</v>
      </c>
      <c r="L7453">
        <v>0.8</v>
      </c>
      <c r="M7453">
        <v>-10.15</v>
      </c>
    </row>
    <row r="7454" spans="1:13" x14ac:dyDescent="0.3">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
      <c r="A7459" t="s">
        <v>62</v>
      </c>
      <c r="B7459" t="s">
        <v>14</v>
      </c>
      <c r="C7459" t="s">
        <v>15</v>
      </c>
      <c r="D7459" t="s">
        <v>224</v>
      </c>
      <c r="E7459" t="s">
        <v>83</v>
      </c>
      <c r="F7459">
        <v>22980</v>
      </c>
      <c r="G7459" t="s">
        <v>18</v>
      </c>
      <c r="H7459" t="s">
        <v>26</v>
      </c>
      <c r="I7459" t="s">
        <v>37</v>
      </c>
      <c r="J7459">
        <v>9.14</v>
      </c>
      <c r="K7459">
        <v>1</v>
      </c>
      <c r="L7459">
        <v>0</v>
      </c>
      <c r="M7459">
        <v>4.57</v>
      </c>
    </row>
    <row r="7460" spans="1:13" x14ac:dyDescent="0.3">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
      <c r="A7465" t="s">
        <v>28</v>
      </c>
      <c r="B7465" t="s">
        <v>14</v>
      </c>
      <c r="C7465" t="s">
        <v>15</v>
      </c>
      <c r="D7465" t="s">
        <v>445</v>
      </c>
      <c r="E7465" t="s">
        <v>24</v>
      </c>
      <c r="F7465">
        <v>93277</v>
      </c>
      <c r="G7465" t="s">
        <v>25</v>
      </c>
      <c r="H7465" t="s">
        <v>26</v>
      </c>
      <c r="I7465" t="s">
        <v>34</v>
      </c>
      <c r="J7465">
        <v>14.88</v>
      </c>
      <c r="K7465">
        <v>2</v>
      </c>
      <c r="L7465">
        <v>0</v>
      </c>
      <c r="M7465">
        <v>3.72</v>
      </c>
    </row>
    <row r="7466" spans="1:13" x14ac:dyDescent="0.3">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
      <c r="A7469" t="s">
        <v>13</v>
      </c>
      <c r="B7469" t="s">
        <v>44</v>
      </c>
      <c r="C7469" t="s">
        <v>15</v>
      </c>
      <c r="D7469" t="s">
        <v>23</v>
      </c>
      <c r="E7469" t="s">
        <v>24</v>
      </c>
      <c r="F7469">
        <v>90045</v>
      </c>
      <c r="G7469" t="s">
        <v>25</v>
      </c>
      <c r="H7469" t="s">
        <v>19</v>
      </c>
      <c r="I7469" t="s">
        <v>33</v>
      </c>
      <c r="J7469">
        <v>34.92</v>
      </c>
      <c r="K7469">
        <v>4</v>
      </c>
      <c r="L7469">
        <v>0</v>
      </c>
      <c r="M7469">
        <v>11.8728</v>
      </c>
    </row>
    <row r="7470" spans="1:13" x14ac:dyDescent="0.3">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
      <c r="A7478" t="s">
        <v>28</v>
      </c>
      <c r="B7478" t="s">
        <v>44</v>
      </c>
      <c r="C7478" t="s">
        <v>15</v>
      </c>
      <c r="D7478" t="s">
        <v>16</v>
      </c>
      <c r="E7478" t="s">
        <v>17</v>
      </c>
      <c r="F7478">
        <v>42420</v>
      </c>
      <c r="G7478" t="s">
        <v>18</v>
      </c>
      <c r="H7478" t="s">
        <v>26</v>
      </c>
      <c r="I7478" t="s">
        <v>34</v>
      </c>
      <c r="J7478">
        <v>5.48</v>
      </c>
      <c r="K7478">
        <v>2</v>
      </c>
      <c r="L7478">
        <v>0</v>
      </c>
      <c r="M7478">
        <v>1.4796</v>
      </c>
    </row>
    <row r="7479" spans="1:13" x14ac:dyDescent="0.3">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
      <c r="A7482" t="s">
        <v>28</v>
      </c>
      <c r="B7482" t="s">
        <v>44</v>
      </c>
      <c r="C7482" t="s">
        <v>15</v>
      </c>
      <c r="D7482" t="s">
        <v>16</v>
      </c>
      <c r="E7482" t="s">
        <v>17</v>
      </c>
      <c r="F7482">
        <v>42420</v>
      </c>
      <c r="G7482" t="s">
        <v>18</v>
      </c>
      <c r="H7482" t="s">
        <v>26</v>
      </c>
      <c r="I7482" t="s">
        <v>41</v>
      </c>
      <c r="J7482">
        <v>6.54</v>
      </c>
      <c r="K7482">
        <v>1</v>
      </c>
      <c r="L7482">
        <v>0</v>
      </c>
      <c r="M7482">
        <v>3.0084</v>
      </c>
    </row>
    <row r="7483" spans="1:13" x14ac:dyDescent="0.3">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
      <c r="A7488" t="s">
        <v>13</v>
      </c>
      <c r="B7488" t="s">
        <v>44</v>
      </c>
      <c r="C7488" t="s">
        <v>15</v>
      </c>
      <c r="D7488" t="s">
        <v>71</v>
      </c>
      <c r="E7488" t="s">
        <v>247</v>
      </c>
      <c r="F7488">
        <v>3820</v>
      </c>
      <c r="G7488" t="s">
        <v>57</v>
      </c>
      <c r="H7488" t="s">
        <v>26</v>
      </c>
      <c r="I7488" t="s">
        <v>41</v>
      </c>
      <c r="J7488">
        <v>29.9</v>
      </c>
      <c r="K7488">
        <v>5</v>
      </c>
      <c r="L7488">
        <v>0</v>
      </c>
      <c r="M7488">
        <v>14.651</v>
      </c>
    </row>
    <row r="7489" spans="1:13" x14ac:dyDescent="0.3">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
      <c r="A7494" t="s">
        <v>28</v>
      </c>
      <c r="B7494" t="s">
        <v>14</v>
      </c>
      <c r="C7494" t="s">
        <v>15</v>
      </c>
      <c r="D7494" t="s">
        <v>61</v>
      </c>
      <c r="E7494" t="s">
        <v>46</v>
      </c>
      <c r="F7494">
        <v>77070</v>
      </c>
      <c r="G7494" t="s">
        <v>47</v>
      </c>
      <c r="H7494" t="s">
        <v>26</v>
      </c>
      <c r="I7494" t="s">
        <v>41</v>
      </c>
      <c r="J7494">
        <v>10.272</v>
      </c>
      <c r="K7494">
        <v>3</v>
      </c>
      <c r="L7494">
        <v>0.2</v>
      </c>
      <c r="M7494">
        <v>3.21</v>
      </c>
    </row>
    <row r="7495" spans="1:13" x14ac:dyDescent="0.3">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
      <c r="A7496" t="s">
        <v>28</v>
      </c>
      <c r="B7496" t="s">
        <v>14</v>
      </c>
      <c r="C7496" t="s">
        <v>15</v>
      </c>
      <c r="D7496" t="s">
        <v>61</v>
      </c>
      <c r="E7496" t="s">
        <v>46</v>
      </c>
      <c r="F7496">
        <v>77070</v>
      </c>
      <c r="G7496" t="s">
        <v>47</v>
      </c>
      <c r="H7496" t="s">
        <v>26</v>
      </c>
      <c r="I7496" t="s">
        <v>38</v>
      </c>
      <c r="J7496">
        <v>1.556</v>
      </c>
      <c r="K7496">
        <v>2</v>
      </c>
      <c r="L7496">
        <v>0.8</v>
      </c>
      <c r="M7496">
        <v>-4.2012</v>
      </c>
    </row>
    <row r="7497" spans="1:13" x14ac:dyDescent="0.3">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
      <c r="A7506" t="s">
        <v>13</v>
      </c>
      <c r="B7506" t="s">
        <v>22</v>
      </c>
      <c r="C7506" t="s">
        <v>15</v>
      </c>
      <c r="D7506" t="s">
        <v>588</v>
      </c>
      <c r="E7506" t="s">
        <v>132</v>
      </c>
      <c r="F7506">
        <v>8401</v>
      </c>
      <c r="G7506" t="s">
        <v>57</v>
      </c>
      <c r="H7506" t="s">
        <v>26</v>
      </c>
      <c r="I7506" t="s">
        <v>60</v>
      </c>
      <c r="J7506">
        <v>23.36</v>
      </c>
      <c r="K7506">
        <v>2</v>
      </c>
      <c r="L7506">
        <v>0</v>
      </c>
      <c r="M7506">
        <v>11.68</v>
      </c>
    </row>
    <row r="7507" spans="1:13" x14ac:dyDescent="0.3">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
      <c r="A7521" t="s">
        <v>13</v>
      </c>
      <c r="B7521" t="s">
        <v>14</v>
      </c>
      <c r="C7521" t="s">
        <v>15</v>
      </c>
      <c r="D7521" t="s">
        <v>182</v>
      </c>
      <c r="E7521" t="s">
        <v>17</v>
      </c>
      <c r="F7521">
        <v>40475</v>
      </c>
      <c r="G7521" t="s">
        <v>18</v>
      </c>
      <c r="H7521" t="s">
        <v>26</v>
      </c>
      <c r="I7521" t="s">
        <v>27</v>
      </c>
      <c r="J7521">
        <v>5.76</v>
      </c>
      <c r="K7521">
        <v>2</v>
      </c>
      <c r="L7521">
        <v>0</v>
      </c>
      <c r="M7521">
        <v>2.6496</v>
      </c>
    </row>
    <row r="7522" spans="1:13" x14ac:dyDescent="0.3">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
      <c r="A7523" t="s">
        <v>28</v>
      </c>
      <c r="B7523" t="s">
        <v>14</v>
      </c>
      <c r="C7523" t="s">
        <v>15</v>
      </c>
      <c r="D7523" t="s">
        <v>235</v>
      </c>
      <c r="E7523" t="s">
        <v>104</v>
      </c>
      <c r="F7523">
        <v>43130</v>
      </c>
      <c r="G7523" t="s">
        <v>57</v>
      </c>
      <c r="H7523" t="s">
        <v>26</v>
      </c>
      <c r="I7523" t="s">
        <v>37</v>
      </c>
      <c r="J7523">
        <v>8.952</v>
      </c>
      <c r="K7523">
        <v>2</v>
      </c>
      <c r="L7523">
        <v>0.7</v>
      </c>
      <c r="M7523">
        <v>-7.46</v>
      </c>
    </row>
    <row r="7524" spans="1:13" x14ac:dyDescent="0.3">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
      <c r="A7545" t="s">
        <v>28</v>
      </c>
      <c r="B7545" t="s">
        <v>22</v>
      </c>
      <c r="C7545" t="s">
        <v>15</v>
      </c>
      <c r="D7545" t="s">
        <v>134</v>
      </c>
      <c r="E7545" t="s">
        <v>98</v>
      </c>
      <c r="F7545">
        <v>80219</v>
      </c>
      <c r="G7545" t="s">
        <v>25</v>
      </c>
      <c r="H7545" t="s">
        <v>35</v>
      </c>
      <c r="I7545" t="s">
        <v>36</v>
      </c>
      <c r="J7545">
        <v>57.36</v>
      </c>
      <c r="K7545">
        <v>6</v>
      </c>
      <c r="L7545">
        <v>0.2</v>
      </c>
      <c r="M7545">
        <v>-14.34</v>
      </c>
    </row>
    <row r="7546" spans="1:13" x14ac:dyDescent="0.3">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
      <c r="A7552" t="s">
        <v>28</v>
      </c>
      <c r="B7552" t="s">
        <v>22</v>
      </c>
      <c r="C7552" t="s">
        <v>15</v>
      </c>
      <c r="D7552" t="s">
        <v>75</v>
      </c>
      <c r="E7552" t="s">
        <v>76</v>
      </c>
      <c r="F7552">
        <v>10024</v>
      </c>
      <c r="G7552" t="s">
        <v>57</v>
      </c>
      <c r="H7552" t="s">
        <v>26</v>
      </c>
      <c r="I7552" t="s">
        <v>60</v>
      </c>
      <c r="J7552">
        <v>34.74</v>
      </c>
      <c r="K7552">
        <v>3</v>
      </c>
      <c r="L7552">
        <v>0</v>
      </c>
      <c r="M7552">
        <v>17.37</v>
      </c>
    </row>
    <row r="7553" spans="1:13" x14ac:dyDescent="0.3">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
      <c r="A7563" t="s">
        <v>62</v>
      </c>
      <c r="B7563" t="s">
        <v>14</v>
      </c>
      <c r="C7563" t="s">
        <v>15</v>
      </c>
      <c r="D7563" t="s">
        <v>235</v>
      </c>
      <c r="E7563" t="s">
        <v>56</v>
      </c>
      <c r="F7563">
        <v>17602</v>
      </c>
      <c r="G7563" t="s">
        <v>57</v>
      </c>
      <c r="H7563" t="s">
        <v>19</v>
      </c>
      <c r="I7563" t="s">
        <v>21</v>
      </c>
      <c r="J7563">
        <v>170.786</v>
      </c>
      <c r="K7563">
        <v>1</v>
      </c>
      <c r="L7563">
        <v>0.3</v>
      </c>
      <c r="M7563">
        <v>0</v>
      </c>
    </row>
    <row r="7564" spans="1:13" x14ac:dyDescent="0.3">
      <c r="A7564" t="s">
        <v>28</v>
      </c>
      <c r="B7564" t="s">
        <v>14</v>
      </c>
      <c r="C7564" t="s">
        <v>15</v>
      </c>
      <c r="D7564" t="s">
        <v>79</v>
      </c>
      <c r="E7564" t="s">
        <v>65</v>
      </c>
      <c r="F7564">
        <v>60610</v>
      </c>
      <c r="G7564" t="s">
        <v>47</v>
      </c>
      <c r="H7564" t="s">
        <v>19</v>
      </c>
      <c r="I7564" t="s">
        <v>20</v>
      </c>
      <c r="J7564">
        <v>198.744</v>
      </c>
      <c r="K7564">
        <v>4</v>
      </c>
      <c r="L7564">
        <v>0.3</v>
      </c>
      <c r="M7564">
        <v>0</v>
      </c>
    </row>
    <row r="7565" spans="1:13" x14ac:dyDescent="0.3">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
      <c r="A7570" t="s">
        <v>28</v>
      </c>
      <c r="B7570" t="s">
        <v>14</v>
      </c>
      <c r="C7570" t="s">
        <v>15</v>
      </c>
      <c r="D7570" t="s">
        <v>23</v>
      </c>
      <c r="E7570" t="s">
        <v>24</v>
      </c>
      <c r="F7570">
        <v>90045</v>
      </c>
      <c r="G7570" t="s">
        <v>25</v>
      </c>
      <c r="H7570" t="s">
        <v>26</v>
      </c>
      <c r="I7570" t="s">
        <v>34</v>
      </c>
      <c r="J7570">
        <v>26.46</v>
      </c>
      <c r="K7570">
        <v>9</v>
      </c>
      <c r="L7570">
        <v>0</v>
      </c>
      <c r="M7570">
        <v>11.907</v>
      </c>
    </row>
    <row r="7571" spans="1:13" x14ac:dyDescent="0.3">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
      <c r="A7572" t="s">
        <v>28</v>
      </c>
      <c r="B7572" t="s">
        <v>14</v>
      </c>
      <c r="C7572" t="s">
        <v>15</v>
      </c>
      <c r="D7572" t="s">
        <v>23</v>
      </c>
      <c r="E7572" t="s">
        <v>24</v>
      </c>
      <c r="F7572">
        <v>90045</v>
      </c>
      <c r="G7572" t="s">
        <v>25</v>
      </c>
      <c r="H7572" t="s">
        <v>26</v>
      </c>
      <c r="I7572" t="s">
        <v>77</v>
      </c>
      <c r="J7572">
        <v>15</v>
      </c>
      <c r="K7572">
        <v>3</v>
      </c>
      <c r="L7572">
        <v>0</v>
      </c>
      <c r="M7572">
        <v>7.2</v>
      </c>
    </row>
    <row r="7573" spans="1:13" x14ac:dyDescent="0.3">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
      <c r="A7578" t="s">
        <v>13</v>
      </c>
      <c r="B7578" t="s">
        <v>22</v>
      </c>
      <c r="C7578" t="s">
        <v>15</v>
      </c>
      <c r="D7578" t="s">
        <v>42</v>
      </c>
      <c r="E7578" t="s">
        <v>43</v>
      </c>
      <c r="F7578">
        <v>98115</v>
      </c>
      <c r="G7578" t="s">
        <v>25</v>
      </c>
      <c r="H7578" t="s">
        <v>35</v>
      </c>
      <c r="I7578" t="s">
        <v>59</v>
      </c>
      <c r="J7578">
        <v>41.94</v>
      </c>
      <c r="K7578">
        <v>2</v>
      </c>
      <c r="L7578">
        <v>0</v>
      </c>
      <c r="M7578">
        <v>15.0984</v>
      </c>
    </row>
    <row r="7579" spans="1:13" x14ac:dyDescent="0.3">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
      <c r="A7597" t="s">
        <v>28</v>
      </c>
      <c r="B7597" t="s">
        <v>14</v>
      </c>
      <c r="C7597" t="s">
        <v>15</v>
      </c>
      <c r="D7597" t="s">
        <v>140</v>
      </c>
      <c r="E7597" t="s">
        <v>70</v>
      </c>
      <c r="F7597">
        <v>48234</v>
      </c>
      <c r="G7597" t="s">
        <v>47</v>
      </c>
      <c r="H7597" t="s">
        <v>26</v>
      </c>
      <c r="I7597" t="s">
        <v>37</v>
      </c>
      <c r="J7597">
        <v>36.56</v>
      </c>
      <c r="K7597">
        <v>4</v>
      </c>
      <c r="L7597">
        <v>0</v>
      </c>
      <c r="M7597">
        <v>18.28</v>
      </c>
    </row>
    <row r="7598" spans="1:13" x14ac:dyDescent="0.3">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
      <c r="A7600" t="s">
        <v>28</v>
      </c>
      <c r="B7600" t="s">
        <v>14</v>
      </c>
      <c r="C7600" t="s">
        <v>15</v>
      </c>
      <c r="D7600" t="s">
        <v>82</v>
      </c>
      <c r="E7600" t="s">
        <v>95</v>
      </c>
      <c r="F7600">
        <v>97477</v>
      </c>
      <c r="G7600" t="s">
        <v>25</v>
      </c>
      <c r="H7600" t="s">
        <v>26</v>
      </c>
      <c r="I7600" t="s">
        <v>34</v>
      </c>
      <c r="J7600">
        <v>38.256</v>
      </c>
      <c r="K7600">
        <v>3</v>
      </c>
      <c r="L7600">
        <v>0.2</v>
      </c>
      <c r="M7600">
        <v>4.782</v>
      </c>
    </row>
    <row r="7601" spans="1:13" x14ac:dyDescent="0.3">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
      <c r="A7615" t="s">
        <v>62</v>
      </c>
      <c r="B7615" t="s">
        <v>14</v>
      </c>
      <c r="C7615" t="s">
        <v>15</v>
      </c>
      <c r="D7615" t="s">
        <v>587</v>
      </c>
      <c r="E7615" t="s">
        <v>336</v>
      </c>
      <c r="F7615">
        <v>67846</v>
      </c>
      <c r="G7615" t="s">
        <v>47</v>
      </c>
      <c r="H7615" t="s">
        <v>26</v>
      </c>
      <c r="I7615" t="s">
        <v>34</v>
      </c>
      <c r="J7615">
        <v>5.76</v>
      </c>
      <c r="K7615">
        <v>2</v>
      </c>
      <c r="L7615">
        <v>0</v>
      </c>
      <c r="M7615">
        <v>1.728</v>
      </c>
    </row>
    <row r="7616" spans="1:13" x14ac:dyDescent="0.3">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
      <c r="A7626" t="s">
        <v>13</v>
      </c>
      <c r="B7626" t="s">
        <v>44</v>
      </c>
      <c r="C7626" t="s">
        <v>15</v>
      </c>
      <c r="D7626" t="s">
        <v>140</v>
      </c>
      <c r="E7626" t="s">
        <v>70</v>
      </c>
      <c r="F7626">
        <v>48234</v>
      </c>
      <c r="G7626" t="s">
        <v>47</v>
      </c>
      <c r="H7626" t="s">
        <v>26</v>
      </c>
      <c r="I7626" t="s">
        <v>38</v>
      </c>
      <c r="J7626">
        <v>850.5</v>
      </c>
      <c r="K7626">
        <v>5</v>
      </c>
      <c r="L7626">
        <v>0.1</v>
      </c>
      <c r="M7626">
        <v>245.7</v>
      </c>
    </row>
    <row r="7627" spans="1:13" x14ac:dyDescent="0.3">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
      <c r="A7635" t="s">
        <v>13</v>
      </c>
      <c r="B7635" t="s">
        <v>14</v>
      </c>
      <c r="C7635" t="s">
        <v>15</v>
      </c>
      <c r="D7635" t="s">
        <v>183</v>
      </c>
      <c r="E7635" t="s">
        <v>17</v>
      </c>
      <c r="F7635">
        <v>40214</v>
      </c>
      <c r="G7635" t="s">
        <v>18</v>
      </c>
      <c r="H7635" t="s">
        <v>26</v>
      </c>
      <c r="I7635" t="s">
        <v>37</v>
      </c>
      <c r="J7635">
        <v>12.53</v>
      </c>
      <c r="K7635">
        <v>1</v>
      </c>
      <c r="L7635">
        <v>0</v>
      </c>
      <c r="M7635">
        <v>5.8891</v>
      </c>
    </row>
    <row r="7636" spans="1:13" x14ac:dyDescent="0.3">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
      <c r="A7661" t="s">
        <v>28</v>
      </c>
      <c r="B7661" t="s">
        <v>22</v>
      </c>
      <c r="C7661" t="s">
        <v>15</v>
      </c>
      <c r="D7661" t="s">
        <v>53</v>
      </c>
      <c r="E7661" t="s">
        <v>54</v>
      </c>
      <c r="F7661">
        <v>68025</v>
      </c>
      <c r="G7661" t="s">
        <v>47</v>
      </c>
      <c r="H7661" t="s">
        <v>26</v>
      </c>
      <c r="I7661" t="s">
        <v>37</v>
      </c>
      <c r="J7661">
        <v>53.9</v>
      </c>
      <c r="K7661">
        <v>5</v>
      </c>
      <c r="L7661">
        <v>0</v>
      </c>
      <c r="M7661">
        <v>25.872</v>
      </c>
    </row>
    <row r="7662" spans="1:13" x14ac:dyDescent="0.3">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
      <c r="A7665" t="s">
        <v>28</v>
      </c>
      <c r="B7665" t="s">
        <v>14</v>
      </c>
      <c r="C7665" t="s">
        <v>15</v>
      </c>
      <c r="D7665" t="s">
        <v>236</v>
      </c>
      <c r="E7665" t="s">
        <v>40</v>
      </c>
      <c r="F7665">
        <v>28806</v>
      </c>
      <c r="G7665" t="s">
        <v>18</v>
      </c>
      <c r="H7665" t="s">
        <v>26</v>
      </c>
      <c r="I7665" t="s">
        <v>34</v>
      </c>
      <c r="J7665">
        <v>15.92</v>
      </c>
      <c r="K7665">
        <v>5</v>
      </c>
      <c r="L7665">
        <v>0.2</v>
      </c>
      <c r="M7665">
        <v>2.786</v>
      </c>
    </row>
    <row r="7666" spans="1:13" x14ac:dyDescent="0.3">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
      <c r="A7667" t="s">
        <v>28</v>
      </c>
      <c r="B7667" t="s">
        <v>44</v>
      </c>
      <c r="C7667" t="s">
        <v>15</v>
      </c>
      <c r="D7667" t="s">
        <v>290</v>
      </c>
      <c r="E7667" t="s">
        <v>179</v>
      </c>
      <c r="F7667">
        <v>2908</v>
      </c>
      <c r="G7667" t="s">
        <v>57</v>
      </c>
      <c r="H7667" t="s">
        <v>26</v>
      </c>
      <c r="I7667" t="s">
        <v>37</v>
      </c>
      <c r="J7667">
        <v>30.4</v>
      </c>
      <c r="K7667">
        <v>1</v>
      </c>
      <c r="L7667">
        <v>0</v>
      </c>
      <c r="M7667">
        <v>13.984</v>
      </c>
    </row>
    <row r="7668" spans="1:13" x14ac:dyDescent="0.3">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
      <c r="A7690" t="s">
        <v>28</v>
      </c>
      <c r="B7690" t="s">
        <v>22</v>
      </c>
      <c r="C7690" t="s">
        <v>15</v>
      </c>
      <c r="D7690" t="s">
        <v>84</v>
      </c>
      <c r="E7690" t="s">
        <v>70</v>
      </c>
      <c r="F7690">
        <v>49201</v>
      </c>
      <c r="G7690" t="s">
        <v>47</v>
      </c>
      <c r="H7690" t="s">
        <v>35</v>
      </c>
      <c r="I7690" t="s">
        <v>59</v>
      </c>
      <c r="J7690">
        <v>160</v>
      </c>
      <c r="K7690">
        <v>8</v>
      </c>
      <c r="L7690">
        <v>0</v>
      </c>
      <c r="M7690">
        <v>62.4</v>
      </c>
    </row>
    <row r="7691" spans="1:13" x14ac:dyDescent="0.3">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
      <c r="A7694" t="s">
        <v>28</v>
      </c>
      <c r="B7694" t="s">
        <v>14</v>
      </c>
      <c r="C7694" t="s">
        <v>15</v>
      </c>
      <c r="D7694" t="s">
        <v>145</v>
      </c>
      <c r="E7694" t="s">
        <v>24</v>
      </c>
      <c r="F7694">
        <v>94513</v>
      </c>
      <c r="G7694" t="s">
        <v>25</v>
      </c>
      <c r="H7694" t="s">
        <v>26</v>
      </c>
      <c r="I7694" t="s">
        <v>27</v>
      </c>
      <c r="J7694">
        <v>88.8</v>
      </c>
      <c r="K7694">
        <v>6</v>
      </c>
      <c r="L7694">
        <v>0</v>
      </c>
      <c r="M7694">
        <v>44.4</v>
      </c>
    </row>
    <row r="7695" spans="1:13" x14ac:dyDescent="0.3">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
      <c r="A7718" t="s">
        <v>28</v>
      </c>
      <c r="B7718" t="s">
        <v>22</v>
      </c>
      <c r="C7718" t="s">
        <v>15</v>
      </c>
      <c r="D7718" t="s">
        <v>151</v>
      </c>
      <c r="E7718" t="s">
        <v>98</v>
      </c>
      <c r="F7718">
        <v>80906</v>
      </c>
      <c r="G7718" t="s">
        <v>25</v>
      </c>
      <c r="H7718" t="s">
        <v>26</v>
      </c>
      <c r="I7718" t="s">
        <v>41</v>
      </c>
      <c r="J7718">
        <v>29.6</v>
      </c>
      <c r="K7718">
        <v>5</v>
      </c>
      <c r="L7718">
        <v>0.2</v>
      </c>
      <c r="M7718">
        <v>9.25</v>
      </c>
    </row>
    <row r="7719" spans="1:13" x14ac:dyDescent="0.3">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
      <c r="A7724" t="s">
        <v>28</v>
      </c>
      <c r="B7724" t="s">
        <v>44</v>
      </c>
      <c r="C7724" t="s">
        <v>15</v>
      </c>
      <c r="D7724" t="s">
        <v>52</v>
      </c>
      <c r="E7724" t="s">
        <v>24</v>
      </c>
      <c r="F7724">
        <v>94109</v>
      </c>
      <c r="G7724" t="s">
        <v>25</v>
      </c>
      <c r="H7724" t="s">
        <v>26</v>
      </c>
      <c r="I7724" t="s">
        <v>38</v>
      </c>
      <c r="J7724">
        <v>40.74</v>
      </c>
      <c r="K7724">
        <v>3</v>
      </c>
      <c r="L7724">
        <v>0</v>
      </c>
      <c r="M7724">
        <v>12.222</v>
      </c>
    </row>
    <row r="7725" spans="1:13" x14ac:dyDescent="0.3">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
      <c r="A7742" t="s">
        <v>28</v>
      </c>
      <c r="B7742" t="s">
        <v>44</v>
      </c>
      <c r="C7742" t="s">
        <v>15</v>
      </c>
      <c r="D7742" t="s">
        <v>52</v>
      </c>
      <c r="E7742" t="s">
        <v>24</v>
      </c>
      <c r="F7742">
        <v>94110</v>
      </c>
      <c r="G7742" t="s">
        <v>25</v>
      </c>
      <c r="H7742" t="s">
        <v>35</v>
      </c>
      <c r="I7742" t="s">
        <v>59</v>
      </c>
      <c r="J7742">
        <v>94.99</v>
      </c>
      <c r="K7742">
        <v>1</v>
      </c>
      <c r="L7742">
        <v>0</v>
      </c>
      <c r="M7742">
        <v>28.497</v>
      </c>
    </row>
    <row r="7743" spans="1:13" x14ac:dyDescent="0.3">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
      <c r="A7749" t="s">
        <v>13</v>
      </c>
      <c r="B7749" t="s">
        <v>44</v>
      </c>
      <c r="C7749" t="s">
        <v>15</v>
      </c>
      <c r="D7749" t="s">
        <v>159</v>
      </c>
      <c r="E7749" t="s">
        <v>76</v>
      </c>
      <c r="F7749">
        <v>11561</v>
      </c>
      <c r="G7749" t="s">
        <v>57</v>
      </c>
      <c r="H7749" t="s">
        <v>26</v>
      </c>
      <c r="I7749" t="s">
        <v>77</v>
      </c>
      <c r="J7749">
        <v>7.56</v>
      </c>
      <c r="K7749">
        <v>6</v>
      </c>
      <c r="L7749">
        <v>0</v>
      </c>
      <c r="M7749">
        <v>0.3024</v>
      </c>
    </row>
    <row r="7750" spans="1:13" x14ac:dyDescent="0.3">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
      <c r="A7759" t="s">
        <v>13</v>
      </c>
      <c r="B7759" t="s">
        <v>22</v>
      </c>
      <c r="C7759" t="s">
        <v>15</v>
      </c>
      <c r="D7759" t="s">
        <v>283</v>
      </c>
      <c r="E7759" t="s">
        <v>76</v>
      </c>
      <c r="F7759">
        <v>14215</v>
      </c>
      <c r="G7759" t="s">
        <v>57</v>
      </c>
      <c r="H7759" t="s">
        <v>35</v>
      </c>
      <c r="I7759" t="s">
        <v>36</v>
      </c>
      <c r="J7759">
        <v>43.6</v>
      </c>
      <c r="K7759">
        <v>4</v>
      </c>
      <c r="L7759">
        <v>0</v>
      </c>
      <c r="M7759">
        <v>12.208</v>
      </c>
    </row>
    <row r="7760" spans="1:13" x14ac:dyDescent="0.3">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
      <c r="A7787" t="s">
        <v>28</v>
      </c>
      <c r="B7787" t="s">
        <v>14</v>
      </c>
      <c r="C7787" t="s">
        <v>15</v>
      </c>
      <c r="D7787" t="s">
        <v>75</v>
      </c>
      <c r="E7787" t="s">
        <v>76</v>
      </c>
      <c r="F7787">
        <v>10009</v>
      </c>
      <c r="G7787" t="s">
        <v>57</v>
      </c>
      <c r="H7787" t="s">
        <v>26</v>
      </c>
      <c r="I7787" t="s">
        <v>27</v>
      </c>
      <c r="J7787">
        <v>25.06</v>
      </c>
      <c r="K7787">
        <v>2</v>
      </c>
      <c r="L7787">
        <v>0</v>
      </c>
      <c r="M7787">
        <v>11.7782</v>
      </c>
    </row>
    <row r="7788" spans="1:13" x14ac:dyDescent="0.3">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
      <c r="A7793" t="s">
        <v>28</v>
      </c>
      <c r="B7793" t="s">
        <v>22</v>
      </c>
      <c r="C7793" t="s">
        <v>15</v>
      </c>
      <c r="D7793" t="s">
        <v>79</v>
      </c>
      <c r="E7793" t="s">
        <v>65</v>
      </c>
      <c r="F7793">
        <v>60623</v>
      </c>
      <c r="G7793" t="s">
        <v>47</v>
      </c>
      <c r="H7793" t="s">
        <v>26</v>
      </c>
      <c r="I7793" t="s">
        <v>37</v>
      </c>
      <c r="J7793">
        <v>1.8</v>
      </c>
      <c r="K7793">
        <v>5</v>
      </c>
      <c r="L7793">
        <v>0.8</v>
      </c>
      <c r="M7793">
        <v>-2.88</v>
      </c>
    </row>
    <row r="7794" spans="1:13" x14ac:dyDescent="0.3">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
      <c r="A7796" t="s">
        <v>13</v>
      </c>
      <c r="B7796" t="s">
        <v>22</v>
      </c>
      <c r="C7796" t="s">
        <v>15</v>
      </c>
      <c r="D7796" t="s">
        <v>176</v>
      </c>
      <c r="E7796" t="s">
        <v>177</v>
      </c>
      <c r="F7796">
        <v>89115</v>
      </c>
      <c r="G7796" t="s">
        <v>25</v>
      </c>
      <c r="H7796" t="s">
        <v>26</v>
      </c>
      <c r="I7796" t="s">
        <v>41</v>
      </c>
      <c r="J7796">
        <v>97.88</v>
      </c>
      <c r="K7796">
        <v>2</v>
      </c>
      <c r="L7796">
        <v>0</v>
      </c>
      <c r="M7796">
        <v>48.94</v>
      </c>
    </row>
    <row r="7797" spans="1:13" x14ac:dyDescent="0.3">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
      <c r="A7799" t="s">
        <v>62</v>
      </c>
      <c r="B7799" t="s">
        <v>22</v>
      </c>
      <c r="C7799" t="s">
        <v>15</v>
      </c>
      <c r="D7799" t="s">
        <v>75</v>
      </c>
      <c r="E7799" t="s">
        <v>76</v>
      </c>
      <c r="F7799">
        <v>10035</v>
      </c>
      <c r="G7799" t="s">
        <v>57</v>
      </c>
      <c r="H7799" t="s">
        <v>26</v>
      </c>
      <c r="I7799" t="s">
        <v>60</v>
      </c>
      <c r="J7799">
        <v>47.01</v>
      </c>
      <c r="K7799">
        <v>3</v>
      </c>
      <c r="L7799">
        <v>0</v>
      </c>
      <c r="M7799">
        <v>22.0947</v>
      </c>
    </row>
    <row r="7800" spans="1:13" x14ac:dyDescent="0.3">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
      <c r="A7804" t="s">
        <v>28</v>
      </c>
      <c r="B7804" t="s">
        <v>44</v>
      </c>
      <c r="C7804" t="s">
        <v>15</v>
      </c>
      <c r="D7804" t="s">
        <v>115</v>
      </c>
      <c r="E7804" t="s">
        <v>86</v>
      </c>
      <c r="F7804">
        <v>37064</v>
      </c>
      <c r="G7804" t="s">
        <v>18</v>
      </c>
      <c r="H7804" t="s">
        <v>26</v>
      </c>
      <c r="I7804" t="s">
        <v>27</v>
      </c>
      <c r="J7804">
        <v>12</v>
      </c>
      <c r="K7804">
        <v>4</v>
      </c>
      <c r="L7804">
        <v>0.2</v>
      </c>
      <c r="M7804">
        <v>4.2</v>
      </c>
    </row>
    <row r="7805" spans="1:13" x14ac:dyDescent="0.3">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
      <c r="A7817" t="s">
        <v>62</v>
      </c>
      <c r="B7817" t="s">
        <v>44</v>
      </c>
      <c r="C7817" t="s">
        <v>15</v>
      </c>
      <c r="D7817" t="s">
        <v>23</v>
      </c>
      <c r="E7817" t="s">
        <v>24</v>
      </c>
      <c r="F7817">
        <v>90049</v>
      </c>
      <c r="G7817" t="s">
        <v>25</v>
      </c>
      <c r="H7817" t="s">
        <v>35</v>
      </c>
      <c r="I7817" t="s">
        <v>36</v>
      </c>
      <c r="J7817">
        <v>17.52</v>
      </c>
      <c r="K7817">
        <v>2</v>
      </c>
      <c r="L7817">
        <v>0.2</v>
      </c>
      <c r="M7817">
        <v>-3.504</v>
      </c>
    </row>
    <row r="7818" spans="1:13" x14ac:dyDescent="0.3">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
      <c r="A7843" t="s">
        <v>28</v>
      </c>
      <c r="B7843" t="s">
        <v>14</v>
      </c>
      <c r="C7843" t="s">
        <v>15</v>
      </c>
      <c r="D7843" t="s">
        <v>75</v>
      </c>
      <c r="E7843" t="s">
        <v>76</v>
      </c>
      <c r="F7843">
        <v>10024</v>
      </c>
      <c r="G7843" t="s">
        <v>57</v>
      </c>
      <c r="H7843" t="s">
        <v>26</v>
      </c>
      <c r="I7843" t="s">
        <v>38</v>
      </c>
      <c r="J7843">
        <v>45.96</v>
      </c>
      <c r="K7843">
        <v>2</v>
      </c>
      <c r="L7843">
        <v>0</v>
      </c>
      <c r="M7843">
        <v>13.788</v>
      </c>
    </row>
    <row r="7844" spans="1:13" x14ac:dyDescent="0.3">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
      <c r="A7852" t="s">
        <v>28</v>
      </c>
      <c r="B7852" t="s">
        <v>14</v>
      </c>
      <c r="C7852" t="s">
        <v>15</v>
      </c>
      <c r="D7852" t="s">
        <v>303</v>
      </c>
      <c r="E7852" t="s">
        <v>46</v>
      </c>
      <c r="F7852">
        <v>75061</v>
      </c>
      <c r="G7852" t="s">
        <v>47</v>
      </c>
      <c r="H7852" t="s">
        <v>26</v>
      </c>
      <c r="I7852" t="s">
        <v>27</v>
      </c>
      <c r="J7852">
        <v>5.04</v>
      </c>
      <c r="K7852">
        <v>2</v>
      </c>
      <c r="L7852">
        <v>0.2</v>
      </c>
      <c r="M7852">
        <v>1.764</v>
      </c>
    </row>
    <row r="7853" spans="1:13" x14ac:dyDescent="0.3">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
      <c r="A7857" t="s">
        <v>28</v>
      </c>
      <c r="B7857" t="s">
        <v>14</v>
      </c>
      <c r="C7857" t="s">
        <v>15</v>
      </c>
      <c r="D7857" t="s">
        <v>504</v>
      </c>
      <c r="E7857" t="s">
        <v>185</v>
      </c>
      <c r="F7857">
        <v>39401</v>
      </c>
      <c r="G7857" t="s">
        <v>18</v>
      </c>
      <c r="H7857" t="s">
        <v>35</v>
      </c>
      <c r="I7857" t="s">
        <v>59</v>
      </c>
      <c r="J7857">
        <v>52</v>
      </c>
      <c r="K7857">
        <v>4</v>
      </c>
      <c r="L7857">
        <v>0</v>
      </c>
      <c r="M7857">
        <v>23.4</v>
      </c>
    </row>
    <row r="7858" spans="1:13" x14ac:dyDescent="0.3">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
      <c r="A7859" t="s">
        <v>62</v>
      </c>
      <c r="B7859" t="s">
        <v>22</v>
      </c>
      <c r="C7859" t="s">
        <v>15</v>
      </c>
      <c r="D7859" t="s">
        <v>75</v>
      </c>
      <c r="E7859" t="s">
        <v>76</v>
      </c>
      <c r="F7859">
        <v>10024</v>
      </c>
      <c r="G7859" t="s">
        <v>57</v>
      </c>
      <c r="H7859" t="s">
        <v>35</v>
      </c>
      <c r="I7859" t="s">
        <v>36</v>
      </c>
      <c r="J7859">
        <v>464</v>
      </c>
      <c r="K7859">
        <v>5</v>
      </c>
      <c r="L7859">
        <v>0</v>
      </c>
      <c r="M7859">
        <v>134.56</v>
      </c>
    </row>
    <row r="7860" spans="1:13" x14ac:dyDescent="0.3">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
      <c r="A7864" t="s">
        <v>28</v>
      </c>
      <c r="B7864" t="s">
        <v>14</v>
      </c>
      <c r="C7864" t="s">
        <v>15</v>
      </c>
      <c r="D7864" t="s">
        <v>42</v>
      </c>
      <c r="E7864" t="s">
        <v>43</v>
      </c>
      <c r="F7864">
        <v>98103</v>
      </c>
      <c r="G7864" t="s">
        <v>25</v>
      </c>
      <c r="H7864" t="s">
        <v>26</v>
      </c>
      <c r="I7864" t="s">
        <v>32</v>
      </c>
      <c r="J7864">
        <v>81.96</v>
      </c>
      <c r="K7864">
        <v>2</v>
      </c>
      <c r="L7864">
        <v>0</v>
      </c>
      <c r="M7864">
        <v>0</v>
      </c>
    </row>
    <row r="7865" spans="1:13" x14ac:dyDescent="0.3">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
      <c r="A7871" t="s">
        <v>28</v>
      </c>
      <c r="B7871" t="s">
        <v>14</v>
      </c>
      <c r="C7871" t="s">
        <v>15</v>
      </c>
      <c r="D7871" t="s">
        <v>189</v>
      </c>
      <c r="E7871" t="s">
        <v>40</v>
      </c>
      <c r="F7871">
        <v>28540</v>
      </c>
      <c r="G7871" t="s">
        <v>18</v>
      </c>
      <c r="H7871" t="s">
        <v>35</v>
      </c>
      <c r="I7871" t="s">
        <v>59</v>
      </c>
      <c r="J7871">
        <v>24</v>
      </c>
      <c r="K7871">
        <v>2</v>
      </c>
      <c r="L7871">
        <v>0.2</v>
      </c>
      <c r="M7871">
        <v>-2.7</v>
      </c>
    </row>
    <row r="7872" spans="1:13" x14ac:dyDescent="0.3">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
      <c r="A7879" t="s">
        <v>28</v>
      </c>
      <c r="B7879" t="s">
        <v>14</v>
      </c>
      <c r="C7879" t="s">
        <v>15</v>
      </c>
      <c r="D7879" t="s">
        <v>99</v>
      </c>
      <c r="E7879" t="s">
        <v>40</v>
      </c>
      <c r="F7879">
        <v>28205</v>
      </c>
      <c r="G7879" t="s">
        <v>18</v>
      </c>
      <c r="H7879" t="s">
        <v>26</v>
      </c>
      <c r="I7879" t="s">
        <v>27</v>
      </c>
      <c r="J7879">
        <v>5.04</v>
      </c>
      <c r="K7879">
        <v>2</v>
      </c>
      <c r="L7879">
        <v>0.2</v>
      </c>
      <c r="M7879">
        <v>1.764</v>
      </c>
    </row>
    <row r="7880" spans="1:13" x14ac:dyDescent="0.3">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
      <c r="A7890" t="s">
        <v>28</v>
      </c>
      <c r="B7890" t="s">
        <v>14</v>
      </c>
      <c r="C7890" t="s">
        <v>15</v>
      </c>
      <c r="D7890" t="s">
        <v>590</v>
      </c>
      <c r="E7890" t="s">
        <v>24</v>
      </c>
      <c r="F7890">
        <v>95616</v>
      </c>
      <c r="G7890" t="s">
        <v>25</v>
      </c>
      <c r="H7890" t="s">
        <v>26</v>
      </c>
      <c r="I7890" t="s">
        <v>41</v>
      </c>
      <c r="J7890">
        <v>32.4</v>
      </c>
      <c r="K7890">
        <v>5</v>
      </c>
      <c r="L7890">
        <v>0</v>
      </c>
      <c r="M7890">
        <v>15.552</v>
      </c>
    </row>
    <row r="7891" spans="1:13" x14ac:dyDescent="0.3">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
      <c r="A7908" t="s">
        <v>28</v>
      </c>
      <c r="B7908" t="s">
        <v>44</v>
      </c>
      <c r="C7908" t="s">
        <v>15</v>
      </c>
      <c r="D7908" t="s">
        <v>135</v>
      </c>
      <c r="E7908" t="s">
        <v>46</v>
      </c>
      <c r="F7908">
        <v>75217</v>
      </c>
      <c r="G7908" t="s">
        <v>47</v>
      </c>
      <c r="H7908" t="s">
        <v>26</v>
      </c>
      <c r="I7908" t="s">
        <v>37</v>
      </c>
      <c r="J7908">
        <v>3.96</v>
      </c>
      <c r="K7908">
        <v>10</v>
      </c>
      <c r="L7908">
        <v>0.8</v>
      </c>
      <c r="M7908">
        <v>-6.93</v>
      </c>
    </row>
    <row r="7909" spans="1:13" x14ac:dyDescent="0.3">
      <c r="A7909" t="s">
        <v>62</v>
      </c>
      <c r="B7909" t="s">
        <v>22</v>
      </c>
      <c r="C7909" t="s">
        <v>15</v>
      </c>
      <c r="D7909" t="s">
        <v>52</v>
      </c>
      <c r="E7909" t="s">
        <v>24</v>
      </c>
      <c r="F7909">
        <v>94122</v>
      </c>
      <c r="G7909" t="s">
        <v>25</v>
      </c>
      <c r="H7909" t="s">
        <v>26</v>
      </c>
      <c r="I7909" t="s">
        <v>38</v>
      </c>
      <c r="J7909">
        <v>715.64</v>
      </c>
      <c r="K7909">
        <v>2</v>
      </c>
      <c r="L7909">
        <v>0</v>
      </c>
      <c r="M7909">
        <v>178.91</v>
      </c>
    </row>
    <row r="7910" spans="1:13" x14ac:dyDescent="0.3">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
      <c r="A7926" t="s">
        <v>62</v>
      </c>
      <c r="B7926" t="s">
        <v>14</v>
      </c>
      <c r="C7926" t="s">
        <v>15</v>
      </c>
      <c r="D7926" t="s">
        <v>82</v>
      </c>
      <c r="E7926" t="s">
        <v>83</v>
      </c>
      <c r="F7926">
        <v>22153</v>
      </c>
      <c r="G7926" t="s">
        <v>18</v>
      </c>
      <c r="H7926" t="s">
        <v>26</v>
      </c>
      <c r="I7926" t="s">
        <v>37</v>
      </c>
      <c r="J7926">
        <v>22.32</v>
      </c>
      <c r="K7926">
        <v>4</v>
      </c>
      <c r="L7926">
        <v>0</v>
      </c>
      <c r="M7926">
        <v>10.7136</v>
      </c>
    </row>
    <row r="7927" spans="1:13" x14ac:dyDescent="0.3">
      <c r="A7927" t="s">
        <v>62</v>
      </c>
      <c r="B7927" t="s">
        <v>14</v>
      </c>
      <c r="C7927" t="s">
        <v>15</v>
      </c>
      <c r="D7927" t="s">
        <v>82</v>
      </c>
      <c r="E7927" t="s">
        <v>83</v>
      </c>
      <c r="F7927">
        <v>22153</v>
      </c>
      <c r="G7927" t="s">
        <v>18</v>
      </c>
      <c r="H7927" t="s">
        <v>26</v>
      </c>
      <c r="I7927" t="s">
        <v>27</v>
      </c>
      <c r="J7927">
        <v>103.6</v>
      </c>
      <c r="K7927">
        <v>7</v>
      </c>
      <c r="L7927">
        <v>0</v>
      </c>
      <c r="M7927">
        <v>51.8</v>
      </c>
    </row>
    <row r="7928" spans="1:13" x14ac:dyDescent="0.3">
      <c r="A7928" t="s">
        <v>13</v>
      </c>
      <c r="B7928" t="s">
        <v>22</v>
      </c>
      <c r="C7928" t="s">
        <v>15</v>
      </c>
      <c r="D7928" t="s">
        <v>75</v>
      </c>
      <c r="E7928" t="s">
        <v>76</v>
      </c>
      <c r="F7928">
        <v>10035</v>
      </c>
      <c r="G7928" t="s">
        <v>57</v>
      </c>
      <c r="H7928" t="s">
        <v>35</v>
      </c>
      <c r="I7928" t="s">
        <v>59</v>
      </c>
      <c r="J7928">
        <v>2.97</v>
      </c>
      <c r="K7928">
        <v>3</v>
      </c>
      <c r="L7928">
        <v>0</v>
      </c>
      <c r="M7928">
        <v>1.3365</v>
      </c>
    </row>
    <row r="7929" spans="1:13" x14ac:dyDescent="0.3">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
      <c r="A7935" t="s">
        <v>28</v>
      </c>
      <c r="B7935" t="s">
        <v>22</v>
      </c>
      <c r="C7935" t="s">
        <v>15</v>
      </c>
      <c r="D7935" t="s">
        <v>145</v>
      </c>
      <c r="E7935" t="s">
        <v>24</v>
      </c>
      <c r="F7935">
        <v>94513</v>
      </c>
      <c r="G7935" t="s">
        <v>25</v>
      </c>
      <c r="H7935" t="s">
        <v>26</v>
      </c>
      <c r="I7935" t="s">
        <v>60</v>
      </c>
      <c r="J7935">
        <v>23.36</v>
      </c>
      <c r="K7935">
        <v>2</v>
      </c>
      <c r="L7935">
        <v>0</v>
      </c>
      <c r="M7935">
        <v>11.68</v>
      </c>
    </row>
    <row r="7936" spans="1:13" x14ac:dyDescent="0.3">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
      <c r="A7950" t="s">
        <v>28</v>
      </c>
      <c r="B7950" t="s">
        <v>14</v>
      </c>
      <c r="C7950" t="s">
        <v>15</v>
      </c>
      <c r="D7950" t="s">
        <v>321</v>
      </c>
      <c r="E7950" t="s">
        <v>46</v>
      </c>
      <c r="F7950">
        <v>79907</v>
      </c>
      <c r="G7950" t="s">
        <v>47</v>
      </c>
      <c r="H7950" t="s">
        <v>19</v>
      </c>
      <c r="I7950" t="s">
        <v>21</v>
      </c>
      <c r="J7950">
        <v>362.25</v>
      </c>
      <c r="K7950">
        <v>6</v>
      </c>
      <c r="L7950">
        <v>0.3</v>
      </c>
      <c r="M7950">
        <v>0</v>
      </c>
    </row>
    <row r="7951" spans="1:13" x14ac:dyDescent="0.3">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
      <c r="A7968" t="s">
        <v>28</v>
      </c>
      <c r="B7968" t="s">
        <v>22</v>
      </c>
      <c r="C7968" t="s">
        <v>15</v>
      </c>
      <c r="D7968" t="s">
        <v>23</v>
      </c>
      <c r="E7968" t="s">
        <v>24</v>
      </c>
      <c r="F7968">
        <v>90049</v>
      </c>
      <c r="G7968" t="s">
        <v>25</v>
      </c>
      <c r="H7968" t="s">
        <v>26</v>
      </c>
      <c r="I7968" t="s">
        <v>41</v>
      </c>
      <c r="J7968">
        <v>33.36</v>
      </c>
      <c r="K7968">
        <v>4</v>
      </c>
      <c r="L7968">
        <v>0</v>
      </c>
      <c r="M7968">
        <v>16.68</v>
      </c>
    </row>
    <row r="7969" spans="1:13" x14ac:dyDescent="0.3">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
      <c r="A7976" t="s">
        <v>28</v>
      </c>
      <c r="B7976" t="s">
        <v>22</v>
      </c>
      <c r="C7976" t="s">
        <v>15</v>
      </c>
      <c r="D7976" t="s">
        <v>55</v>
      </c>
      <c r="E7976" t="s">
        <v>56</v>
      </c>
      <c r="F7976">
        <v>19134</v>
      </c>
      <c r="G7976" t="s">
        <v>57</v>
      </c>
      <c r="H7976" t="s">
        <v>19</v>
      </c>
      <c r="I7976" t="s">
        <v>33</v>
      </c>
      <c r="J7976">
        <v>254.352</v>
      </c>
      <c r="K7976">
        <v>3</v>
      </c>
      <c r="L7976">
        <v>0.2</v>
      </c>
      <c r="M7976">
        <v>0</v>
      </c>
    </row>
    <row r="7977" spans="1:13" x14ac:dyDescent="0.3">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
      <c r="A7978" t="s">
        <v>28</v>
      </c>
      <c r="B7978" t="s">
        <v>22</v>
      </c>
      <c r="C7978" t="s">
        <v>15</v>
      </c>
      <c r="D7978" t="s">
        <v>55</v>
      </c>
      <c r="E7978" t="s">
        <v>56</v>
      </c>
      <c r="F7978">
        <v>19134</v>
      </c>
      <c r="G7978" t="s">
        <v>57</v>
      </c>
      <c r="H7978" t="s">
        <v>26</v>
      </c>
      <c r="I7978" t="s">
        <v>41</v>
      </c>
      <c r="J7978">
        <v>10.272</v>
      </c>
      <c r="K7978">
        <v>3</v>
      </c>
      <c r="L7978">
        <v>0.2</v>
      </c>
      <c r="M7978">
        <v>3.21</v>
      </c>
    </row>
    <row r="7979" spans="1:13" x14ac:dyDescent="0.3">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
      <c r="A7984" t="s">
        <v>62</v>
      </c>
      <c r="B7984" t="s">
        <v>14</v>
      </c>
      <c r="C7984" t="s">
        <v>15</v>
      </c>
      <c r="D7984" t="s">
        <v>593</v>
      </c>
      <c r="E7984" t="s">
        <v>132</v>
      </c>
      <c r="F7984">
        <v>7011</v>
      </c>
      <c r="G7984" t="s">
        <v>57</v>
      </c>
      <c r="H7984" t="s">
        <v>19</v>
      </c>
      <c r="I7984" t="s">
        <v>33</v>
      </c>
      <c r="J7984">
        <v>254.9</v>
      </c>
      <c r="K7984">
        <v>5</v>
      </c>
      <c r="L7984">
        <v>0</v>
      </c>
      <c r="M7984">
        <v>76.47</v>
      </c>
    </row>
    <row r="7985" spans="1:13" x14ac:dyDescent="0.3">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
      <c r="A7998" t="s">
        <v>62</v>
      </c>
      <c r="B7998" t="s">
        <v>44</v>
      </c>
      <c r="C7998" t="s">
        <v>15</v>
      </c>
      <c r="D7998" t="s">
        <v>144</v>
      </c>
      <c r="E7998" t="s">
        <v>24</v>
      </c>
      <c r="F7998">
        <v>92037</v>
      </c>
      <c r="G7998" t="s">
        <v>25</v>
      </c>
      <c r="H7998" t="s">
        <v>35</v>
      </c>
      <c r="I7998" t="s">
        <v>59</v>
      </c>
      <c r="J7998">
        <v>199.75</v>
      </c>
      <c r="K7998">
        <v>5</v>
      </c>
      <c r="L7998">
        <v>0</v>
      </c>
      <c r="M7998">
        <v>87.89</v>
      </c>
    </row>
    <row r="7999" spans="1:13" x14ac:dyDescent="0.3">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
      <c r="A8015" t="s">
        <v>168</v>
      </c>
      <c r="B8015" t="s">
        <v>14</v>
      </c>
      <c r="C8015" t="s">
        <v>15</v>
      </c>
      <c r="D8015" t="s">
        <v>75</v>
      </c>
      <c r="E8015" t="s">
        <v>76</v>
      </c>
      <c r="F8015">
        <v>10009</v>
      </c>
      <c r="G8015" t="s">
        <v>57</v>
      </c>
      <c r="H8015" t="s">
        <v>35</v>
      </c>
      <c r="I8015" t="s">
        <v>59</v>
      </c>
      <c r="J8015">
        <v>120</v>
      </c>
      <c r="K8015">
        <v>8</v>
      </c>
      <c r="L8015">
        <v>0</v>
      </c>
      <c r="M8015">
        <v>13.2</v>
      </c>
    </row>
    <row r="8016" spans="1:13" x14ac:dyDescent="0.3">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
      <c r="A8026" t="s">
        <v>28</v>
      </c>
      <c r="B8026" t="s">
        <v>22</v>
      </c>
      <c r="C8026" t="s">
        <v>15</v>
      </c>
      <c r="D8026" t="s">
        <v>135</v>
      </c>
      <c r="E8026" t="s">
        <v>46</v>
      </c>
      <c r="F8026">
        <v>75217</v>
      </c>
      <c r="G8026" t="s">
        <v>47</v>
      </c>
      <c r="H8026" t="s">
        <v>26</v>
      </c>
      <c r="I8026" t="s">
        <v>37</v>
      </c>
      <c r="J8026">
        <v>1.044</v>
      </c>
      <c r="K8026">
        <v>1</v>
      </c>
      <c r="L8026">
        <v>0.8</v>
      </c>
      <c r="M8026">
        <v>-1.827</v>
      </c>
    </row>
    <row r="8027" spans="1:13" x14ac:dyDescent="0.3">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
      <c r="A8038" t="s">
        <v>62</v>
      </c>
      <c r="B8038" t="s">
        <v>14</v>
      </c>
      <c r="C8038" t="s">
        <v>15</v>
      </c>
      <c r="D8038" t="s">
        <v>184</v>
      </c>
      <c r="E8038" t="s">
        <v>166</v>
      </c>
      <c r="F8038">
        <v>1841</v>
      </c>
      <c r="G8038" t="s">
        <v>57</v>
      </c>
      <c r="H8038" t="s">
        <v>26</v>
      </c>
      <c r="I8038" t="s">
        <v>37</v>
      </c>
      <c r="J8038">
        <v>37.68</v>
      </c>
      <c r="K8038">
        <v>6</v>
      </c>
      <c r="L8038">
        <v>0</v>
      </c>
      <c r="M8038">
        <v>16.956</v>
      </c>
    </row>
    <row r="8039" spans="1:13" x14ac:dyDescent="0.3">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
      <c r="A8043" t="s">
        <v>13</v>
      </c>
      <c r="B8043" t="s">
        <v>22</v>
      </c>
      <c r="C8043" t="s">
        <v>15</v>
      </c>
      <c r="D8043" t="s">
        <v>42</v>
      </c>
      <c r="E8043" t="s">
        <v>43</v>
      </c>
      <c r="F8043">
        <v>98115</v>
      </c>
      <c r="G8043" t="s">
        <v>25</v>
      </c>
      <c r="H8043" t="s">
        <v>35</v>
      </c>
      <c r="I8043" t="s">
        <v>59</v>
      </c>
      <c r="J8043">
        <v>33.18</v>
      </c>
      <c r="K8043">
        <v>2</v>
      </c>
      <c r="L8043">
        <v>0</v>
      </c>
      <c r="M8043">
        <v>11.613</v>
      </c>
    </row>
    <row r="8044" spans="1:13" x14ac:dyDescent="0.3">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
      <c r="A8051" t="s">
        <v>28</v>
      </c>
      <c r="B8051" t="s">
        <v>22</v>
      </c>
      <c r="C8051" t="s">
        <v>15</v>
      </c>
      <c r="D8051" t="s">
        <v>55</v>
      </c>
      <c r="E8051" t="s">
        <v>56</v>
      </c>
      <c r="F8051">
        <v>19140</v>
      </c>
      <c r="G8051" t="s">
        <v>57</v>
      </c>
      <c r="H8051" t="s">
        <v>26</v>
      </c>
      <c r="I8051" t="s">
        <v>37</v>
      </c>
      <c r="J8051">
        <v>5.97</v>
      </c>
      <c r="K8051">
        <v>5</v>
      </c>
      <c r="L8051">
        <v>0.7</v>
      </c>
      <c r="M8051">
        <v>-4.577</v>
      </c>
    </row>
    <row r="8052" spans="1:13" x14ac:dyDescent="0.3">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
      <c r="A8059" t="s">
        <v>28</v>
      </c>
      <c r="B8059" t="s">
        <v>14</v>
      </c>
      <c r="C8059" t="s">
        <v>15</v>
      </c>
      <c r="D8059" t="s">
        <v>23</v>
      </c>
      <c r="E8059" t="s">
        <v>24</v>
      </c>
      <c r="F8059">
        <v>90049</v>
      </c>
      <c r="G8059" t="s">
        <v>25</v>
      </c>
      <c r="H8059" t="s">
        <v>26</v>
      </c>
      <c r="I8059" t="s">
        <v>37</v>
      </c>
      <c r="J8059">
        <v>41.36</v>
      </c>
      <c r="K8059">
        <v>5</v>
      </c>
      <c r="L8059">
        <v>0.2</v>
      </c>
      <c r="M8059">
        <v>13.959</v>
      </c>
    </row>
    <row r="8060" spans="1:13" x14ac:dyDescent="0.3">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
      <c r="A8080" t="s">
        <v>28</v>
      </c>
      <c r="B8080" t="s">
        <v>22</v>
      </c>
      <c r="C8080" t="s">
        <v>15</v>
      </c>
      <c r="D8080" t="s">
        <v>595</v>
      </c>
      <c r="E8080" t="s">
        <v>167</v>
      </c>
      <c r="F8080">
        <v>30344</v>
      </c>
      <c r="G8080" t="s">
        <v>18</v>
      </c>
      <c r="H8080" t="s">
        <v>35</v>
      </c>
      <c r="I8080" t="s">
        <v>59</v>
      </c>
      <c r="J8080">
        <v>75</v>
      </c>
      <c r="K8080">
        <v>3</v>
      </c>
      <c r="L8080">
        <v>0</v>
      </c>
      <c r="M8080">
        <v>18</v>
      </c>
    </row>
    <row r="8081" spans="1:13" x14ac:dyDescent="0.3">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
      <c r="A8093" t="s">
        <v>28</v>
      </c>
      <c r="B8093" t="s">
        <v>14</v>
      </c>
      <c r="C8093" t="s">
        <v>15</v>
      </c>
      <c r="D8093" t="s">
        <v>52</v>
      </c>
      <c r="E8093" t="s">
        <v>24</v>
      </c>
      <c r="F8093">
        <v>94110</v>
      </c>
      <c r="G8093" t="s">
        <v>25</v>
      </c>
      <c r="H8093" t="s">
        <v>26</v>
      </c>
      <c r="I8093" t="s">
        <v>27</v>
      </c>
      <c r="J8093">
        <v>5.76</v>
      </c>
      <c r="K8093">
        <v>2</v>
      </c>
      <c r="L8093">
        <v>0</v>
      </c>
      <c r="M8093">
        <v>2.8224</v>
      </c>
    </row>
    <row r="8094" spans="1:13" x14ac:dyDescent="0.3">
      <c r="A8094" t="s">
        <v>13</v>
      </c>
      <c r="B8094" t="s">
        <v>44</v>
      </c>
      <c r="C8094" t="s">
        <v>15</v>
      </c>
      <c r="D8094" t="s">
        <v>75</v>
      </c>
      <c r="E8094" t="s">
        <v>76</v>
      </c>
      <c r="F8094">
        <v>10035</v>
      </c>
      <c r="G8094" t="s">
        <v>57</v>
      </c>
      <c r="H8094" t="s">
        <v>26</v>
      </c>
      <c r="I8094" t="s">
        <v>34</v>
      </c>
      <c r="J8094">
        <v>109.9</v>
      </c>
      <c r="K8094">
        <v>5</v>
      </c>
      <c r="L8094">
        <v>0</v>
      </c>
      <c r="M8094">
        <v>32.97</v>
      </c>
    </row>
    <row r="8095" spans="1:13" x14ac:dyDescent="0.3">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
      <c r="A8096" t="s">
        <v>13</v>
      </c>
      <c r="B8096" t="s">
        <v>14</v>
      </c>
      <c r="C8096" t="s">
        <v>15</v>
      </c>
      <c r="D8096" t="s">
        <v>42</v>
      </c>
      <c r="E8096" t="s">
        <v>43</v>
      </c>
      <c r="F8096">
        <v>98115</v>
      </c>
      <c r="G8096" t="s">
        <v>25</v>
      </c>
      <c r="H8096" t="s">
        <v>26</v>
      </c>
      <c r="I8096" t="s">
        <v>41</v>
      </c>
      <c r="J8096">
        <v>26.2</v>
      </c>
      <c r="K8096">
        <v>4</v>
      </c>
      <c r="L8096">
        <v>0</v>
      </c>
      <c r="M8096">
        <v>12.052</v>
      </c>
    </row>
    <row r="8097" spans="1:13" x14ac:dyDescent="0.3">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
      <c r="A8148" t="s">
        <v>28</v>
      </c>
      <c r="B8148" t="s">
        <v>14</v>
      </c>
      <c r="C8148" t="s">
        <v>15</v>
      </c>
      <c r="D8148" t="s">
        <v>499</v>
      </c>
      <c r="E8148" t="s">
        <v>119</v>
      </c>
      <c r="F8148">
        <v>73505</v>
      </c>
      <c r="G8148" t="s">
        <v>47</v>
      </c>
      <c r="H8148" t="s">
        <v>26</v>
      </c>
      <c r="I8148" t="s">
        <v>34</v>
      </c>
      <c r="J8148">
        <v>3.52</v>
      </c>
      <c r="K8148">
        <v>2</v>
      </c>
      <c r="L8148">
        <v>0</v>
      </c>
      <c r="M8148">
        <v>1.6896</v>
      </c>
    </row>
    <row r="8149" spans="1:13" x14ac:dyDescent="0.3">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
      <c r="A8156" t="s">
        <v>28</v>
      </c>
      <c r="B8156" t="s">
        <v>14</v>
      </c>
      <c r="C8156" t="s">
        <v>15</v>
      </c>
      <c r="D8156" t="s">
        <v>294</v>
      </c>
      <c r="E8156" t="s">
        <v>127</v>
      </c>
      <c r="F8156">
        <v>6457</v>
      </c>
      <c r="G8156" t="s">
        <v>57</v>
      </c>
      <c r="H8156" t="s">
        <v>35</v>
      </c>
      <c r="I8156" t="s">
        <v>59</v>
      </c>
      <c r="J8156">
        <v>238</v>
      </c>
      <c r="K8156">
        <v>2</v>
      </c>
      <c r="L8156">
        <v>0</v>
      </c>
      <c r="M8156">
        <v>38.08</v>
      </c>
    </row>
    <row r="8157" spans="1:13" x14ac:dyDescent="0.3">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
      <c r="A8159" t="s">
        <v>28</v>
      </c>
      <c r="B8159" t="s">
        <v>14</v>
      </c>
      <c r="C8159" t="s">
        <v>15</v>
      </c>
      <c r="D8159" t="s">
        <v>144</v>
      </c>
      <c r="E8159" t="s">
        <v>24</v>
      </c>
      <c r="F8159">
        <v>92105</v>
      </c>
      <c r="G8159" t="s">
        <v>25</v>
      </c>
      <c r="H8159" t="s">
        <v>35</v>
      </c>
      <c r="I8159" t="s">
        <v>59</v>
      </c>
      <c r="J8159">
        <v>595</v>
      </c>
      <c r="K8159">
        <v>5</v>
      </c>
      <c r="L8159">
        <v>0</v>
      </c>
      <c r="M8159">
        <v>95.2</v>
      </c>
    </row>
    <row r="8160" spans="1:13" x14ac:dyDescent="0.3">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
      <c r="A8161" t="s">
        <v>28</v>
      </c>
      <c r="B8161" t="s">
        <v>44</v>
      </c>
      <c r="C8161" t="s">
        <v>15</v>
      </c>
      <c r="D8161" t="s">
        <v>542</v>
      </c>
      <c r="E8161" t="s">
        <v>127</v>
      </c>
      <c r="F8161">
        <v>6460</v>
      </c>
      <c r="G8161" t="s">
        <v>57</v>
      </c>
      <c r="H8161" t="s">
        <v>35</v>
      </c>
      <c r="I8161" t="s">
        <v>59</v>
      </c>
      <c r="J8161">
        <v>199.75</v>
      </c>
      <c r="K8161">
        <v>5</v>
      </c>
      <c r="L8161">
        <v>0</v>
      </c>
      <c r="M8161">
        <v>87.89</v>
      </c>
    </row>
    <row r="8162" spans="1:13" x14ac:dyDescent="0.3">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
      <c r="A8165" t="s">
        <v>28</v>
      </c>
      <c r="B8165" t="s">
        <v>14</v>
      </c>
      <c r="C8165" t="s">
        <v>15</v>
      </c>
      <c r="D8165" t="s">
        <v>144</v>
      </c>
      <c r="E8165" t="s">
        <v>24</v>
      </c>
      <c r="F8165">
        <v>92105</v>
      </c>
      <c r="G8165" t="s">
        <v>25</v>
      </c>
      <c r="H8165" t="s">
        <v>19</v>
      </c>
      <c r="I8165" t="s">
        <v>33</v>
      </c>
      <c r="J8165">
        <v>96.96</v>
      </c>
      <c r="K8165">
        <v>6</v>
      </c>
      <c r="L8165">
        <v>0</v>
      </c>
      <c r="M8165">
        <v>33.936</v>
      </c>
    </row>
    <row r="8166" spans="1:13" x14ac:dyDescent="0.3">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
      <c r="A8174" t="s">
        <v>28</v>
      </c>
      <c r="B8174" t="s">
        <v>44</v>
      </c>
      <c r="C8174" t="s">
        <v>15</v>
      </c>
      <c r="D8174" t="s">
        <v>23</v>
      </c>
      <c r="E8174" t="s">
        <v>24</v>
      </c>
      <c r="F8174">
        <v>90049</v>
      </c>
      <c r="G8174" t="s">
        <v>25</v>
      </c>
      <c r="H8174" t="s">
        <v>26</v>
      </c>
      <c r="I8174" t="s">
        <v>27</v>
      </c>
      <c r="J8174">
        <v>2.88</v>
      </c>
      <c r="K8174">
        <v>1</v>
      </c>
      <c r="L8174">
        <v>0</v>
      </c>
      <c r="M8174">
        <v>1.4112</v>
      </c>
    </row>
    <row r="8175" spans="1:13" x14ac:dyDescent="0.3">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
      <c r="A8181" t="s">
        <v>28</v>
      </c>
      <c r="B8181" t="s">
        <v>14</v>
      </c>
      <c r="C8181" t="s">
        <v>15</v>
      </c>
      <c r="D8181" t="s">
        <v>82</v>
      </c>
      <c r="E8181" t="s">
        <v>95</v>
      </c>
      <c r="F8181">
        <v>97477</v>
      </c>
      <c r="G8181" t="s">
        <v>25</v>
      </c>
      <c r="H8181" t="s">
        <v>19</v>
      </c>
      <c r="I8181" t="s">
        <v>31</v>
      </c>
      <c r="J8181">
        <v>277.5</v>
      </c>
      <c r="K8181">
        <v>4</v>
      </c>
      <c r="L8181">
        <v>0.5</v>
      </c>
      <c r="M8181">
        <v>-188.7</v>
      </c>
    </row>
    <row r="8182" spans="1:13" x14ac:dyDescent="0.3">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
      <c r="A8194" t="s">
        <v>62</v>
      </c>
      <c r="B8194" t="s">
        <v>14</v>
      </c>
      <c r="C8194" t="s">
        <v>15</v>
      </c>
      <c r="D8194" t="s">
        <v>89</v>
      </c>
      <c r="E8194" t="s">
        <v>40</v>
      </c>
      <c r="F8194">
        <v>27707</v>
      </c>
      <c r="G8194" t="s">
        <v>18</v>
      </c>
      <c r="H8194" t="s">
        <v>26</v>
      </c>
      <c r="I8194" t="s">
        <v>37</v>
      </c>
      <c r="J8194">
        <v>6.048</v>
      </c>
      <c r="K8194">
        <v>7</v>
      </c>
      <c r="L8194">
        <v>0.7</v>
      </c>
      <c r="M8194">
        <v>-4.2336</v>
      </c>
    </row>
    <row r="8195" spans="1:13" x14ac:dyDescent="0.3">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
      <c r="A8238" t="s">
        <v>28</v>
      </c>
      <c r="B8238" t="s">
        <v>14</v>
      </c>
      <c r="C8238" t="s">
        <v>15</v>
      </c>
      <c r="D8238" t="s">
        <v>189</v>
      </c>
      <c r="E8238" t="s">
        <v>30</v>
      </c>
      <c r="F8238">
        <v>32216</v>
      </c>
      <c r="G8238" t="s">
        <v>18</v>
      </c>
      <c r="H8238" t="s">
        <v>19</v>
      </c>
      <c r="I8238" t="s">
        <v>21</v>
      </c>
      <c r="J8238">
        <v>2803.92</v>
      </c>
      <c r="K8238">
        <v>5</v>
      </c>
      <c r="L8238">
        <v>0.2</v>
      </c>
      <c r="M8238">
        <v>0</v>
      </c>
    </row>
    <row r="8239" spans="1:13" x14ac:dyDescent="0.3">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
      <c r="A8244" t="s">
        <v>28</v>
      </c>
      <c r="B8244" t="s">
        <v>14</v>
      </c>
      <c r="C8244" t="s">
        <v>15</v>
      </c>
      <c r="D8244" t="s">
        <v>75</v>
      </c>
      <c r="E8244" t="s">
        <v>76</v>
      </c>
      <c r="F8244">
        <v>10009</v>
      </c>
      <c r="G8244" t="s">
        <v>57</v>
      </c>
      <c r="H8244" t="s">
        <v>35</v>
      </c>
      <c r="I8244" t="s">
        <v>59</v>
      </c>
      <c r="J8244">
        <v>357</v>
      </c>
      <c r="K8244">
        <v>3</v>
      </c>
      <c r="L8244">
        <v>0</v>
      </c>
      <c r="M8244">
        <v>57.12</v>
      </c>
    </row>
    <row r="8245" spans="1:13" x14ac:dyDescent="0.3">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
      <c r="A8246" t="s">
        <v>28</v>
      </c>
      <c r="B8246" t="s">
        <v>14</v>
      </c>
      <c r="C8246" t="s">
        <v>15</v>
      </c>
      <c r="D8246" t="s">
        <v>52</v>
      </c>
      <c r="E8246" t="s">
        <v>24</v>
      </c>
      <c r="F8246">
        <v>94122</v>
      </c>
      <c r="G8246" t="s">
        <v>25</v>
      </c>
      <c r="H8246" t="s">
        <v>19</v>
      </c>
      <c r="I8246" t="s">
        <v>33</v>
      </c>
      <c r="J8246">
        <v>85.44</v>
      </c>
      <c r="K8246">
        <v>3</v>
      </c>
      <c r="L8246">
        <v>0</v>
      </c>
      <c r="M8246">
        <v>31.6128</v>
      </c>
    </row>
    <row r="8247" spans="1:13" x14ac:dyDescent="0.3">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
      <c r="A8258" t="s">
        <v>28</v>
      </c>
      <c r="B8258" t="s">
        <v>14</v>
      </c>
      <c r="C8258" t="s">
        <v>15</v>
      </c>
      <c r="D8258" t="s">
        <v>42</v>
      </c>
      <c r="E8258" t="s">
        <v>43</v>
      </c>
      <c r="F8258">
        <v>98103</v>
      </c>
      <c r="G8258" t="s">
        <v>25</v>
      </c>
      <c r="H8258" t="s">
        <v>26</v>
      </c>
      <c r="I8258" t="s">
        <v>32</v>
      </c>
      <c r="J8258">
        <v>46.74</v>
      </c>
      <c r="K8258">
        <v>3</v>
      </c>
      <c r="L8258">
        <v>0</v>
      </c>
      <c r="M8258">
        <v>11.685</v>
      </c>
    </row>
    <row r="8259" spans="1:13" x14ac:dyDescent="0.3">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
      <c r="A8283" t="s">
        <v>62</v>
      </c>
      <c r="B8283" t="s">
        <v>22</v>
      </c>
      <c r="C8283" t="s">
        <v>15</v>
      </c>
      <c r="D8283" t="s">
        <v>189</v>
      </c>
      <c r="E8283" t="s">
        <v>40</v>
      </c>
      <c r="F8283">
        <v>28540</v>
      </c>
      <c r="G8283" t="s">
        <v>18</v>
      </c>
      <c r="H8283" t="s">
        <v>19</v>
      </c>
      <c r="I8283" t="s">
        <v>21</v>
      </c>
      <c r="J8283">
        <v>207</v>
      </c>
      <c r="K8283">
        <v>3</v>
      </c>
      <c r="L8283">
        <v>0.2</v>
      </c>
      <c r="M8283">
        <v>25.875</v>
      </c>
    </row>
    <row r="8284" spans="1:13" x14ac:dyDescent="0.3">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
      <c r="A8297" t="s">
        <v>28</v>
      </c>
      <c r="B8297" t="s">
        <v>22</v>
      </c>
      <c r="C8297" t="s">
        <v>15</v>
      </c>
      <c r="D8297" t="s">
        <v>155</v>
      </c>
      <c r="E8297" t="s">
        <v>83</v>
      </c>
      <c r="F8297">
        <v>22204</v>
      </c>
      <c r="G8297" t="s">
        <v>18</v>
      </c>
      <c r="H8297" t="s">
        <v>26</v>
      </c>
      <c r="I8297" t="s">
        <v>60</v>
      </c>
      <c r="J8297">
        <v>26.55</v>
      </c>
      <c r="K8297">
        <v>9</v>
      </c>
      <c r="L8297">
        <v>0</v>
      </c>
      <c r="M8297">
        <v>12.744</v>
      </c>
    </row>
    <row r="8298" spans="1:13" x14ac:dyDescent="0.3">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
      <c r="A8307" t="s">
        <v>28</v>
      </c>
      <c r="B8307" t="s">
        <v>44</v>
      </c>
      <c r="C8307" t="s">
        <v>15</v>
      </c>
      <c r="D8307" t="s">
        <v>337</v>
      </c>
      <c r="E8307" t="s">
        <v>119</v>
      </c>
      <c r="F8307">
        <v>74133</v>
      </c>
      <c r="G8307" t="s">
        <v>47</v>
      </c>
      <c r="H8307" t="s">
        <v>26</v>
      </c>
      <c r="I8307" t="s">
        <v>41</v>
      </c>
      <c r="J8307">
        <v>32.4</v>
      </c>
      <c r="K8307">
        <v>5</v>
      </c>
      <c r="L8307">
        <v>0</v>
      </c>
      <c r="M8307">
        <v>15.552</v>
      </c>
    </row>
    <row r="8308" spans="1:13" x14ac:dyDescent="0.3">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
      <c r="A8310" t="s">
        <v>168</v>
      </c>
      <c r="B8310" t="s">
        <v>44</v>
      </c>
      <c r="C8310" t="s">
        <v>15</v>
      </c>
      <c r="D8310" t="s">
        <v>52</v>
      </c>
      <c r="E8310" t="s">
        <v>24</v>
      </c>
      <c r="F8310">
        <v>94122</v>
      </c>
      <c r="G8310" t="s">
        <v>25</v>
      </c>
      <c r="H8310" t="s">
        <v>26</v>
      </c>
      <c r="I8310" t="s">
        <v>34</v>
      </c>
      <c r="J8310">
        <v>37.17</v>
      </c>
      <c r="K8310">
        <v>9</v>
      </c>
      <c r="L8310">
        <v>0</v>
      </c>
      <c r="M8310">
        <v>11.151</v>
      </c>
    </row>
    <row r="8311" spans="1:13" x14ac:dyDescent="0.3">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
      <c r="A8321" t="s">
        <v>28</v>
      </c>
      <c r="B8321" t="s">
        <v>14</v>
      </c>
      <c r="C8321" t="s">
        <v>15</v>
      </c>
      <c r="D8321" t="s">
        <v>75</v>
      </c>
      <c r="E8321" t="s">
        <v>76</v>
      </c>
      <c r="F8321">
        <v>10009</v>
      </c>
      <c r="G8321" t="s">
        <v>57</v>
      </c>
      <c r="H8321" t="s">
        <v>26</v>
      </c>
      <c r="I8321" t="s">
        <v>32</v>
      </c>
      <c r="J8321">
        <v>11.21</v>
      </c>
      <c r="K8321">
        <v>1</v>
      </c>
      <c r="L8321">
        <v>0</v>
      </c>
      <c r="M8321">
        <v>3.363</v>
      </c>
    </row>
    <row r="8322" spans="1:13" x14ac:dyDescent="0.3">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
      <c r="A8333" t="s">
        <v>62</v>
      </c>
      <c r="B8333" t="s">
        <v>14</v>
      </c>
      <c r="C8333" t="s">
        <v>15</v>
      </c>
      <c r="D8333" t="s">
        <v>597</v>
      </c>
      <c r="E8333" t="s">
        <v>166</v>
      </c>
      <c r="F8333">
        <v>1810</v>
      </c>
      <c r="G8333" t="s">
        <v>57</v>
      </c>
      <c r="H8333" t="s">
        <v>26</v>
      </c>
      <c r="I8333" t="s">
        <v>32</v>
      </c>
      <c r="J8333">
        <v>11.21</v>
      </c>
      <c r="K8333">
        <v>1</v>
      </c>
      <c r="L8333">
        <v>0</v>
      </c>
      <c r="M8333">
        <v>3.363</v>
      </c>
    </row>
    <row r="8334" spans="1:13" x14ac:dyDescent="0.3">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
      <c r="A8336" t="s">
        <v>62</v>
      </c>
      <c r="B8336" t="s">
        <v>14</v>
      </c>
      <c r="C8336" t="s">
        <v>15</v>
      </c>
      <c r="D8336" t="s">
        <v>597</v>
      </c>
      <c r="E8336" t="s">
        <v>166</v>
      </c>
      <c r="F8336">
        <v>1810</v>
      </c>
      <c r="G8336" t="s">
        <v>57</v>
      </c>
      <c r="H8336" t="s">
        <v>26</v>
      </c>
      <c r="I8336" t="s">
        <v>37</v>
      </c>
      <c r="J8336">
        <v>51.8</v>
      </c>
      <c r="K8336">
        <v>4</v>
      </c>
      <c r="L8336">
        <v>0</v>
      </c>
      <c r="M8336">
        <v>23.31</v>
      </c>
    </row>
    <row r="8337" spans="1:13" x14ac:dyDescent="0.3">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
      <c r="A8338" t="s">
        <v>28</v>
      </c>
      <c r="B8338" t="s">
        <v>14</v>
      </c>
      <c r="C8338" t="s">
        <v>15</v>
      </c>
      <c r="D8338" t="s">
        <v>155</v>
      </c>
      <c r="E8338" t="s">
        <v>83</v>
      </c>
      <c r="F8338">
        <v>22204</v>
      </c>
      <c r="G8338" t="s">
        <v>18</v>
      </c>
      <c r="H8338" t="s">
        <v>26</v>
      </c>
      <c r="I8338" t="s">
        <v>34</v>
      </c>
      <c r="J8338">
        <v>7.7</v>
      </c>
      <c r="K8338">
        <v>2</v>
      </c>
      <c r="L8338">
        <v>0</v>
      </c>
      <c r="M8338">
        <v>3.157</v>
      </c>
    </row>
    <row r="8339" spans="1:13" x14ac:dyDescent="0.3">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
      <c r="A8340" t="s">
        <v>28</v>
      </c>
      <c r="B8340" t="s">
        <v>22</v>
      </c>
      <c r="C8340" t="s">
        <v>15</v>
      </c>
      <c r="D8340" t="s">
        <v>87</v>
      </c>
      <c r="E8340" t="s">
        <v>88</v>
      </c>
      <c r="F8340">
        <v>35601</v>
      </c>
      <c r="G8340" t="s">
        <v>18</v>
      </c>
      <c r="H8340" t="s">
        <v>35</v>
      </c>
      <c r="I8340" t="s">
        <v>59</v>
      </c>
      <c r="J8340">
        <v>498</v>
      </c>
      <c r="K8340">
        <v>5</v>
      </c>
      <c r="L8340">
        <v>0</v>
      </c>
      <c r="M8340">
        <v>184.26</v>
      </c>
    </row>
    <row r="8341" spans="1:13" x14ac:dyDescent="0.3">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
      <c r="A8342" t="s">
        <v>28</v>
      </c>
      <c r="B8342" t="s">
        <v>14</v>
      </c>
      <c r="C8342" t="s">
        <v>15</v>
      </c>
      <c r="D8342" t="s">
        <v>355</v>
      </c>
      <c r="E8342" t="s">
        <v>83</v>
      </c>
      <c r="F8342">
        <v>23320</v>
      </c>
      <c r="G8342" t="s">
        <v>18</v>
      </c>
      <c r="H8342" t="s">
        <v>26</v>
      </c>
      <c r="I8342" t="s">
        <v>41</v>
      </c>
      <c r="J8342">
        <v>32.4</v>
      </c>
      <c r="K8342">
        <v>5</v>
      </c>
      <c r="L8342">
        <v>0</v>
      </c>
      <c r="M8342">
        <v>15.552</v>
      </c>
    </row>
    <row r="8343" spans="1:13" x14ac:dyDescent="0.3">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
      <c r="A8345" t="s">
        <v>28</v>
      </c>
      <c r="B8345" t="s">
        <v>14</v>
      </c>
      <c r="C8345" t="s">
        <v>15</v>
      </c>
      <c r="D8345" t="s">
        <v>375</v>
      </c>
      <c r="E8345" t="s">
        <v>86</v>
      </c>
      <c r="F8345">
        <v>37918</v>
      </c>
      <c r="G8345" t="s">
        <v>18</v>
      </c>
      <c r="H8345" t="s">
        <v>26</v>
      </c>
      <c r="I8345" t="s">
        <v>27</v>
      </c>
      <c r="J8345">
        <v>59.2</v>
      </c>
      <c r="K8345">
        <v>5</v>
      </c>
      <c r="L8345">
        <v>0.2</v>
      </c>
      <c r="M8345">
        <v>22.2</v>
      </c>
    </row>
    <row r="8346" spans="1:13" x14ac:dyDescent="0.3">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
      <c r="A8350" t="s">
        <v>28</v>
      </c>
      <c r="B8350" t="s">
        <v>22</v>
      </c>
      <c r="C8350" t="s">
        <v>15</v>
      </c>
      <c r="D8350" t="s">
        <v>184</v>
      </c>
      <c r="E8350" t="s">
        <v>166</v>
      </c>
      <c r="F8350">
        <v>1841</v>
      </c>
      <c r="G8350" t="s">
        <v>57</v>
      </c>
      <c r="H8350" t="s">
        <v>35</v>
      </c>
      <c r="I8350" t="s">
        <v>36</v>
      </c>
      <c r="J8350">
        <v>209.5</v>
      </c>
      <c r="K8350">
        <v>10</v>
      </c>
      <c r="L8350">
        <v>0</v>
      </c>
      <c r="M8350">
        <v>58.66</v>
      </c>
    </row>
    <row r="8351" spans="1:13" x14ac:dyDescent="0.3">
      <c r="A8351" t="s">
        <v>28</v>
      </c>
      <c r="B8351" t="s">
        <v>22</v>
      </c>
      <c r="C8351" t="s">
        <v>15</v>
      </c>
      <c r="D8351" t="s">
        <v>184</v>
      </c>
      <c r="E8351" t="s">
        <v>166</v>
      </c>
      <c r="F8351">
        <v>1841</v>
      </c>
      <c r="G8351" t="s">
        <v>57</v>
      </c>
      <c r="H8351" t="s">
        <v>19</v>
      </c>
      <c r="I8351" t="s">
        <v>33</v>
      </c>
      <c r="J8351">
        <v>24.3</v>
      </c>
      <c r="K8351">
        <v>5</v>
      </c>
      <c r="L8351">
        <v>0</v>
      </c>
      <c r="M8351">
        <v>10.449</v>
      </c>
    </row>
    <row r="8352" spans="1:13" x14ac:dyDescent="0.3">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
      <c r="A8356" t="s">
        <v>28</v>
      </c>
      <c r="B8356" t="s">
        <v>22</v>
      </c>
      <c r="C8356" t="s">
        <v>15</v>
      </c>
      <c r="D8356" t="s">
        <v>55</v>
      </c>
      <c r="E8356" t="s">
        <v>56</v>
      </c>
      <c r="F8356">
        <v>19134</v>
      </c>
      <c r="G8356" t="s">
        <v>57</v>
      </c>
      <c r="H8356" t="s">
        <v>26</v>
      </c>
      <c r="I8356" t="s">
        <v>37</v>
      </c>
      <c r="J8356">
        <v>64.2</v>
      </c>
      <c r="K8356">
        <v>5</v>
      </c>
      <c r="L8356">
        <v>0.7</v>
      </c>
      <c r="M8356">
        <v>-44.94</v>
      </c>
    </row>
    <row r="8357" spans="1:13" x14ac:dyDescent="0.3">
      <c r="A8357" t="s">
        <v>28</v>
      </c>
      <c r="B8357" t="s">
        <v>22</v>
      </c>
      <c r="C8357" t="s">
        <v>15</v>
      </c>
      <c r="D8357" t="s">
        <v>55</v>
      </c>
      <c r="E8357" t="s">
        <v>56</v>
      </c>
      <c r="F8357">
        <v>19134</v>
      </c>
      <c r="G8357" t="s">
        <v>57</v>
      </c>
      <c r="H8357" t="s">
        <v>26</v>
      </c>
      <c r="I8357" t="s">
        <v>77</v>
      </c>
      <c r="J8357">
        <v>8</v>
      </c>
      <c r="K8357">
        <v>2</v>
      </c>
      <c r="L8357">
        <v>0.2</v>
      </c>
      <c r="M8357">
        <v>2.8</v>
      </c>
    </row>
    <row r="8358" spans="1:13" x14ac:dyDescent="0.3">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
      <c r="A8370" t="s">
        <v>13</v>
      </c>
      <c r="B8370" t="s">
        <v>22</v>
      </c>
      <c r="C8370" t="s">
        <v>15</v>
      </c>
      <c r="D8370" t="s">
        <v>142</v>
      </c>
      <c r="E8370" t="s">
        <v>24</v>
      </c>
      <c r="F8370">
        <v>95051</v>
      </c>
      <c r="G8370" t="s">
        <v>25</v>
      </c>
      <c r="H8370" t="s">
        <v>26</v>
      </c>
      <c r="I8370" t="s">
        <v>37</v>
      </c>
      <c r="J8370">
        <v>83.92</v>
      </c>
      <c r="K8370">
        <v>5</v>
      </c>
      <c r="L8370">
        <v>0.2</v>
      </c>
      <c r="M8370">
        <v>31.47</v>
      </c>
    </row>
    <row r="8371" spans="1:13" x14ac:dyDescent="0.3">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
      <c r="A8377" t="s">
        <v>28</v>
      </c>
      <c r="B8377" t="s">
        <v>44</v>
      </c>
      <c r="C8377" t="s">
        <v>15</v>
      </c>
      <c r="D8377" t="s">
        <v>52</v>
      </c>
      <c r="E8377" t="s">
        <v>24</v>
      </c>
      <c r="F8377">
        <v>94110</v>
      </c>
      <c r="G8377" t="s">
        <v>25</v>
      </c>
      <c r="H8377" t="s">
        <v>26</v>
      </c>
      <c r="I8377" t="s">
        <v>37</v>
      </c>
      <c r="J8377">
        <v>56.16</v>
      </c>
      <c r="K8377">
        <v>6</v>
      </c>
      <c r="L8377">
        <v>0.2</v>
      </c>
      <c r="M8377">
        <v>17.55</v>
      </c>
    </row>
    <row r="8378" spans="1:13" x14ac:dyDescent="0.3">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
      <c r="A8384" t="s">
        <v>28</v>
      </c>
      <c r="B8384" t="s">
        <v>22</v>
      </c>
      <c r="C8384" t="s">
        <v>15</v>
      </c>
      <c r="D8384" t="s">
        <v>61</v>
      </c>
      <c r="E8384" t="s">
        <v>46</v>
      </c>
      <c r="F8384">
        <v>77036</v>
      </c>
      <c r="G8384" t="s">
        <v>47</v>
      </c>
      <c r="H8384" t="s">
        <v>19</v>
      </c>
      <c r="I8384" t="s">
        <v>21</v>
      </c>
      <c r="J8384">
        <v>241.5</v>
      </c>
      <c r="K8384">
        <v>4</v>
      </c>
      <c r="L8384">
        <v>0.3</v>
      </c>
      <c r="M8384">
        <v>0</v>
      </c>
    </row>
    <row r="8385" spans="1:13" x14ac:dyDescent="0.3">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
      <c r="A8399" t="s">
        <v>62</v>
      </c>
      <c r="B8399" t="s">
        <v>44</v>
      </c>
      <c r="C8399" t="s">
        <v>15</v>
      </c>
      <c r="D8399" t="s">
        <v>61</v>
      </c>
      <c r="E8399" t="s">
        <v>46</v>
      </c>
      <c r="F8399">
        <v>77095</v>
      </c>
      <c r="G8399" t="s">
        <v>47</v>
      </c>
      <c r="H8399" t="s">
        <v>26</v>
      </c>
      <c r="I8399" t="s">
        <v>37</v>
      </c>
      <c r="J8399">
        <v>7.68</v>
      </c>
      <c r="K8399">
        <v>5</v>
      </c>
      <c r="L8399">
        <v>0.8</v>
      </c>
      <c r="M8399">
        <v>-11.52</v>
      </c>
    </row>
    <row r="8400" spans="1:13" x14ac:dyDescent="0.3">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
      <c r="A8409" t="s">
        <v>28</v>
      </c>
      <c r="B8409" t="s">
        <v>22</v>
      </c>
      <c r="C8409" t="s">
        <v>15</v>
      </c>
      <c r="D8409" t="s">
        <v>114</v>
      </c>
      <c r="E8409" t="s">
        <v>72</v>
      </c>
      <c r="F8409">
        <v>19711</v>
      </c>
      <c r="G8409" t="s">
        <v>57</v>
      </c>
      <c r="H8409" t="s">
        <v>26</v>
      </c>
      <c r="I8409" t="s">
        <v>34</v>
      </c>
      <c r="J8409">
        <v>28.91</v>
      </c>
      <c r="K8409">
        <v>7</v>
      </c>
      <c r="L8409">
        <v>0</v>
      </c>
      <c r="M8409">
        <v>8.673</v>
      </c>
    </row>
    <row r="8410" spans="1:13" x14ac:dyDescent="0.3">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
      <c r="A8416" t="s">
        <v>28</v>
      </c>
      <c r="B8416" t="s">
        <v>22</v>
      </c>
      <c r="C8416" t="s">
        <v>15</v>
      </c>
      <c r="D8416" t="s">
        <v>155</v>
      </c>
      <c r="E8416" t="s">
        <v>46</v>
      </c>
      <c r="F8416">
        <v>76017</v>
      </c>
      <c r="G8416" t="s">
        <v>47</v>
      </c>
      <c r="H8416" t="s">
        <v>35</v>
      </c>
      <c r="I8416" t="s">
        <v>59</v>
      </c>
      <c r="J8416">
        <v>165.6</v>
      </c>
      <c r="K8416">
        <v>3</v>
      </c>
      <c r="L8416">
        <v>0.2</v>
      </c>
      <c r="M8416">
        <v>-6.21</v>
      </c>
    </row>
    <row r="8417" spans="1:13" x14ac:dyDescent="0.3">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
      <c r="A8419" t="s">
        <v>62</v>
      </c>
      <c r="B8419" t="s">
        <v>44</v>
      </c>
      <c r="C8419" t="s">
        <v>15</v>
      </c>
      <c r="D8419" t="s">
        <v>42</v>
      </c>
      <c r="E8419" t="s">
        <v>43</v>
      </c>
      <c r="F8419">
        <v>98105</v>
      </c>
      <c r="G8419" t="s">
        <v>25</v>
      </c>
      <c r="H8419" t="s">
        <v>26</v>
      </c>
      <c r="I8419" t="s">
        <v>32</v>
      </c>
      <c r="J8419">
        <v>104.28</v>
      </c>
      <c r="K8419">
        <v>3</v>
      </c>
      <c r="L8419">
        <v>0</v>
      </c>
      <c r="M8419">
        <v>26.07</v>
      </c>
    </row>
    <row r="8420" spans="1:13" x14ac:dyDescent="0.3">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
      <c r="A8423" t="s">
        <v>28</v>
      </c>
      <c r="B8423" t="s">
        <v>14</v>
      </c>
      <c r="C8423" t="s">
        <v>15</v>
      </c>
      <c r="D8423" t="s">
        <v>154</v>
      </c>
      <c r="E8423" t="s">
        <v>132</v>
      </c>
      <c r="F8423">
        <v>8701</v>
      </c>
      <c r="G8423" t="s">
        <v>57</v>
      </c>
      <c r="H8423" t="s">
        <v>35</v>
      </c>
      <c r="I8423" t="s">
        <v>59</v>
      </c>
      <c r="J8423">
        <v>45</v>
      </c>
      <c r="K8423">
        <v>3</v>
      </c>
      <c r="L8423">
        <v>0</v>
      </c>
      <c r="M8423">
        <v>4.95</v>
      </c>
    </row>
    <row r="8424" spans="1:13" x14ac:dyDescent="0.3">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
      <c r="A8440" t="s">
        <v>28</v>
      </c>
      <c r="B8440" t="s">
        <v>14</v>
      </c>
      <c r="C8440" t="s">
        <v>15</v>
      </c>
      <c r="D8440" t="s">
        <v>42</v>
      </c>
      <c r="E8440" t="s">
        <v>43</v>
      </c>
      <c r="F8440">
        <v>98105</v>
      </c>
      <c r="G8440" t="s">
        <v>25</v>
      </c>
      <c r="H8440" t="s">
        <v>26</v>
      </c>
      <c r="I8440" t="s">
        <v>37</v>
      </c>
      <c r="J8440">
        <v>136.96</v>
      </c>
      <c r="K8440">
        <v>4</v>
      </c>
      <c r="L8440">
        <v>0.2</v>
      </c>
      <c r="M8440">
        <v>51.36</v>
      </c>
    </row>
    <row r="8441" spans="1:13" x14ac:dyDescent="0.3">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
      <c r="A8448" t="s">
        <v>62</v>
      </c>
      <c r="B8448" t="s">
        <v>22</v>
      </c>
      <c r="C8448" t="s">
        <v>15</v>
      </c>
      <c r="D8448" t="s">
        <v>485</v>
      </c>
      <c r="E8448" t="s">
        <v>179</v>
      </c>
      <c r="F8448">
        <v>2920</v>
      </c>
      <c r="G8448" t="s">
        <v>57</v>
      </c>
      <c r="H8448" t="s">
        <v>19</v>
      </c>
      <c r="I8448" t="s">
        <v>33</v>
      </c>
      <c r="J8448">
        <v>35</v>
      </c>
      <c r="K8448">
        <v>4</v>
      </c>
      <c r="L8448">
        <v>0</v>
      </c>
      <c r="M8448">
        <v>14.7</v>
      </c>
    </row>
    <row r="8449" spans="1:13" x14ac:dyDescent="0.3">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
      <c r="A8462" t="s">
        <v>28</v>
      </c>
      <c r="B8462" t="s">
        <v>14</v>
      </c>
      <c r="C8462" t="s">
        <v>15</v>
      </c>
      <c r="D8462" t="s">
        <v>105</v>
      </c>
      <c r="E8462" t="s">
        <v>127</v>
      </c>
      <c r="F8462">
        <v>6010</v>
      </c>
      <c r="G8462" t="s">
        <v>57</v>
      </c>
      <c r="H8462" t="s">
        <v>26</v>
      </c>
      <c r="I8462" t="s">
        <v>37</v>
      </c>
      <c r="J8462">
        <v>25.3</v>
      </c>
      <c r="K8462">
        <v>5</v>
      </c>
      <c r="L8462">
        <v>0</v>
      </c>
      <c r="M8462">
        <v>11.891</v>
      </c>
    </row>
    <row r="8463" spans="1:13" x14ac:dyDescent="0.3">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
      <c r="A8464" t="s">
        <v>13</v>
      </c>
      <c r="B8464" t="s">
        <v>14</v>
      </c>
      <c r="C8464" t="s">
        <v>15</v>
      </c>
      <c r="D8464" t="s">
        <v>541</v>
      </c>
      <c r="E8464" t="s">
        <v>70</v>
      </c>
      <c r="F8464">
        <v>49423</v>
      </c>
      <c r="G8464" t="s">
        <v>47</v>
      </c>
      <c r="H8464" t="s">
        <v>26</v>
      </c>
      <c r="I8464" t="s">
        <v>27</v>
      </c>
      <c r="J8464">
        <v>7.5</v>
      </c>
      <c r="K8464">
        <v>2</v>
      </c>
      <c r="L8464">
        <v>0</v>
      </c>
      <c r="M8464">
        <v>3.6</v>
      </c>
    </row>
    <row r="8465" spans="1:13" x14ac:dyDescent="0.3">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
      <c r="A8474" t="s">
        <v>28</v>
      </c>
      <c r="B8474" t="s">
        <v>44</v>
      </c>
      <c r="C8474" t="s">
        <v>15</v>
      </c>
      <c r="D8474" t="s">
        <v>389</v>
      </c>
      <c r="E8474" t="s">
        <v>86</v>
      </c>
      <c r="F8474">
        <v>37042</v>
      </c>
      <c r="G8474" t="s">
        <v>18</v>
      </c>
      <c r="H8474" t="s">
        <v>26</v>
      </c>
      <c r="I8474" t="s">
        <v>27</v>
      </c>
      <c r="J8474">
        <v>3</v>
      </c>
      <c r="K8474">
        <v>1</v>
      </c>
      <c r="L8474">
        <v>0.2</v>
      </c>
      <c r="M8474">
        <v>1.05</v>
      </c>
    </row>
    <row r="8475" spans="1:13" x14ac:dyDescent="0.3">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
      <c r="A8489" t="s">
        <v>28</v>
      </c>
      <c r="B8489" t="s">
        <v>44</v>
      </c>
      <c r="C8489" t="s">
        <v>15</v>
      </c>
      <c r="D8489" t="s">
        <v>286</v>
      </c>
      <c r="E8489" t="s">
        <v>24</v>
      </c>
      <c r="F8489">
        <v>93727</v>
      </c>
      <c r="G8489" t="s">
        <v>25</v>
      </c>
      <c r="H8489" t="s">
        <v>26</v>
      </c>
      <c r="I8489" t="s">
        <v>41</v>
      </c>
      <c r="J8489">
        <v>11.94</v>
      </c>
      <c r="K8489">
        <v>3</v>
      </c>
      <c r="L8489">
        <v>0</v>
      </c>
      <c r="M8489">
        <v>5.97</v>
      </c>
    </row>
    <row r="8490" spans="1:13" x14ac:dyDescent="0.3">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
      <c r="A8491" t="s">
        <v>13</v>
      </c>
      <c r="B8491" t="s">
        <v>14</v>
      </c>
      <c r="C8491" t="s">
        <v>15</v>
      </c>
      <c r="D8491" t="s">
        <v>155</v>
      </c>
      <c r="E8491" t="s">
        <v>83</v>
      </c>
      <c r="F8491">
        <v>22204</v>
      </c>
      <c r="G8491" t="s">
        <v>18</v>
      </c>
      <c r="H8491" t="s">
        <v>26</v>
      </c>
      <c r="I8491" t="s">
        <v>37</v>
      </c>
      <c r="J8491">
        <v>36.4</v>
      </c>
      <c r="K8491">
        <v>8</v>
      </c>
      <c r="L8491">
        <v>0</v>
      </c>
      <c r="M8491">
        <v>18.2</v>
      </c>
    </row>
    <row r="8492" spans="1:13" x14ac:dyDescent="0.3">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
      <c r="A8493" t="s">
        <v>28</v>
      </c>
      <c r="B8493" t="s">
        <v>14</v>
      </c>
      <c r="C8493" t="s">
        <v>15</v>
      </c>
      <c r="D8493" t="s">
        <v>23</v>
      </c>
      <c r="E8493" t="s">
        <v>24</v>
      </c>
      <c r="F8493">
        <v>90049</v>
      </c>
      <c r="G8493" t="s">
        <v>25</v>
      </c>
      <c r="H8493" t="s">
        <v>26</v>
      </c>
      <c r="I8493" t="s">
        <v>77</v>
      </c>
      <c r="J8493">
        <v>5.94</v>
      </c>
      <c r="K8493">
        <v>3</v>
      </c>
      <c r="L8493">
        <v>0</v>
      </c>
      <c r="M8493">
        <v>0.1188</v>
      </c>
    </row>
    <row r="8494" spans="1:13" x14ac:dyDescent="0.3">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
      <c r="A8496" t="s">
        <v>28</v>
      </c>
      <c r="B8496" t="s">
        <v>14</v>
      </c>
      <c r="C8496" t="s">
        <v>15</v>
      </c>
      <c r="D8496" t="s">
        <v>356</v>
      </c>
      <c r="E8496" t="s">
        <v>46</v>
      </c>
      <c r="F8496">
        <v>79424</v>
      </c>
      <c r="G8496" t="s">
        <v>47</v>
      </c>
      <c r="H8496" t="s">
        <v>26</v>
      </c>
      <c r="I8496" t="s">
        <v>37</v>
      </c>
      <c r="J8496">
        <v>6.08</v>
      </c>
      <c r="K8496">
        <v>1</v>
      </c>
      <c r="L8496">
        <v>0.8</v>
      </c>
      <c r="M8496">
        <v>-10.336</v>
      </c>
    </row>
    <row r="8497" spans="1:13" x14ac:dyDescent="0.3">
      <c r="A8497" t="s">
        <v>28</v>
      </c>
      <c r="B8497" t="s">
        <v>22</v>
      </c>
      <c r="C8497" t="s">
        <v>15</v>
      </c>
      <c r="D8497" t="s">
        <v>589</v>
      </c>
      <c r="E8497" t="s">
        <v>98</v>
      </c>
      <c r="F8497">
        <v>80501</v>
      </c>
      <c r="G8497" t="s">
        <v>25</v>
      </c>
      <c r="H8497" t="s">
        <v>35</v>
      </c>
      <c r="I8497" t="s">
        <v>59</v>
      </c>
      <c r="J8497">
        <v>165.6</v>
      </c>
      <c r="K8497">
        <v>3</v>
      </c>
      <c r="L8497">
        <v>0.2</v>
      </c>
      <c r="M8497">
        <v>-6.21</v>
      </c>
    </row>
    <row r="8498" spans="1:13" x14ac:dyDescent="0.3">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
      <c r="A8512" t="s">
        <v>62</v>
      </c>
      <c r="B8512" t="s">
        <v>14</v>
      </c>
      <c r="C8512" t="s">
        <v>15</v>
      </c>
      <c r="D8512" t="s">
        <v>140</v>
      </c>
      <c r="E8512" t="s">
        <v>70</v>
      </c>
      <c r="F8512">
        <v>48205</v>
      </c>
      <c r="G8512" t="s">
        <v>47</v>
      </c>
      <c r="H8512" t="s">
        <v>26</v>
      </c>
      <c r="I8512" t="s">
        <v>37</v>
      </c>
      <c r="J8512">
        <v>23</v>
      </c>
      <c r="K8512">
        <v>2</v>
      </c>
      <c r="L8512">
        <v>0</v>
      </c>
      <c r="M8512">
        <v>10.35</v>
      </c>
    </row>
    <row r="8513" spans="1:13" x14ac:dyDescent="0.3">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
      <c r="A8520" t="s">
        <v>28</v>
      </c>
      <c r="B8520" t="s">
        <v>14</v>
      </c>
      <c r="C8520" t="s">
        <v>15</v>
      </c>
      <c r="D8520" t="s">
        <v>353</v>
      </c>
      <c r="E8520" t="s">
        <v>132</v>
      </c>
      <c r="F8520">
        <v>7501</v>
      </c>
      <c r="G8520" t="s">
        <v>57</v>
      </c>
      <c r="H8520" t="s">
        <v>19</v>
      </c>
      <c r="I8520" t="s">
        <v>33</v>
      </c>
      <c r="J8520">
        <v>12.99</v>
      </c>
      <c r="K8520">
        <v>1</v>
      </c>
      <c r="L8520">
        <v>0</v>
      </c>
      <c r="M8520">
        <v>1.5588</v>
      </c>
    </row>
    <row r="8521" spans="1:13" x14ac:dyDescent="0.3">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
      <c r="A8525" t="s">
        <v>28</v>
      </c>
      <c r="B8525" t="s">
        <v>14</v>
      </c>
      <c r="C8525" t="s">
        <v>15</v>
      </c>
      <c r="D8525" t="s">
        <v>52</v>
      </c>
      <c r="E8525" t="s">
        <v>24</v>
      </c>
      <c r="F8525">
        <v>94109</v>
      </c>
      <c r="G8525" t="s">
        <v>25</v>
      </c>
      <c r="H8525" t="s">
        <v>26</v>
      </c>
      <c r="I8525" t="s">
        <v>41</v>
      </c>
      <c r="J8525">
        <v>55.86</v>
      </c>
      <c r="K8525">
        <v>7</v>
      </c>
      <c r="L8525">
        <v>0</v>
      </c>
      <c r="M8525">
        <v>27.93</v>
      </c>
    </row>
    <row r="8526" spans="1:13" x14ac:dyDescent="0.3">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
      <c r="A8532" t="s">
        <v>28</v>
      </c>
      <c r="B8532" t="s">
        <v>14</v>
      </c>
      <c r="C8532" t="s">
        <v>15</v>
      </c>
      <c r="D8532" t="s">
        <v>140</v>
      </c>
      <c r="E8532" t="s">
        <v>70</v>
      </c>
      <c r="F8532">
        <v>48227</v>
      </c>
      <c r="G8532" t="s">
        <v>47</v>
      </c>
      <c r="H8532" t="s">
        <v>26</v>
      </c>
      <c r="I8532" t="s">
        <v>41</v>
      </c>
      <c r="J8532">
        <v>33.36</v>
      </c>
      <c r="K8532">
        <v>4</v>
      </c>
      <c r="L8532">
        <v>0</v>
      </c>
      <c r="M8532">
        <v>16.68</v>
      </c>
    </row>
    <row r="8533" spans="1:13" x14ac:dyDescent="0.3">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
      <c r="A8540" t="s">
        <v>28</v>
      </c>
      <c r="B8540" t="s">
        <v>44</v>
      </c>
      <c r="C8540" t="s">
        <v>15</v>
      </c>
      <c r="D8540" t="s">
        <v>55</v>
      </c>
      <c r="E8540" t="s">
        <v>56</v>
      </c>
      <c r="F8540">
        <v>19143</v>
      </c>
      <c r="G8540" t="s">
        <v>57</v>
      </c>
      <c r="H8540" t="s">
        <v>26</v>
      </c>
      <c r="I8540" t="s">
        <v>34</v>
      </c>
      <c r="J8540">
        <v>8.016</v>
      </c>
      <c r="K8540">
        <v>3</v>
      </c>
      <c r="L8540">
        <v>0.2</v>
      </c>
      <c r="M8540">
        <v>1.002</v>
      </c>
    </row>
    <row r="8541" spans="1:13" x14ac:dyDescent="0.3">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
      <c r="A8544" t="s">
        <v>62</v>
      </c>
      <c r="B8544" t="s">
        <v>22</v>
      </c>
      <c r="C8544" t="s">
        <v>15</v>
      </c>
      <c r="D8544" t="s">
        <v>55</v>
      </c>
      <c r="E8544" t="s">
        <v>56</v>
      </c>
      <c r="F8544">
        <v>19140</v>
      </c>
      <c r="G8544" t="s">
        <v>57</v>
      </c>
      <c r="H8544" t="s">
        <v>19</v>
      </c>
      <c r="I8544" t="s">
        <v>21</v>
      </c>
      <c r="J8544">
        <v>422.625</v>
      </c>
      <c r="K8544">
        <v>7</v>
      </c>
      <c r="L8544">
        <v>0.3</v>
      </c>
      <c r="M8544">
        <v>0</v>
      </c>
    </row>
    <row r="8545" spans="1:13" x14ac:dyDescent="0.3">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
      <c r="A8549" t="s">
        <v>28</v>
      </c>
      <c r="B8549" t="s">
        <v>22</v>
      </c>
      <c r="C8549" t="s">
        <v>15</v>
      </c>
      <c r="D8549" t="s">
        <v>23</v>
      </c>
      <c r="E8549" t="s">
        <v>24</v>
      </c>
      <c r="F8549">
        <v>90049</v>
      </c>
      <c r="G8549" t="s">
        <v>25</v>
      </c>
      <c r="H8549" t="s">
        <v>35</v>
      </c>
      <c r="I8549" t="s">
        <v>59</v>
      </c>
      <c r="J8549">
        <v>39</v>
      </c>
      <c r="K8549">
        <v>3</v>
      </c>
      <c r="L8549">
        <v>0</v>
      </c>
      <c r="M8549">
        <v>17.55</v>
      </c>
    </row>
    <row r="8550" spans="1:13" x14ac:dyDescent="0.3">
      <c r="A8550" t="s">
        <v>28</v>
      </c>
      <c r="B8550" t="s">
        <v>22</v>
      </c>
      <c r="C8550" t="s">
        <v>15</v>
      </c>
      <c r="D8550" t="s">
        <v>23</v>
      </c>
      <c r="E8550" t="s">
        <v>24</v>
      </c>
      <c r="F8550">
        <v>90049</v>
      </c>
      <c r="G8550" t="s">
        <v>25</v>
      </c>
      <c r="H8550" t="s">
        <v>26</v>
      </c>
      <c r="I8550" t="s">
        <v>27</v>
      </c>
      <c r="J8550">
        <v>12.6</v>
      </c>
      <c r="K8550">
        <v>4</v>
      </c>
      <c r="L8550">
        <v>0</v>
      </c>
      <c r="M8550">
        <v>6.048</v>
      </c>
    </row>
    <row r="8551" spans="1:13" x14ac:dyDescent="0.3">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
      <c r="A8576" t="s">
        <v>168</v>
      </c>
      <c r="B8576" t="s">
        <v>44</v>
      </c>
      <c r="C8576" t="s">
        <v>15</v>
      </c>
      <c r="D8576" t="s">
        <v>52</v>
      </c>
      <c r="E8576" t="s">
        <v>24</v>
      </c>
      <c r="F8576">
        <v>94110</v>
      </c>
      <c r="G8576" t="s">
        <v>25</v>
      </c>
      <c r="H8576" t="s">
        <v>26</v>
      </c>
      <c r="I8576" t="s">
        <v>77</v>
      </c>
      <c r="J8576">
        <v>5.67</v>
      </c>
      <c r="K8576">
        <v>3</v>
      </c>
      <c r="L8576">
        <v>0</v>
      </c>
      <c r="M8576">
        <v>0.1134</v>
      </c>
    </row>
    <row r="8577" spans="1:13" x14ac:dyDescent="0.3">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
      <c r="A8580" t="s">
        <v>28</v>
      </c>
      <c r="B8580" t="s">
        <v>14</v>
      </c>
      <c r="C8580" t="s">
        <v>15</v>
      </c>
      <c r="D8580" t="s">
        <v>92</v>
      </c>
      <c r="E8580" t="s">
        <v>68</v>
      </c>
      <c r="F8580">
        <v>55901</v>
      </c>
      <c r="G8580" t="s">
        <v>47</v>
      </c>
      <c r="H8580" t="s">
        <v>26</v>
      </c>
      <c r="I8580" t="s">
        <v>32</v>
      </c>
      <c r="J8580">
        <v>31.16</v>
      </c>
      <c r="K8580">
        <v>2</v>
      </c>
      <c r="L8580">
        <v>0</v>
      </c>
      <c r="M8580">
        <v>7.79</v>
      </c>
    </row>
    <row r="8581" spans="1:13" x14ac:dyDescent="0.3">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
      <c r="A8600" t="s">
        <v>28</v>
      </c>
      <c r="B8600" t="s">
        <v>22</v>
      </c>
      <c r="C8600" t="s">
        <v>15</v>
      </c>
      <c r="D8600" t="s">
        <v>286</v>
      </c>
      <c r="E8600" t="s">
        <v>24</v>
      </c>
      <c r="F8600">
        <v>93727</v>
      </c>
      <c r="G8600" t="s">
        <v>25</v>
      </c>
      <c r="H8600" t="s">
        <v>26</v>
      </c>
      <c r="I8600" t="s">
        <v>37</v>
      </c>
      <c r="J8600">
        <v>4.32</v>
      </c>
      <c r="K8600">
        <v>3</v>
      </c>
      <c r="L8600">
        <v>0.2</v>
      </c>
      <c r="M8600">
        <v>1.512</v>
      </c>
    </row>
    <row r="8601" spans="1:13" x14ac:dyDescent="0.3">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
      <c r="A8606" t="s">
        <v>28</v>
      </c>
      <c r="B8606" t="s">
        <v>22</v>
      </c>
      <c r="C8606" t="s">
        <v>15</v>
      </c>
      <c r="D8606" t="s">
        <v>122</v>
      </c>
      <c r="E8606" t="s">
        <v>46</v>
      </c>
      <c r="F8606">
        <v>78207</v>
      </c>
      <c r="G8606" t="s">
        <v>47</v>
      </c>
      <c r="H8606" t="s">
        <v>35</v>
      </c>
      <c r="I8606" t="s">
        <v>59</v>
      </c>
      <c r="J8606">
        <v>165.6</v>
      </c>
      <c r="K8606">
        <v>3</v>
      </c>
      <c r="L8606">
        <v>0.2</v>
      </c>
      <c r="M8606">
        <v>-6.21</v>
      </c>
    </row>
    <row r="8607" spans="1:13" x14ac:dyDescent="0.3">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
      <c r="A8608" t="s">
        <v>28</v>
      </c>
      <c r="B8608" t="s">
        <v>14</v>
      </c>
      <c r="C8608" t="s">
        <v>15</v>
      </c>
      <c r="D8608" t="s">
        <v>302</v>
      </c>
      <c r="E8608" t="s">
        <v>166</v>
      </c>
      <c r="F8608">
        <v>2740</v>
      </c>
      <c r="G8608" t="s">
        <v>57</v>
      </c>
      <c r="H8608" t="s">
        <v>35</v>
      </c>
      <c r="I8608" t="s">
        <v>59</v>
      </c>
      <c r="J8608">
        <v>23.18</v>
      </c>
      <c r="K8608">
        <v>2</v>
      </c>
      <c r="L8608">
        <v>0</v>
      </c>
      <c r="M8608">
        <v>7.6494</v>
      </c>
    </row>
    <row r="8609" spans="1:13" x14ac:dyDescent="0.3">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
      <c r="A8621" t="s">
        <v>13</v>
      </c>
      <c r="B8621" t="s">
        <v>22</v>
      </c>
      <c r="C8621" t="s">
        <v>15</v>
      </c>
      <c r="D8621" t="s">
        <v>75</v>
      </c>
      <c r="E8621" t="s">
        <v>76</v>
      </c>
      <c r="F8621">
        <v>10024</v>
      </c>
      <c r="G8621" t="s">
        <v>57</v>
      </c>
      <c r="H8621" t="s">
        <v>26</v>
      </c>
      <c r="I8621" t="s">
        <v>32</v>
      </c>
      <c r="J8621">
        <v>65.12</v>
      </c>
      <c r="K8621">
        <v>4</v>
      </c>
      <c r="L8621">
        <v>0</v>
      </c>
      <c r="M8621">
        <v>16.9312</v>
      </c>
    </row>
    <row r="8622" spans="1:13" x14ac:dyDescent="0.3">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
      <c r="A8629" t="s">
        <v>28</v>
      </c>
      <c r="B8629" t="s">
        <v>22</v>
      </c>
      <c r="C8629" t="s">
        <v>15</v>
      </c>
      <c r="D8629" t="s">
        <v>75</v>
      </c>
      <c r="E8629" t="s">
        <v>76</v>
      </c>
      <c r="F8629">
        <v>10011</v>
      </c>
      <c r="G8629" t="s">
        <v>57</v>
      </c>
      <c r="H8629" t="s">
        <v>35</v>
      </c>
      <c r="I8629" t="s">
        <v>59</v>
      </c>
      <c r="J8629">
        <v>90</v>
      </c>
      <c r="K8629">
        <v>5</v>
      </c>
      <c r="L8629">
        <v>0</v>
      </c>
      <c r="M8629">
        <v>16.2</v>
      </c>
    </row>
    <row r="8630" spans="1:13" x14ac:dyDescent="0.3">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
      <c r="A8638" t="s">
        <v>62</v>
      </c>
      <c r="B8638" t="s">
        <v>14</v>
      </c>
      <c r="C8638" t="s">
        <v>15</v>
      </c>
      <c r="D8638" t="s">
        <v>183</v>
      </c>
      <c r="E8638" t="s">
        <v>17</v>
      </c>
      <c r="F8638">
        <v>40214</v>
      </c>
      <c r="G8638" t="s">
        <v>18</v>
      </c>
      <c r="H8638" t="s">
        <v>26</v>
      </c>
      <c r="I8638" t="s">
        <v>32</v>
      </c>
      <c r="J8638">
        <v>826</v>
      </c>
      <c r="K8638">
        <v>5</v>
      </c>
      <c r="L8638">
        <v>0</v>
      </c>
      <c r="M8638">
        <v>214.76</v>
      </c>
    </row>
    <row r="8639" spans="1:13" x14ac:dyDescent="0.3">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
      <c r="A8654" t="s">
        <v>168</v>
      </c>
      <c r="B8654" t="s">
        <v>14</v>
      </c>
      <c r="C8654" t="s">
        <v>15</v>
      </c>
      <c r="D8654" t="s">
        <v>42</v>
      </c>
      <c r="E8654" t="s">
        <v>43</v>
      </c>
      <c r="F8654">
        <v>98103</v>
      </c>
      <c r="G8654" t="s">
        <v>25</v>
      </c>
      <c r="H8654" t="s">
        <v>26</v>
      </c>
      <c r="I8654" t="s">
        <v>110</v>
      </c>
      <c r="J8654">
        <v>7.3</v>
      </c>
      <c r="K8654">
        <v>2</v>
      </c>
      <c r="L8654">
        <v>0</v>
      </c>
      <c r="M8654">
        <v>2.19</v>
      </c>
    </row>
    <row r="8655" spans="1:13" x14ac:dyDescent="0.3">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
      <c r="A8658" t="s">
        <v>168</v>
      </c>
      <c r="B8658" t="s">
        <v>14</v>
      </c>
      <c r="C8658" t="s">
        <v>15</v>
      </c>
      <c r="D8658" t="s">
        <v>42</v>
      </c>
      <c r="E8658" t="s">
        <v>43</v>
      </c>
      <c r="F8658">
        <v>98103</v>
      </c>
      <c r="G8658" t="s">
        <v>25</v>
      </c>
      <c r="H8658" t="s">
        <v>26</v>
      </c>
      <c r="I8658" t="s">
        <v>41</v>
      </c>
      <c r="J8658">
        <v>48.94</v>
      </c>
      <c r="K8658">
        <v>1</v>
      </c>
      <c r="L8658">
        <v>0</v>
      </c>
      <c r="M8658">
        <v>24.47</v>
      </c>
    </row>
    <row r="8659" spans="1:13" x14ac:dyDescent="0.3">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
      <c r="A8666" t="s">
        <v>13</v>
      </c>
      <c r="B8666" t="s">
        <v>14</v>
      </c>
      <c r="C8666" t="s">
        <v>15</v>
      </c>
      <c r="D8666" t="s">
        <v>154</v>
      </c>
      <c r="E8666" t="s">
        <v>24</v>
      </c>
      <c r="F8666">
        <v>90712</v>
      </c>
      <c r="G8666" t="s">
        <v>25</v>
      </c>
      <c r="H8666" t="s">
        <v>19</v>
      </c>
      <c r="I8666" t="s">
        <v>33</v>
      </c>
      <c r="J8666">
        <v>94.2</v>
      </c>
      <c r="K8666">
        <v>5</v>
      </c>
      <c r="L8666">
        <v>0</v>
      </c>
      <c r="M8666">
        <v>39.564</v>
      </c>
    </row>
    <row r="8667" spans="1:13" x14ac:dyDescent="0.3">
      <c r="A8667" t="s">
        <v>62</v>
      </c>
      <c r="B8667" t="s">
        <v>44</v>
      </c>
      <c r="C8667" t="s">
        <v>15</v>
      </c>
      <c r="D8667" t="s">
        <v>52</v>
      </c>
      <c r="E8667" t="s">
        <v>24</v>
      </c>
      <c r="F8667">
        <v>94122</v>
      </c>
      <c r="G8667" t="s">
        <v>25</v>
      </c>
      <c r="H8667" t="s">
        <v>26</v>
      </c>
      <c r="I8667" t="s">
        <v>110</v>
      </c>
      <c r="J8667">
        <v>49.5</v>
      </c>
      <c r="K8667">
        <v>5</v>
      </c>
      <c r="L8667">
        <v>0</v>
      </c>
      <c r="M8667">
        <v>13.365</v>
      </c>
    </row>
    <row r="8668" spans="1:13" x14ac:dyDescent="0.3">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
      <c r="A8677" t="s">
        <v>28</v>
      </c>
      <c r="B8677" t="s">
        <v>14</v>
      </c>
      <c r="C8677" t="s">
        <v>15</v>
      </c>
      <c r="D8677" t="s">
        <v>87</v>
      </c>
      <c r="E8677" t="s">
        <v>65</v>
      </c>
      <c r="F8677">
        <v>62521</v>
      </c>
      <c r="G8677" t="s">
        <v>47</v>
      </c>
      <c r="H8677" t="s">
        <v>26</v>
      </c>
      <c r="I8677" t="s">
        <v>34</v>
      </c>
      <c r="J8677">
        <v>28.032</v>
      </c>
      <c r="K8677">
        <v>6</v>
      </c>
      <c r="L8677">
        <v>0.2</v>
      </c>
      <c r="M8677">
        <v>3.504</v>
      </c>
    </row>
    <row r="8678" spans="1:13" x14ac:dyDescent="0.3">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
      <c r="A8695" t="s">
        <v>28</v>
      </c>
      <c r="B8695" t="s">
        <v>44</v>
      </c>
      <c r="C8695" t="s">
        <v>15</v>
      </c>
      <c r="D8695" t="s">
        <v>52</v>
      </c>
      <c r="E8695" t="s">
        <v>24</v>
      </c>
      <c r="F8695">
        <v>94110</v>
      </c>
      <c r="G8695" t="s">
        <v>25</v>
      </c>
      <c r="H8695" t="s">
        <v>35</v>
      </c>
      <c r="I8695" t="s">
        <v>59</v>
      </c>
      <c r="J8695">
        <v>450</v>
      </c>
      <c r="K8695">
        <v>5</v>
      </c>
      <c r="L8695">
        <v>0</v>
      </c>
      <c r="M8695">
        <v>162</v>
      </c>
    </row>
    <row r="8696" spans="1:13" x14ac:dyDescent="0.3">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
      <c r="A8707" t="s">
        <v>28</v>
      </c>
      <c r="B8707" t="s">
        <v>44</v>
      </c>
      <c r="C8707" t="s">
        <v>15</v>
      </c>
      <c r="D8707" t="s">
        <v>277</v>
      </c>
      <c r="E8707" t="s">
        <v>177</v>
      </c>
      <c r="F8707">
        <v>89502</v>
      </c>
      <c r="G8707" t="s">
        <v>25</v>
      </c>
      <c r="H8707" t="s">
        <v>26</v>
      </c>
      <c r="I8707" t="s">
        <v>77</v>
      </c>
      <c r="J8707">
        <v>4.71</v>
      </c>
      <c r="K8707">
        <v>1</v>
      </c>
      <c r="L8707">
        <v>0</v>
      </c>
      <c r="M8707">
        <v>0</v>
      </c>
    </row>
    <row r="8708" spans="1:13" x14ac:dyDescent="0.3">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
      <c r="A8709" t="s">
        <v>28</v>
      </c>
      <c r="B8709" t="s">
        <v>44</v>
      </c>
      <c r="C8709" t="s">
        <v>15</v>
      </c>
      <c r="D8709" t="s">
        <v>75</v>
      </c>
      <c r="E8709" t="s">
        <v>76</v>
      </c>
      <c r="F8709">
        <v>10009</v>
      </c>
      <c r="G8709" t="s">
        <v>57</v>
      </c>
      <c r="H8709" t="s">
        <v>26</v>
      </c>
      <c r="I8709" t="s">
        <v>34</v>
      </c>
      <c r="J8709">
        <v>3.52</v>
      </c>
      <c r="K8709">
        <v>2</v>
      </c>
      <c r="L8709">
        <v>0</v>
      </c>
      <c r="M8709">
        <v>1.6896</v>
      </c>
    </row>
    <row r="8710" spans="1:13" x14ac:dyDescent="0.3">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
      <c r="A8716" t="s">
        <v>28</v>
      </c>
      <c r="B8716" t="s">
        <v>22</v>
      </c>
      <c r="C8716" t="s">
        <v>15</v>
      </c>
      <c r="D8716" t="s">
        <v>144</v>
      </c>
      <c r="E8716" t="s">
        <v>24</v>
      </c>
      <c r="F8716">
        <v>92105</v>
      </c>
      <c r="G8716" t="s">
        <v>25</v>
      </c>
      <c r="H8716" t="s">
        <v>26</v>
      </c>
      <c r="I8716" t="s">
        <v>37</v>
      </c>
      <c r="J8716">
        <v>29.8</v>
      </c>
      <c r="K8716">
        <v>5</v>
      </c>
      <c r="L8716">
        <v>0.2</v>
      </c>
      <c r="M8716">
        <v>9.3125</v>
      </c>
    </row>
    <row r="8717" spans="1:13" x14ac:dyDescent="0.3">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
      <c r="A8739" t="s">
        <v>28</v>
      </c>
      <c r="B8739" t="s">
        <v>22</v>
      </c>
      <c r="C8739" t="s">
        <v>15</v>
      </c>
      <c r="D8739" t="s">
        <v>435</v>
      </c>
      <c r="E8739" t="s">
        <v>86</v>
      </c>
      <c r="F8739">
        <v>37421</v>
      </c>
      <c r="G8739" t="s">
        <v>18</v>
      </c>
      <c r="H8739" t="s">
        <v>26</v>
      </c>
      <c r="I8739" t="s">
        <v>37</v>
      </c>
      <c r="J8739">
        <v>8.1</v>
      </c>
      <c r="K8739">
        <v>5</v>
      </c>
      <c r="L8739">
        <v>0.7</v>
      </c>
      <c r="M8739">
        <v>-5.94</v>
      </c>
    </row>
    <row r="8740" spans="1:13" x14ac:dyDescent="0.3">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
      <c r="A8745" t="s">
        <v>62</v>
      </c>
      <c r="B8745" t="s">
        <v>14</v>
      </c>
      <c r="C8745" t="s">
        <v>15</v>
      </c>
      <c r="D8745" t="s">
        <v>584</v>
      </c>
      <c r="E8745" t="s">
        <v>95</v>
      </c>
      <c r="F8745">
        <v>97123</v>
      </c>
      <c r="G8745" t="s">
        <v>25</v>
      </c>
      <c r="H8745" t="s">
        <v>35</v>
      </c>
      <c r="I8745" t="s">
        <v>59</v>
      </c>
      <c r="J8745">
        <v>53.04</v>
      </c>
      <c r="K8745">
        <v>3</v>
      </c>
      <c r="L8745">
        <v>0.2</v>
      </c>
      <c r="M8745">
        <v>-4.641</v>
      </c>
    </row>
    <row r="8746" spans="1:13" x14ac:dyDescent="0.3">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
      <c r="A8767" t="s">
        <v>28</v>
      </c>
      <c r="B8767" t="s">
        <v>22</v>
      </c>
      <c r="C8767" t="s">
        <v>15</v>
      </c>
      <c r="D8767" t="s">
        <v>45</v>
      </c>
      <c r="E8767" t="s">
        <v>46</v>
      </c>
      <c r="F8767">
        <v>76106</v>
      </c>
      <c r="G8767" t="s">
        <v>47</v>
      </c>
      <c r="H8767" t="s">
        <v>26</v>
      </c>
      <c r="I8767" t="s">
        <v>37</v>
      </c>
      <c r="J8767">
        <v>1.696</v>
      </c>
      <c r="K8767">
        <v>2</v>
      </c>
      <c r="L8767">
        <v>0.8</v>
      </c>
      <c r="M8767">
        <v>-2.544</v>
      </c>
    </row>
    <row r="8768" spans="1:13" x14ac:dyDescent="0.3">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
      <c r="A8769" t="s">
        <v>28</v>
      </c>
      <c r="B8769" t="s">
        <v>22</v>
      </c>
      <c r="C8769" t="s">
        <v>15</v>
      </c>
      <c r="D8769" t="s">
        <v>45</v>
      </c>
      <c r="E8769" t="s">
        <v>46</v>
      </c>
      <c r="F8769">
        <v>76106</v>
      </c>
      <c r="G8769" t="s">
        <v>47</v>
      </c>
      <c r="H8769" t="s">
        <v>26</v>
      </c>
      <c r="I8769" t="s">
        <v>37</v>
      </c>
      <c r="J8769">
        <v>7.98</v>
      </c>
      <c r="K8769">
        <v>5</v>
      </c>
      <c r="L8769">
        <v>0.8</v>
      </c>
      <c r="M8769">
        <v>-13.167</v>
      </c>
    </row>
    <row r="8770" spans="1:13" x14ac:dyDescent="0.3">
      <c r="A8770" t="s">
        <v>28</v>
      </c>
      <c r="B8770" t="s">
        <v>14</v>
      </c>
      <c r="C8770" t="s">
        <v>15</v>
      </c>
      <c r="D8770" t="s">
        <v>103</v>
      </c>
      <c r="E8770" t="s">
        <v>104</v>
      </c>
      <c r="F8770">
        <v>43229</v>
      </c>
      <c r="G8770" t="s">
        <v>57</v>
      </c>
      <c r="H8770" t="s">
        <v>35</v>
      </c>
      <c r="I8770" t="s">
        <v>59</v>
      </c>
      <c r="J8770">
        <v>288</v>
      </c>
      <c r="K8770">
        <v>4</v>
      </c>
      <c r="L8770">
        <v>0.2</v>
      </c>
      <c r="M8770">
        <v>57.6</v>
      </c>
    </row>
    <row r="8771" spans="1:13" x14ac:dyDescent="0.3">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
      <c r="A8775" t="s">
        <v>28</v>
      </c>
      <c r="B8775" t="s">
        <v>44</v>
      </c>
      <c r="C8775" t="s">
        <v>15</v>
      </c>
      <c r="D8775" t="s">
        <v>75</v>
      </c>
      <c r="E8775" t="s">
        <v>76</v>
      </c>
      <c r="F8775">
        <v>10024</v>
      </c>
      <c r="G8775" t="s">
        <v>57</v>
      </c>
      <c r="H8775" t="s">
        <v>26</v>
      </c>
      <c r="I8775" t="s">
        <v>38</v>
      </c>
      <c r="J8775">
        <v>26.88</v>
      </c>
      <c r="K8775">
        <v>6</v>
      </c>
      <c r="L8775">
        <v>0</v>
      </c>
      <c r="M8775">
        <v>6.72</v>
      </c>
    </row>
    <row r="8776" spans="1:13" x14ac:dyDescent="0.3">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
      <c r="A8799" t="s">
        <v>28</v>
      </c>
      <c r="B8799" t="s">
        <v>14</v>
      </c>
      <c r="C8799" t="s">
        <v>15</v>
      </c>
      <c r="D8799" t="s">
        <v>58</v>
      </c>
      <c r="E8799" t="s">
        <v>51</v>
      </c>
      <c r="F8799">
        <v>84057</v>
      </c>
      <c r="G8799" t="s">
        <v>25</v>
      </c>
      <c r="H8799" t="s">
        <v>26</v>
      </c>
      <c r="I8799" t="s">
        <v>34</v>
      </c>
      <c r="J8799">
        <v>45.98</v>
      </c>
      <c r="K8799">
        <v>2</v>
      </c>
      <c r="L8799">
        <v>0</v>
      </c>
      <c r="M8799">
        <v>12.8744</v>
      </c>
    </row>
    <row r="8800" spans="1:13" x14ac:dyDescent="0.3">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
      <c r="A8817" t="s">
        <v>13</v>
      </c>
      <c r="B8817" t="s">
        <v>14</v>
      </c>
      <c r="C8817" t="s">
        <v>15</v>
      </c>
      <c r="D8817" t="s">
        <v>106</v>
      </c>
      <c r="E8817" t="s">
        <v>72</v>
      </c>
      <c r="F8817">
        <v>19805</v>
      </c>
      <c r="G8817" t="s">
        <v>57</v>
      </c>
      <c r="H8817" t="s">
        <v>26</v>
      </c>
      <c r="I8817" t="s">
        <v>41</v>
      </c>
      <c r="J8817">
        <v>44.1</v>
      </c>
      <c r="K8817">
        <v>6</v>
      </c>
      <c r="L8817">
        <v>0</v>
      </c>
      <c r="M8817">
        <v>20.727</v>
      </c>
    </row>
    <row r="8818" spans="1:13" x14ac:dyDescent="0.3">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
      <c r="A8839" t="s">
        <v>28</v>
      </c>
      <c r="B8839" t="s">
        <v>44</v>
      </c>
      <c r="C8839" t="s">
        <v>15</v>
      </c>
      <c r="D8839" t="s">
        <v>497</v>
      </c>
      <c r="E8839" t="s">
        <v>167</v>
      </c>
      <c r="F8839">
        <v>30328</v>
      </c>
      <c r="G8839" t="s">
        <v>18</v>
      </c>
      <c r="H8839" t="s">
        <v>26</v>
      </c>
      <c r="I8839" t="s">
        <v>27</v>
      </c>
      <c r="J8839">
        <v>15.75</v>
      </c>
      <c r="K8839">
        <v>5</v>
      </c>
      <c r="L8839">
        <v>0</v>
      </c>
      <c r="M8839">
        <v>7.56</v>
      </c>
    </row>
    <row r="8840" spans="1:13" x14ac:dyDescent="0.3">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
      <c r="A8844" t="s">
        <v>28</v>
      </c>
      <c r="B8844" t="s">
        <v>22</v>
      </c>
      <c r="C8844" t="s">
        <v>15</v>
      </c>
      <c r="D8844" t="s">
        <v>52</v>
      </c>
      <c r="E8844" t="s">
        <v>24</v>
      </c>
      <c r="F8844">
        <v>94110</v>
      </c>
      <c r="G8844" t="s">
        <v>25</v>
      </c>
      <c r="H8844" t="s">
        <v>35</v>
      </c>
      <c r="I8844" t="s">
        <v>59</v>
      </c>
      <c r="J8844">
        <v>31.86</v>
      </c>
      <c r="K8844">
        <v>2</v>
      </c>
      <c r="L8844">
        <v>0</v>
      </c>
      <c r="M8844">
        <v>11.151</v>
      </c>
    </row>
    <row r="8845" spans="1:13" x14ac:dyDescent="0.3">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
      <c r="A8862" t="s">
        <v>28</v>
      </c>
      <c r="B8862" t="s">
        <v>44</v>
      </c>
      <c r="C8862" t="s">
        <v>15</v>
      </c>
      <c r="D8862" t="s">
        <v>353</v>
      </c>
      <c r="E8862" t="s">
        <v>132</v>
      </c>
      <c r="F8862">
        <v>7501</v>
      </c>
      <c r="G8862" t="s">
        <v>57</v>
      </c>
      <c r="H8862" t="s">
        <v>26</v>
      </c>
      <c r="I8862" t="s">
        <v>27</v>
      </c>
      <c r="J8862">
        <v>31.05</v>
      </c>
      <c r="K8862">
        <v>3</v>
      </c>
      <c r="L8862">
        <v>0</v>
      </c>
      <c r="M8862">
        <v>14.904</v>
      </c>
    </row>
    <row r="8863" spans="1:13" x14ac:dyDescent="0.3">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
      <c r="A8879" t="s">
        <v>28</v>
      </c>
      <c r="B8879" t="s">
        <v>14</v>
      </c>
      <c r="C8879" t="s">
        <v>15</v>
      </c>
      <c r="D8879" t="s">
        <v>147</v>
      </c>
      <c r="E8879" t="s">
        <v>132</v>
      </c>
      <c r="F8879">
        <v>7960</v>
      </c>
      <c r="G8879" t="s">
        <v>57</v>
      </c>
      <c r="H8879" t="s">
        <v>35</v>
      </c>
      <c r="I8879" t="s">
        <v>123</v>
      </c>
      <c r="J8879">
        <v>480</v>
      </c>
      <c r="K8879">
        <v>4</v>
      </c>
      <c r="L8879">
        <v>0</v>
      </c>
      <c r="M8879">
        <v>225.6</v>
      </c>
    </row>
    <row r="8880" spans="1:13" x14ac:dyDescent="0.3">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
      <c r="A8898" t="s">
        <v>28</v>
      </c>
      <c r="B8898" t="s">
        <v>14</v>
      </c>
      <c r="C8898" t="s">
        <v>15</v>
      </c>
      <c r="D8898" t="s">
        <v>23</v>
      </c>
      <c r="E8898" t="s">
        <v>24</v>
      </c>
      <c r="F8898">
        <v>90004</v>
      </c>
      <c r="G8898" t="s">
        <v>25</v>
      </c>
      <c r="H8898" t="s">
        <v>35</v>
      </c>
      <c r="I8898" t="s">
        <v>36</v>
      </c>
      <c r="J8898">
        <v>165.6</v>
      </c>
      <c r="K8898">
        <v>3</v>
      </c>
      <c r="L8898">
        <v>0.2</v>
      </c>
      <c r="M8898">
        <v>10.35</v>
      </c>
    </row>
    <row r="8899" spans="1:13" x14ac:dyDescent="0.3">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
      <c r="A8901" t="s">
        <v>13</v>
      </c>
      <c r="B8901" t="s">
        <v>22</v>
      </c>
      <c r="C8901" t="s">
        <v>15</v>
      </c>
      <c r="D8901" t="s">
        <v>82</v>
      </c>
      <c r="E8901" t="s">
        <v>83</v>
      </c>
      <c r="F8901">
        <v>22153</v>
      </c>
      <c r="G8901" t="s">
        <v>18</v>
      </c>
      <c r="H8901" t="s">
        <v>26</v>
      </c>
      <c r="I8901" t="s">
        <v>27</v>
      </c>
      <c r="J8901">
        <v>25.06</v>
      </c>
      <c r="K8901">
        <v>2</v>
      </c>
      <c r="L8901">
        <v>0</v>
      </c>
      <c r="M8901">
        <v>11.7782</v>
      </c>
    </row>
    <row r="8902" spans="1:13" x14ac:dyDescent="0.3">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
      <c r="A8949" t="s">
        <v>28</v>
      </c>
      <c r="B8949" t="s">
        <v>22</v>
      </c>
      <c r="C8949" t="s">
        <v>15</v>
      </c>
      <c r="D8949" t="s">
        <v>302</v>
      </c>
      <c r="E8949" t="s">
        <v>166</v>
      </c>
      <c r="F8949">
        <v>2740</v>
      </c>
      <c r="G8949" t="s">
        <v>57</v>
      </c>
      <c r="H8949" t="s">
        <v>26</v>
      </c>
      <c r="I8949" t="s">
        <v>37</v>
      </c>
      <c r="J8949">
        <v>12.3</v>
      </c>
      <c r="K8949">
        <v>5</v>
      </c>
      <c r="L8949">
        <v>0</v>
      </c>
      <c r="M8949">
        <v>6.15</v>
      </c>
    </row>
    <row r="8950" spans="1:13" x14ac:dyDescent="0.3">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
      <c r="A8953" t="s">
        <v>28</v>
      </c>
      <c r="B8953" t="s">
        <v>14</v>
      </c>
      <c r="C8953" t="s">
        <v>15</v>
      </c>
      <c r="D8953" t="s">
        <v>84</v>
      </c>
      <c r="E8953" t="s">
        <v>86</v>
      </c>
      <c r="F8953">
        <v>38301</v>
      </c>
      <c r="G8953" t="s">
        <v>18</v>
      </c>
      <c r="H8953" t="s">
        <v>26</v>
      </c>
      <c r="I8953" t="s">
        <v>32</v>
      </c>
      <c r="J8953">
        <v>26.16</v>
      </c>
      <c r="K8953">
        <v>3</v>
      </c>
      <c r="L8953">
        <v>0.2</v>
      </c>
      <c r="M8953">
        <v>1.962</v>
      </c>
    </row>
    <row r="8954" spans="1:13" x14ac:dyDescent="0.3">
      <c r="A8954" t="s">
        <v>28</v>
      </c>
      <c r="B8954" t="s">
        <v>14</v>
      </c>
      <c r="C8954" t="s">
        <v>15</v>
      </c>
      <c r="D8954" t="s">
        <v>84</v>
      </c>
      <c r="E8954" t="s">
        <v>86</v>
      </c>
      <c r="F8954">
        <v>38301</v>
      </c>
      <c r="G8954" t="s">
        <v>18</v>
      </c>
      <c r="H8954" t="s">
        <v>26</v>
      </c>
      <c r="I8954" t="s">
        <v>34</v>
      </c>
      <c r="J8954">
        <v>23.128</v>
      </c>
      <c r="K8954">
        <v>7</v>
      </c>
      <c r="L8954">
        <v>0.2</v>
      </c>
      <c r="M8954">
        <v>2.891</v>
      </c>
    </row>
    <row r="8955" spans="1:13" x14ac:dyDescent="0.3">
      <c r="A8955" t="s">
        <v>28</v>
      </c>
      <c r="B8955" t="s">
        <v>14</v>
      </c>
      <c r="C8955" t="s">
        <v>15</v>
      </c>
      <c r="D8955" t="s">
        <v>84</v>
      </c>
      <c r="E8955" t="s">
        <v>86</v>
      </c>
      <c r="F8955">
        <v>38301</v>
      </c>
      <c r="G8955" t="s">
        <v>18</v>
      </c>
      <c r="H8955" t="s">
        <v>26</v>
      </c>
      <c r="I8955" t="s">
        <v>38</v>
      </c>
      <c r="J8955">
        <v>59.24</v>
      </c>
      <c r="K8955">
        <v>5</v>
      </c>
      <c r="L8955">
        <v>0.2</v>
      </c>
      <c r="M8955">
        <v>16.291</v>
      </c>
    </row>
    <row r="8956" spans="1:13" x14ac:dyDescent="0.3">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
      <c r="A8959" t="s">
        <v>62</v>
      </c>
      <c r="B8959" t="s">
        <v>14</v>
      </c>
      <c r="C8959" t="s">
        <v>15</v>
      </c>
      <c r="D8959" t="s">
        <v>229</v>
      </c>
      <c r="E8959" t="s">
        <v>30</v>
      </c>
      <c r="F8959">
        <v>33012</v>
      </c>
      <c r="G8959" t="s">
        <v>18</v>
      </c>
      <c r="H8959" t="s">
        <v>35</v>
      </c>
      <c r="I8959" t="s">
        <v>123</v>
      </c>
      <c r="J8959">
        <v>120</v>
      </c>
      <c r="K8959">
        <v>2</v>
      </c>
      <c r="L8959">
        <v>0.5</v>
      </c>
      <c r="M8959">
        <v>-7.2</v>
      </c>
    </row>
    <row r="8960" spans="1:13" x14ac:dyDescent="0.3">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
      <c r="A8968" t="s">
        <v>28</v>
      </c>
      <c r="B8968" t="s">
        <v>44</v>
      </c>
      <c r="C8968" t="s">
        <v>15</v>
      </c>
      <c r="D8968" t="s">
        <v>55</v>
      </c>
      <c r="E8968" t="s">
        <v>56</v>
      </c>
      <c r="F8968">
        <v>19120</v>
      </c>
      <c r="G8968" t="s">
        <v>57</v>
      </c>
      <c r="H8968" t="s">
        <v>35</v>
      </c>
      <c r="I8968" t="s">
        <v>59</v>
      </c>
      <c r="J8968">
        <v>72</v>
      </c>
      <c r="K8968">
        <v>1</v>
      </c>
      <c r="L8968">
        <v>0.2</v>
      </c>
      <c r="M8968">
        <v>14.4</v>
      </c>
    </row>
    <row r="8969" spans="1:13" x14ac:dyDescent="0.3">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
      <c r="A8980" t="s">
        <v>13</v>
      </c>
      <c r="B8980" t="s">
        <v>22</v>
      </c>
      <c r="C8980" t="s">
        <v>15</v>
      </c>
      <c r="D8980" t="s">
        <v>423</v>
      </c>
      <c r="E8980" t="s">
        <v>132</v>
      </c>
      <c r="F8980">
        <v>7050</v>
      </c>
      <c r="G8980" t="s">
        <v>57</v>
      </c>
      <c r="H8980" t="s">
        <v>26</v>
      </c>
      <c r="I8980" t="s">
        <v>37</v>
      </c>
      <c r="J8980">
        <v>5.76</v>
      </c>
      <c r="K8980">
        <v>2</v>
      </c>
      <c r="L8980">
        <v>0</v>
      </c>
      <c r="M8980">
        <v>2.8224</v>
      </c>
    </row>
    <row r="8981" spans="1:13" x14ac:dyDescent="0.3">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
      <c r="A9013" t="s">
        <v>62</v>
      </c>
      <c r="B9013" t="s">
        <v>44</v>
      </c>
      <c r="C9013" t="s">
        <v>15</v>
      </c>
      <c r="D9013" t="s">
        <v>61</v>
      </c>
      <c r="E9013" t="s">
        <v>46</v>
      </c>
      <c r="F9013">
        <v>77036</v>
      </c>
      <c r="G9013" t="s">
        <v>47</v>
      </c>
      <c r="H9013" t="s">
        <v>35</v>
      </c>
      <c r="I9013" t="s">
        <v>59</v>
      </c>
      <c r="J9013">
        <v>100.8</v>
      </c>
      <c r="K9013">
        <v>2</v>
      </c>
      <c r="L9013">
        <v>0.2</v>
      </c>
      <c r="M9013">
        <v>21.42</v>
      </c>
    </row>
    <row r="9014" spans="1:13" x14ac:dyDescent="0.3">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
      <c r="A9022" t="s">
        <v>13</v>
      </c>
      <c r="B9022" t="s">
        <v>14</v>
      </c>
      <c r="C9022" t="s">
        <v>15</v>
      </c>
      <c r="D9022" t="s">
        <v>82</v>
      </c>
      <c r="E9022" t="s">
        <v>83</v>
      </c>
      <c r="F9022">
        <v>22153</v>
      </c>
      <c r="G9022" t="s">
        <v>18</v>
      </c>
      <c r="H9022" t="s">
        <v>19</v>
      </c>
      <c r="I9022" t="s">
        <v>33</v>
      </c>
      <c r="J9022">
        <v>29.46</v>
      </c>
      <c r="K9022">
        <v>6</v>
      </c>
      <c r="L9022">
        <v>0</v>
      </c>
      <c r="M9022">
        <v>9.7218</v>
      </c>
    </row>
    <row r="9023" spans="1:13" x14ac:dyDescent="0.3">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
      <c r="A9028" t="s">
        <v>28</v>
      </c>
      <c r="B9028" t="s">
        <v>22</v>
      </c>
      <c r="C9028" t="s">
        <v>15</v>
      </c>
      <c r="D9028" t="s">
        <v>75</v>
      </c>
      <c r="E9028" t="s">
        <v>76</v>
      </c>
      <c r="F9028">
        <v>10035</v>
      </c>
      <c r="G9028" t="s">
        <v>57</v>
      </c>
      <c r="H9028" t="s">
        <v>19</v>
      </c>
      <c r="I9028" t="s">
        <v>33</v>
      </c>
      <c r="J9028">
        <v>37.74</v>
      </c>
      <c r="K9028">
        <v>3</v>
      </c>
      <c r="L9028">
        <v>0</v>
      </c>
      <c r="M9028">
        <v>12.8316</v>
      </c>
    </row>
    <row r="9029" spans="1:13" x14ac:dyDescent="0.3">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
      <c r="A9039" t="s">
        <v>62</v>
      </c>
      <c r="B9039" t="s">
        <v>14</v>
      </c>
      <c r="C9039" t="s">
        <v>15</v>
      </c>
      <c r="D9039" t="s">
        <v>75</v>
      </c>
      <c r="E9039" t="s">
        <v>76</v>
      </c>
      <c r="F9039">
        <v>10035</v>
      </c>
      <c r="G9039" t="s">
        <v>57</v>
      </c>
      <c r="H9039" t="s">
        <v>26</v>
      </c>
      <c r="I9039" t="s">
        <v>32</v>
      </c>
      <c r="J9039">
        <v>22.58</v>
      </c>
      <c r="K9039">
        <v>2</v>
      </c>
      <c r="L9039">
        <v>0</v>
      </c>
      <c r="M9039">
        <v>5.8708</v>
      </c>
    </row>
    <row r="9040" spans="1:13" x14ac:dyDescent="0.3">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
      <c r="A9050" t="s">
        <v>13</v>
      </c>
      <c r="B9050" t="s">
        <v>22</v>
      </c>
      <c r="C9050" t="s">
        <v>15</v>
      </c>
      <c r="D9050" t="s">
        <v>368</v>
      </c>
      <c r="E9050" t="s">
        <v>24</v>
      </c>
      <c r="F9050">
        <v>94086</v>
      </c>
      <c r="G9050" t="s">
        <v>25</v>
      </c>
      <c r="H9050" t="s">
        <v>26</v>
      </c>
      <c r="I9050" t="s">
        <v>27</v>
      </c>
      <c r="J9050">
        <v>44.4</v>
      </c>
      <c r="K9050">
        <v>3</v>
      </c>
      <c r="L9050">
        <v>0</v>
      </c>
      <c r="M9050">
        <v>22.2</v>
      </c>
    </row>
    <row r="9051" spans="1:13" x14ac:dyDescent="0.3">
      <c r="A9051" t="s">
        <v>28</v>
      </c>
      <c r="B9051" t="s">
        <v>44</v>
      </c>
      <c r="C9051" t="s">
        <v>15</v>
      </c>
      <c r="D9051" t="s">
        <v>75</v>
      </c>
      <c r="E9051" t="s">
        <v>76</v>
      </c>
      <c r="F9051">
        <v>10011</v>
      </c>
      <c r="G9051" t="s">
        <v>57</v>
      </c>
      <c r="H9051" t="s">
        <v>26</v>
      </c>
      <c r="I9051" t="s">
        <v>34</v>
      </c>
      <c r="J9051">
        <v>66.03</v>
      </c>
      <c r="K9051">
        <v>3</v>
      </c>
      <c r="L9051">
        <v>0</v>
      </c>
      <c r="M9051">
        <v>17.1678</v>
      </c>
    </row>
    <row r="9052" spans="1:13" x14ac:dyDescent="0.3">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
      <c r="A9053" t="s">
        <v>13</v>
      </c>
      <c r="B9053" t="s">
        <v>22</v>
      </c>
      <c r="C9053" t="s">
        <v>15</v>
      </c>
      <c r="D9053" t="s">
        <v>52</v>
      </c>
      <c r="E9053" t="s">
        <v>24</v>
      </c>
      <c r="F9053">
        <v>94122</v>
      </c>
      <c r="G9053" t="s">
        <v>25</v>
      </c>
      <c r="H9053" t="s">
        <v>26</v>
      </c>
      <c r="I9053" t="s">
        <v>34</v>
      </c>
      <c r="J9053">
        <v>3.36</v>
      </c>
      <c r="K9053">
        <v>2</v>
      </c>
      <c r="L9053">
        <v>0</v>
      </c>
      <c r="M9053">
        <v>0.84</v>
      </c>
    </row>
    <row r="9054" spans="1:13" x14ac:dyDescent="0.3">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
      <c r="A9076" t="s">
        <v>28</v>
      </c>
      <c r="B9076" t="s">
        <v>22</v>
      </c>
      <c r="C9076" t="s">
        <v>15</v>
      </c>
      <c r="D9076" t="s">
        <v>16</v>
      </c>
      <c r="E9076" t="s">
        <v>17</v>
      </c>
      <c r="F9076">
        <v>42420</v>
      </c>
      <c r="G9076" t="s">
        <v>18</v>
      </c>
      <c r="H9076" t="s">
        <v>26</v>
      </c>
      <c r="I9076" t="s">
        <v>32</v>
      </c>
      <c r="J9076">
        <v>828.84</v>
      </c>
      <c r="K9076">
        <v>6</v>
      </c>
      <c r="L9076">
        <v>0</v>
      </c>
      <c r="M9076">
        <v>0</v>
      </c>
    </row>
    <row r="9077" spans="1:13" x14ac:dyDescent="0.3">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
      <c r="A9078" t="s">
        <v>62</v>
      </c>
      <c r="B9078" t="s">
        <v>14</v>
      </c>
      <c r="C9078" t="s">
        <v>15</v>
      </c>
      <c r="D9078" t="s">
        <v>154</v>
      </c>
      <c r="E9078" t="s">
        <v>104</v>
      </c>
      <c r="F9078">
        <v>44107</v>
      </c>
      <c r="G9078" t="s">
        <v>57</v>
      </c>
      <c r="H9078" t="s">
        <v>26</v>
      </c>
      <c r="I9078" t="s">
        <v>110</v>
      </c>
      <c r="J9078">
        <v>27.2</v>
      </c>
      <c r="K9078">
        <v>4</v>
      </c>
      <c r="L9078">
        <v>0.2</v>
      </c>
      <c r="M9078">
        <v>2.04</v>
      </c>
    </row>
    <row r="9079" spans="1:13" x14ac:dyDescent="0.3">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
      <c r="A9081" t="s">
        <v>28</v>
      </c>
      <c r="B9081" t="s">
        <v>14</v>
      </c>
      <c r="C9081" t="s">
        <v>15</v>
      </c>
      <c r="D9081" t="s">
        <v>16</v>
      </c>
      <c r="E9081" t="s">
        <v>17</v>
      </c>
      <c r="F9081">
        <v>42420</v>
      </c>
      <c r="G9081" t="s">
        <v>18</v>
      </c>
      <c r="H9081" t="s">
        <v>26</v>
      </c>
      <c r="I9081" t="s">
        <v>37</v>
      </c>
      <c r="J9081">
        <v>5.8</v>
      </c>
      <c r="K9081">
        <v>1</v>
      </c>
      <c r="L9081">
        <v>0</v>
      </c>
      <c r="M9081">
        <v>2.61</v>
      </c>
    </row>
    <row r="9082" spans="1:13" x14ac:dyDescent="0.3">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
      <c r="A9084" t="s">
        <v>28</v>
      </c>
      <c r="B9084" t="s">
        <v>14</v>
      </c>
      <c r="C9084" t="s">
        <v>15</v>
      </c>
      <c r="D9084" t="s">
        <v>82</v>
      </c>
      <c r="E9084" t="s">
        <v>83</v>
      </c>
      <c r="F9084">
        <v>22153</v>
      </c>
      <c r="G9084" t="s">
        <v>18</v>
      </c>
      <c r="H9084" t="s">
        <v>26</v>
      </c>
      <c r="I9084" t="s">
        <v>34</v>
      </c>
      <c r="J9084">
        <v>5.56</v>
      </c>
      <c r="K9084">
        <v>2</v>
      </c>
      <c r="L9084">
        <v>0</v>
      </c>
      <c r="M9084">
        <v>1.4456</v>
      </c>
    </row>
    <row r="9085" spans="1:13" x14ac:dyDescent="0.3">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
      <c r="A9086" t="s">
        <v>62</v>
      </c>
      <c r="B9086" t="s">
        <v>22</v>
      </c>
      <c r="C9086" t="s">
        <v>15</v>
      </c>
      <c r="D9086" t="s">
        <v>329</v>
      </c>
      <c r="E9086" t="s">
        <v>83</v>
      </c>
      <c r="F9086">
        <v>23434</v>
      </c>
      <c r="G9086" t="s">
        <v>18</v>
      </c>
      <c r="H9086" t="s">
        <v>26</v>
      </c>
      <c r="I9086" t="s">
        <v>41</v>
      </c>
      <c r="J9086">
        <v>29.9</v>
      </c>
      <c r="K9086">
        <v>5</v>
      </c>
      <c r="L9086">
        <v>0</v>
      </c>
      <c r="M9086">
        <v>13.455</v>
      </c>
    </row>
    <row r="9087" spans="1:13" x14ac:dyDescent="0.3">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
      <c r="A9099" t="s">
        <v>28</v>
      </c>
      <c r="B9099" t="s">
        <v>14</v>
      </c>
      <c r="C9099" t="s">
        <v>15</v>
      </c>
      <c r="D9099" t="s">
        <v>107</v>
      </c>
      <c r="E9099" t="s">
        <v>74</v>
      </c>
      <c r="F9099">
        <v>47401</v>
      </c>
      <c r="G9099" t="s">
        <v>47</v>
      </c>
      <c r="H9099" t="s">
        <v>26</v>
      </c>
      <c r="I9099" t="s">
        <v>41</v>
      </c>
      <c r="J9099">
        <v>32.4</v>
      </c>
      <c r="K9099">
        <v>5</v>
      </c>
      <c r="L9099">
        <v>0</v>
      </c>
      <c r="M9099">
        <v>15.552</v>
      </c>
    </row>
    <row r="9100" spans="1:13" x14ac:dyDescent="0.3">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
      <c r="A9103" t="s">
        <v>28</v>
      </c>
      <c r="B9103" t="s">
        <v>14</v>
      </c>
      <c r="C9103" t="s">
        <v>15</v>
      </c>
      <c r="D9103" t="s">
        <v>61</v>
      </c>
      <c r="E9103" t="s">
        <v>46</v>
      </c>
      <c r="F9103">
        <v>77041</v>
      </c>
      <c r="G9103" t="s">
        <v>47</v>
      </c>
      <c r="H9103" t="s">
        <v>26</v>
      </c>
      <c r="I9103" t="s">
        <v>34</v>
      </c>
      <c r="J9103">
        <v>23.64</v>
      </c>
      <c r="K9103">
        <v>3</v>
      </c>
      <c r="L9103">
        <v>0.2</v>
      </c>
      <c r="M9103">
        <v>5.319</v>
      </c>
    </row>
    <row r="9104" spans="1:13" x14ac:dyDescent="0.3">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
      <c r="A9117" t="s">
        <v>13</v>
      </c>
      <c r="B9117" t="s">
        <v>14</v>
      </c>
      <c r="C9117" t="s">
        <v>15</v>
      </c>
      <c r="D9117" t="s">
        <v>55</v>
      </c>
      <c r="E9117" t="s">
        <v>56</v>
      </c>
      <c r="F9117">
        <v>19140</v>
      </c>
      <c r="G9117" t="s">
        <v>57</v>
      </c>
      <c r="H9117" t="s">
        <v>35</v>
      </c>
      <c r="I9117" t="s">
        <v>36</v>
      </c>
      <c r="J9117">
        <v>429.6</v>
      </c>
      <c r="K9117">
        <v>2</v>
      </c>
      <c r="L9117">
        <v>0.4</v>
      </c>
      <c r="M9117">
        <v>-93.08</v>
      </c>
    </row>
    <row r="9118" spans="1:13" x14ac:dyDescent="0.3">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
      <c r="A9121" t="s">
        <v>28</v>
      </c>
      <c r="B9121" t="s">
        <v>44</v>
      </c>
      <c r="C9121" t="s">
        <v>15</v>
      </c>
      <c r="D9121" t="s">
        <v>23</v>
      </c>
      <c r="E9121" t="s">
        <v>24</v>
      </c>
      <c r="F9121">
        <v>90036</v>
      </c>
      <c r="G9121" t="s">
        <v>25</v>
      </c>
      <c r="H9121" t="s">
        <v>26</v>
      </c>
      <c r="I9121" t="s">
        <v>27</v>
      </c>
      <c r="J9121">
        <v>22.05</v>
      </c>
      <c r="K9121">
        <v>7</v>
      </c>
      <c r="L9121">
        <v>0</v>
      </c>
      <c r="M9121">
        <v>10.584</v>
      </c>
    </row>
    <row r="9122" spans="1:13" x14ac:dyDescent="0.3">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
      <c r="A9143" t="s">
        <v>62</v>
      </c>
      <c r="B9143" t="s">
        <v>22</v>
      </c>
      <c r="C9143" t="s">
        <v>15</v>
      </c>
      <c r="D9143" t="s">
        <v>75</v>
      </c>
      <c r="E9143" t="s">
        <v>76</v>
      </c>
      <c r="F9143">
        <v>10011</v>
      </c>
      <c r="G9143" t="s">
        <v>57</v>
      </c>
      <c r="H9143" t="s">
        <v>35</v>
      </c>
      <c r="I9143" t="s">
        <v>36</v>
      </c>
      <c r="J9143">
        <v>43.6</v>
      </c>
      <c r="K9143">
        <v>4</v>
      </c>
      <c r="L9143">
        <v>0</v>
      </c>
      <c r="M9143">
        <v>12.208</v>
      </c>
    </row>
    <row r="9144" spans="1:13" x14ac:dyDescent="0.3">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
      <c r="A9154" t="s">
        <v>13</v>
      </c>
      <c r="B9154" t="s">
        <v>14</v>
      </c>
      <c r="C9154" t="s">
        <v>15</v>
      </c>
      <c r="D9154" t="s">
        <v>509</v>
      </c>
      <c r="E9154" t="s">
        <v>81</v>
      </c>
      <c r="F9154">
        <v>85323</v>
      </c>
      <c r="G9154" t="s">
        <v>25</v>
      </c>
      <c r="H9154" t="s">
        <v>35</v>
      </c>
      <c r="I9154" t="s">
        <v>59</v>
      </c>
      <c r="J9154">
        <v>23.2</v>
      </c>
      <c r="K9154">
        <v>2</v>
      </c>
      <c r="L9154">
        <v>0.2</v>
      </c>
      <c r="M9154">
        <v>1.45</v>
      </c>
    </row>
    <row r="9155" spans="1:13" x14ac:dyDescent="0.3">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
      <c r="A9162" t="s">
        <v>28</v>
      </c>
      <c r="B9162" t="s">
        <v>44</v>
      </c>
      <c r="C9162" t="s">
        <v>15</v>
      </c>
      <c r="D9162" t="s">
        <v>561</v>
      </c>
      <c r="E9162" t="s">
        <v>86</v>
      </c>
      <c r="F9162">
        <v>37075</v>
      </c>
      <c r="G9162" t="s">
        <v>18</v>
      </c>
      <c r="H9162" t="s">
        <v>26</v>
      </c>
      <c r="I9162" t="s">
        <v>37</v>
      </c>
      <c r="J9162">
        <v>11.88</v>
      </c>
      <c r="K9162">
        <v>5</v>
      </c>
      <c r="L9162">
        <v>0.7</v>
      </c>
      <c r="M9162">
        <v>-7.92</v>
      </c>
    </row>
    <row r="9163" spans="1:13" x14ac:dyDescent="0.3">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
      <c r="A9180" t="s">
        <v>28</v>
      </c>
      <c r="B9180" t="s">
        <v>14</v>
      </c>
      <c r="C9180" t="s">
        <v>15</v>
      </c>
      <c r="D9180" t="s">
        <v>75</v>
      </c>
      <c r="E9180" t="s">
        <v>76</v>
      </c>
      <c r="F9180">
        <v>10035</v>
      </c>
      <c r="G9180" t="s">
        <v>57</v>
      </c>
      <c r="H9180" t="s">
        <v>26</v>
      </c>
      <c r="I9180" t="s">
        <v>34</v>
      </c>
      <c r="J9180">
        <v>23.65</v>
      </c>
      <c r="K9180">
        <v>1</v>
      </c>
      <c r="L9180">
        <v>0</v>
      </c>
      <c r="M9180">
        <v>6.149</v>
      </c>
    </row>
    <row r="9181" spans="1:13" x14ac:dyDescent="0.3">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
      <c r="A9184" t="s">
        <v>28</v>
      </c>
      <c r="B9184" t="s">
        <v>14</v>
      </c>
      <c r="C9184" t="s">
        <v>15</v>
      </c>
      <c r="D9184" t="s">
        <v>308</v>
      </c>
      <c r="E9184" t="s">
        <v>24</v>
      </c>
      <c r="F9184">
        <v>92683</v>
      </c>
      <c r="G9184" t="s">
        <v>25</v>
      </c>
      <c r="H9184" t="s">
        <v>35</v>
      </c>
      <c r="I9184" t="s">
        <v>59</v>
      </c>
      <c r="J9184">
        <v>55.76</v>
      </c>
      <c r="K9184">
        <v>4</v>
      </c>
      <c r="L9184">
        <v>0</v>
      </c>
      <c r="M9184">
        <v>7.8064</v>
      </c>
    </row>
    <row r="9185" spans="1:13" x14ac:dyDescent="0.3">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
      <c r="A9186" t="s">
        <v>28</v>
      </c>
      <c r="B9186" t="s">
        <v>14</v>
      </c>
      <c r="C9186" t="s">
        <v>15</v>
      </c>
      <c r="D9186" t="s">
        <v>308</v>
      </c>
      <c r="E9186" t="s">
        <v>24</v>
      </c>
      <c r="F9186">
        <v>92683</v>
      </c>
      <c r="G9186" t="s">
        <v>25</v>
      </c>
      <c r="H9186" t="s">
        <v>19</v>
      </c>
      <c r="I9186" t="s">
        <v>33</v>
      </c>
      <c r="J9186">
        <v>51.75</v>
      </c>
      <c r="K9186">
        <v>1</v>
      </c>
      <c r="L9186">
        <v>0</v>
      </c>
      <c r="M9186">
        <v>15.525</v>
      </c>
    </row>
    <row r="9187" spans="1:13" x14ac:dyDescent="0.3">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
      <c r="A9199" t="s">
        <v>28</v>
      </c>
      <c r="B9199" t="s">
        <v>14</v>
      </c>
      <c r="C9199" t="s">
        <v>15</v>
      </c>
      <c r="D9199" t="s">
        <v>117</v>
      </c>
      <c r="E9199" t="s">
        <v>24</v>
      </c>
      <c r="F9199">
        <v>95123</v>
      </c>
      <c r="G9199" t="s">
        <v>25</v>
      </c>
      <c r="H9199" t="s">
        <v>35</v>
      </c>
      <c r="I9199" t="s">
        <v>36</v>
      </c>
      <c r="J9199">
        <v>1432</v>
      </c>
      <c r="K9199">
        <v>5</v>
      </c>
      <c r="L9199">
        <v>0.2</v>
      </c>
      <c r="M9199">
        <v>125.3</v>
      </c>
    </row>
    <row r="9200" spans="1:13" x14ac:dyDescent="0.3">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
      <c r="A9205" t="s">
        <v>28</v>
      </c>
      <c r="B9205" t="s">
        <v>22</v>
      </c>
      <c r="C9205" t="s">
        <v>15</v>
      </c>
      <c r="D9205" t="s">
        <v>75</v>
      </c>
      <c r="E9205" t="s">
        <v>76</v>
      </c>
      <c r="F9205">
        <v>10011</v>
      </c>
      <c r="G9205" t="s">
        <v>57</v>
      </c>
      <c r="H9205" t="s">
        <v>26</v>
      </c>
      <c r="I9205" t="s">
        <v>34</v>
      </c>
      <c r="J9205">
        <v>114.95</v>
      </c>
      <c r="K9205">
        <v>5</v>
      </c>
      <c r="L9205">
        <v>0</v>
      </c>
      <c r="M9205">
        <v>32.186</v>
      </c>
    </row>
    <row r="9206" spans="1:13" x14ac:dyDescent="0.3">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
      <c r="A9217" t="s">
        <v>28</v>
      </c>
      <c r="B9217" t="s">
        <v>22</v>
      </c>
      <c r="C9217" t="s">
        <v>15</v>
      </c>
      <c r="D9217" t="s">
        <v>23</v>
      </c>
      <c r="E9217" t="s">
        <v>24</v>
      </c>
      <c r="F9217">
        <v>90049</v>
      </c>
      <c r="G9217" t="s">
        <v>25</v>
      </c>
      <c r="H9217" t="s">
        <v>26</v>
      </c>
      <c r="I9217" t="s">
        <v>41</v>
      </c>
      <c r="J9217">
        <v>32.4</v>
      </c>
      <c r="K9217">
        <v>5</v>
      </c>
      <c r="L9217">
        <v>0</v>
      </c>
      <c r="M9217">
        <v>15.552</v>
      </c>
    </row>
    <row r="9218" spans="1:13" x14ac:dyDescent="0.3">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
      <c r="A9230" t="s">
        <v>168</v>
      </c>
      <c r="B9230" t="s">
        <v>44</v>
      </c>
      <c r="C9230" t="s">
        <v>15</v>
      </c>
      <c r="D9230" t="s">
        <v>23</v>
      </c>
      <c r="E9230" t="s">
        <v>24</v>
      </c>
      <c r="F9230">
        <v>90049</v>
      </c>
      <c r="G9230" t="s">
        <v>25</v>
      </c>
      <c r="H9230" t="s">
        <v>26</v>
      </c>
      <c r="I9230" t="s">
        <v>34</v>
      </c>
      <c r="J9230">
        <v>6.72</v>
      </c>
      <c r="K9230">
        <v>4</v>
      </c>
      <c r="L9230">
        <v>0</v>
      </c>
      <c r="M9230">
        <v>3.36</v>
      </c>
    </row>
    <row r="9231" spans="1:13" x14ac:dyDescent="0.3">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
      <c r="A9247" t="s">
        <v>28</v>
      </c>
      <c r="B9247" t="s">
        <v>44</v>
      </c>
      <c r="C9247" t="s">
        <v>15</v>
      </c>
      <c r="D9247" t="s">
        <v>52</v>
      </c>
      <c r="E9247" t="s">
        <v>24</v>
      </c>
      <c r="F9247">
        <v>94122</v>
      </c>
      <c r="G9247" t="s">
        <v>25</v>
      </c>
      <c r="H9247" t="s">
        <v>26</v>
      </c>
      <c r="I9247" t="s">
        <v>41</v>
      </c>
      <c r="J9247">
        <v>32.4</v>
      </c>
      <c r="K9247">
        <v>5</v>
      </c>
      <c r="L9247">
        <v>0</v>
      </c>
      <c r="M9247">
        <v>15.552</v>
      </c>
    </row>
    <row r="9248" spans="1:13" x14ac:dyDescent="0.3">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
      <c r="A9249" t="s">
        <v>28</v>
      </c>
      <c r="B9249" t="s">
        <v>44</v>
      </c>
      <c r="C9249" t="s">
        <v>15</v>
      </c>
      <c r="D9249" t="s">
        <v>52</v>
      </c>
      <c r="E9249" t="s">
        <v>24</v>
      </c>
      <c r="F9249">
        <v>94109</v>
      </c>
      <c r="G9249" t="s">
        <v>25</v>
      </c>
      <c r="H9249" t="s">
        <v>26</v>
      </c>
      <c r="I9249" t="s">
        <v>34</v>
      </c>
      <c r="J9249">
        <v>2.78</v>
      </c>
      <c r="K9249">
        <v>1</v>
      </c>
      <c r="L9249">
        <v>0</v>
      </c>
      <c r="M9249">
        <v>0.7228</v>
      </c>
    </row>
    <row r="9250" spans="1:13" x14ac:dyDescent="0.3">
      <c r="A9250" t="s">
        <v>28</v>
      </c>
      <c r="B9250" t="s">
        <v>14</v>
      </c>
      <c r="C9250" t="s">
        <v>15</v>
      </c>
      <c r="D9250" t="s">
        <v>75</v>
      </c>
      <c r="E9250" t="s">
        <v>76</v>
      </c>
      <c r="F9250">
        <v>10009</v>
      </c>
      <c r="G9250" t="s">
        <v>57</v>
      </c>
      <c r="H9250" t="s">
        <v>26</v>
      </c>
      <c r="I9250" t="s">
        <v>37</v>
      </c>
      <c r="J9250">
        <v>3.64</v>
      </c>
      <c r="K9250">
        <v>1</v>
      </c>
      <c r="L9250">
        <v>0.2</v>
      </c>
      <c r="M9250">
        <v>1.365</v>
      </c>
    </row>
    <row r="9251" spans="1:13" x14ac:dyDescent="0.3">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
      <c r="A9262" t="s">
        <v>13</v>
      </c>
      <c r="B9262" t="s">
        <v>14</v>
      </c>
      <c r="C9262" t="s">
        <v>15</v>
      </c>
      <c r="D9262" t="s">
        <v>613</v>
      </c>
      <c r="E9262" t="s">
        <v>387</v>
      </c>
      <c r="F9262">
        <v>57401</v>
      </c>
      <c r="G9262" t="s">
        <v>47</v>
      </c>
      <c r="H9262" t="s">
        <v>26</v>
      </c>
      <c r="I9262" t="s">
        <v>110</v>
      </c>
      <c r="J9262">
        <v>25.5</v>
      </c>
      <c r="K9262">
        <v>3</v>
      </c>
      <c r="L9262">
        <v>0</v>
      </c>
      <c r="M9262">
        <v>6.63</v>
      </c>
    </row>
    <row r="9263" spans="1:13" x14ac:dyDescent="0.3">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
      <c r="A9266" t="s">
        <v>28</v>
      </c>
      <c r="B9266" t="s">
        <v>22</v>
      </c>
      <c r="C9266" t="s">
        <v>15</v>
      </c>
      <c r="D9266" t="s">
        <v>85</v>
      </c>
      <c r="E9266" t="s">
        <v>86</v>
      </c>
      <c r="F9266">
        <v>38109</v>
      </c>
      <c r="G9266" t="s">
        <v>18</v>
      </c>
      <c r="H9266" t="s">
        <v>26</v>
      </c>
      <c r="I9266" t="s">
        <v>37</v>
      </c>
      <c r="J9266">
        <v>11.673</v>
      </c>
      <c r="K9266">
        <v>3</v>
      </c>
      <c r="L9266">
        <v>0.7</v>
      </c>
      <c r="M9266">
        <v>-7.782</v>
      </c>
    </row>
    <row r="9267" spans="1:13" x14ac:dyDescent="0.3">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
      <c r="A9278" t="s">
        <v>13</v>
      </c>
      <c r="B9278" t="s">
        <v>22</v>
      </c>
      <c r="C9278" t="s">
        <v>15</v>
      </c>
      <c r="D9278" t="s">
        <v>570</v>
      </c>
      <c r="E9278" t="s">
        <v>30</v>
      </c>
      <c r="F9278">
        <v>33445</v>
      </c>
      <c r="G9278" t="s">
        <v>18</v>
      </c>
      <c r="H9278" t="s">
        <v>35</v>
      </c>
      <c r="I9278" t="s">
        <v>59</v>
      </c>
      <c r="J9278">
        <v>47.92</v>
      </c>
      <c r="K9278">
        <v>2</v>
      </c>
      <c r="L9278">
        <v>0.2</v>
      </c>
      <c r="M9278">
        <v>11.98</v>
      </c>
    </row>
    <row r="9279" spans="1:13" x14ac:dyDescent="0.3">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
      <c r="A9282" t="s">
        <v>28</v>
      </c>
      <c r="B9282" t="s">
        <v>44</v>
      </c>
      <c r="C9282" t="s">
        <v>15</v>
      </c>
      <c r="D9282" t="s">
        <v>42</v>
      </c>
      <c r="E9282" t="s">
        <v>43</v>
      </c>
      <c r="F9282">
        <v>98105</v>
      </c>
      <c r="G9282" t="s">
        <v>25</v>
      </c>
      <c r="H9282" t="s">
        <v>19</v>
      </c>
      <c r="I9282" t="s">
        <v>20</v>
      </c>
      <c r="J9282">
        <v>163.88</v>
      </c>
      <c r="K9282">
        <v>2</v>
      </c>
      <c r="L9282">
        <v>0</v>
      </c>
      <c r="M9282">
        <v>40.97</v>
      </c>
    </row>
    <row r="9283" spans="1:13" x14ac:dyDescent="0.3">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
      <c r="A9291" t="s">
        <v>13</v>
      </c>
      <c r="B9291" t="s">
        <v>44</v>
      </c>
      <c r="C9291" t="s">
        <v>15</v>
      </c>
      <c r="D9291" t="s">
        <v>52</v>
      </c>
      <c r="E9291" t="s">
        <v>24</v>
      </c>
      <c r="F9291">
        <v>94109</v>
      </c>
      <c r="G9291" t="s">
        <v>25</v>
      </c>
      <c r="H9291" t="s">
        <v>26</v>
      </c>
      <c r="I9291" t="s">
        <v>41</v>
      </c>
      <c r="J9291">
        <v>48.91</v>
      </c>
      <c r="K9291">
        <v>1</v>
      </c>
      <c r="L9291">
        <v>0</v>
      </c>
      <c r="M9291">
        <v>22.9877</v>
      </c>
    </row>
    <row r="9292" spans="1:13" x14ac:dyDescent="0.3">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
      <c r="A9293" t="s">
        <v>62</v>
      </c>
      <c r="B9293" t="s">
        <v>14</v>
      </c>
      <c r="C9293" t="s">
        <v>15</v>
      </c>
      <c r="D9293" t="s">
        <v>71</v>
      </c>
      <c r="E9293" t="s">
        <v>72</v>
      </c>
      <c r="F9293">
        <v>19901</v>
      </c>
      <c r="G9293" t="s">
        <v>57</v>
      </c>
      <c r="H9293" t="s">
        <v>26</v>
      </c>
      <c r="I9293" t="s">
        <v>37</v>
      </c>
      <c r="J9293">
        <v>34.5</v>
      </c>
      <c r="K9293">
        <v>3</v>
      </c>
      <c r="L9293">
        <v>0</v>
      </c>
      <c r="M9293">
        <v>15.525</v>
      </c>
    </row>
    <row r="9294" spans="1:13" x14ac:dyDescent="0.3">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
      <c r="A9309" t="s">
        <v>28</v>
      </c>
      <c r="B9309" t="s">
        <v>14</v>
      </c>
      <c r="C9309" t="s">
        <v>15</v>
      </c>
      <c r="D9309" t="s">
        <v>52</v>
      </c>
      <c r="E9309" t="s">
        <v>24</v>
      </c>
      <c r="F9309">
        <v>94110</v>
      </c>
      <c r="G9309" t="s">
        <v>25</v>
      </c>
      <c r="H9309" t="s">
        <v>26</v>
      </c>
      <c r="I9309" t="s">
        <v>34</v>
      </c>
      <c r="J9309">
        <v>14.88</v>
      </c>
      <c r="K9309">
        <v>2</v>
      </c>
      <c r="L9309">
        <v>0</v>
      </c>
      <c r="M9309">
        <v>3.72</v>
      </c>
    </row>
    <row r="9310" spans="1:13" x14ac:dyDescent="0.3">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
      <c r="A9330" t="s">
        <v>62</v>
      </c>
      <c r="B9330" t="s">
        <v>14</v>
      </c>
      <c r="C9330" t="s">
        <v>15</v>
      </c>
      <c r="D9330" t="s">
        <v>239</v>
      </c>
      <c r="E9330" t="s">
        <v>43</v>
      </c>
      <c r="F9330">
        <v>98026</v>
      </c>
      <c r="G9330" t="s">
        <v>25</v>
      </c>
      <c r="H9330" t="s">
        <v>26</v>
      </c>
      <c r="I9330" t="s">
        <v>34</v>
      </c>
      <c r="J9330">
        <v>25.98</v>
      </c>
      <c r="K9330">
        <v>1</v>
      </c>
      <c r="L9330">
        <v>0</v>
      </c>
      <c r="M9330">
        <v>7.2744</v>
      </c>
    </row>
    <row r="9331" spans="1:13" x14ac:dyDescent="0.3">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
      <c r="A9342" t="s">
        <v>13</v>
      </c>
      <c r="B9342" t="s">
        <v>22</v>
      </c>
      <c r="C9342" t="s">
        <v>15</v>
      </c>
      <c r="D9342" t="s">
        <v>52</v>
      </c>
      <c r="E9342" t="s">
        <v>24</v>
      </c>
      <c r="F9342">
        <v>94110</v>
      </c>
      <c r="G9342" t="s">
        <v>25</v>
      </c>
      <c r="H9342" t="s">
        <v>26</v>
      </c>
      <c r="I9342" t="s">
        <v>27</v>
      </c>
      <c r="J9342">
        <v>18.75</v>
      </c>
      <c r="K9342">
        <v>5</v>
      </c>
      <c r="L9342">
        <v>0</v>
      </c>
      <c r="M9342">
        <v>9</v>
      </c>
    </row>
    <row r="9343" spans="1:13" x14ac:dyDescent="0.3">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
      <c r="A9362" t="s">
        <v>13</v>
      </c>
      <c r="B9362" t="s">
        <v>22</v>
      </c>
      <c r="C9362" t="s">
        <v>15</v>
      </c>
      <c r="D9362" t="s">
        <v>75</v>
      </c>
      <c r="E9362" t="s">
        <v>76</v>
      </c>
      <c r="F9362">
        <v>10024</v>
      </c>
      <c r="G9362" t="s">
        <v>57</v>
      </c>
      <c r="H9362" t="s">
        <v>26</v>
      </c>
      <c r="I9362" t="s">
        <v>32</v>
      </c>
      <c r="J9362">
        <v>428.68</v>
      </c>
      <c r="K9362">
        <v>7</v>
      </c>
      <c r="L9362">
        <v>0</v>
      </c>
      <c r="M9362">
        <v>0</v>
      </c>
    </row>
    <row r="9363" spans="1:13" x14ac:dyDescent="0.3">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
      <c r="A9364" t="s">
        <v>28</v>
      </c>
      <c r="B9364" t="s">
        <v>44</v>
      </c>
      <c r="C9364" t="s">
        <v>15</v>
      </c>
      <c r="D9364" t="s">
        <v>42</v>
      </c>
      <c r="E9364" t="s">
        <v>43</v>
      </c>
      <c r="F9364">
        <v>98105</v>
      </c>
      <c r="G9364" t="s">
        <v>25</v>
      </c>
      <c r="H9364" t="s">
        <v>26</v>
      </c>
      <c r="I9364" t="s">
        <v>77</v>
      </c>
      <c r="J9364">
        <v>13.02</v>
      </c>
      <c r="K9364">
        <v>7</v>
      </c>
      <c r="L9364">
        <v>0</v>
      </c>
      <c r="M9364">
        <v>0.3906</v>
      </c>
    </row>
    <row r="9365" spans="1:13" x14ac:dyDescent="0.3">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
      <c r="A9368" t="s">
        <v>28</v>
      </c>
      <c r="B9368" t="s">
        <v>14</v>
      </c>
      <c r="C9368" t="s">
        <v>15</v>
      </c>
      <c r="D9368" t="s">
        <v>159</v>
      </c>
      <c r="E9368" t="s">
        <v>76</v>
      </c>
      <c r="F9368">
        <v>11561</v>
      </c>
      <c r="G9368" t="s">
        <v>57</v>
      </c>
      <c r="H9368" t="s">
        <v>26</v>
      </c>
      <c r="I9368" t="s">
        <v>37</v>
      </c>
      <c r="J9368">
        <v>68.48</v>
      </c>
      <c r="K9368">
        <v>2</v>
      </c>
      <c r="L9368">
        <v>0.2</v>
      </c>
      <c r="M9368">
        <v>25.68</v>
      </c>
    </row>
    <row r="9369" spans="1:13" x14ac:dyDescent="0.3">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
      <c r="A9377" t="s">
        <v>13</v>
      </c>
      <c r="B9377" t="s">
        <v>14</v>
      </c>
      <c r="C9377" t="s">
        <v>15</v>
      </c>
      <c r="D9377" t="s">
        <v>23</v>
      </c>
      <c r="E9377" t="s">
        <v>24</v>
      </c>
      <c r="F9377">
        <v>90045</v>
      </c>
      <c r="G9377" t="s">
        <v>25</v>
      </c>
      <c r="H9377" t="s">
        <v>35</v>
      </c>
      <c r="I9377" t="s">
        <v>59</v>
      </c>
      <c r="J9377">
        <v>50</v>
      </c>
      <c r="K9377">
        <v>2</v>
      </c>
      <c r="L9377">
        <v>0</v>
      </c>
      <c r="M9377">
        <v>10.5</v>
      </c>
    </row>
    <row r="9378" spans="1:13" x14ac:dyDescent="0.3">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
      <c r="A9409" t="s">
        <v>13</v>
      </c>
      <c r="B9409" t="s">
        <v>14</v>
      </c>
      <c r="C9409" t="s">
        <v>15</v>
      </c>
      <c r="D9409" t="s">
        <v>75</v>
      </c>
      <c r="E9409" t="s">
        <v>76</v>
      </c>
      <c r="F9409">
        <v>10035</v>
      </c>
      <c r="G9409" t="s">
        <v>57</v>
      </c>
      <c r="H9409" t="s">
        <v>35</v>
      </c>
      <c r="I9409" t="s">
        <v>59</v>
      </c>
      <c r="J9409">
        <v>1071</v>
      </c>
      <c r="K9409">
        <v>9</v>
      </c>
      <c r="L9409">
        <v>0</v>
      </c>
      <c r="M9409">
        <v>171.36</v>
      </c>
    </row>
    <row r="9410" spans="1:13" x14ac:dyDescent="0.3">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
      <c r="A9414" t="s">
        <v>62</v>
      </c>
      <c r="B9414" t="s">
        <v>14</v>
      </c>
      <c r="C9414" t="s">
        <v>15</v>
      </c>
      <c r="D9414" t="s">
        <v>23</v>
      </c>
      <c r="E9414" t="s">
        <v>24</v>
      </c>
      <c r="F9414">
        <v>90036</v>
      </c>
      <c r="G9414" t="s">
        <v>25</v>
      </c>
      <c r="H9414" t="s">
        <v>19</v>
      </c>
      <c r="I9414" t="s">
        <v>21</v>
      </c>
      <c r="J9414">
        <v>2803.92</v>
      </c>
      <c r="K9414">
        <v>5</v>
      </c>
      <c r="L9414">
        <v>0.2</v>
      </c>
      <c r="M9414">
        <v>0</v>
      </c>
    </row>
    <row r="9415" spans="1:13" x14ac:dyDescent="0.3">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
      <c r="A9426" t="s">
        <v>28</v>
      </c>
      <c r="B9426" t="s">
        <v>22</v>
      </c>
      <c r="C9426" t="s">
        <v>15</v>
      </c>
      <c r="D9426" t="s">
        <v>52</v>
      </c>
      <c r="E9426" t="s">
        <v>24</v>
      </c>
      <c r="F9426">
        <v>94122</v>
      </c>
      <c r="G9426" t="s">
        <v>25</v>
      </c>
      <c r="H9426" t="s">
        <v>35</v>
      </c>
      <c r="I9426" t="s">
        <v>59</v>
      </c>
      <c r="J9426">
        <v>45</v>
      </c>
      <c r="K9426">
        <v>3</v>
      </c>
      <c r="L9426">
        <v>0</v>
      </c>
      <c r="M9426">
        <v>4.95</v>
      </c>
    </row>
    <row r="9427" spans="1:13" x14ac:dyDescent="0.3">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
      <c r="A9428" t="s">
        <v>28</v>
      </c>
      <c r="B9428" t="s">
        <v>14</v>
      </c>
      <c r="C9428" t="s">
        <v>15</v>
      </c>
      <c r="D9428" t="s">
        <v>42</v>
      </c>
      <c r="E9428" t="s">
        <v>43</v>
      </c>
      <c r="F9428">
        <v>98105</v>
      </c>
      <c r="G9428" t="s">
        <v>25</v>
      </c>
      <c r="H9428" t="s">
        <v>26</v>
      </c>
      <c r="I9428" t="s">
        <v>34</v>
      </c>
      <c r="J9428">
        <v>35.4</v>
      </c>
      <c r="K9428">
        <v>5</v>
      </c>
      <c r="L9428">
        <v>0</v>
      </c>
      <c r="M9428">
        <v>13.452</v>
      </c>
    </row>
    <row r="9429" spans="1:13" x14ac:dyDescent="0.3">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
      <c r="A9437" t="s">
        <v>28</v>
      </c>
      <c r="B9437" t="s">
        <v>14</v>
      </c>
      <c r="C9437" t="s">
        <v>15</v>
      </c>
      <c r="D9437" t="s">
        <v>175</v>
      </c>
      <c r="E9437" t="s">
        <v>81</v>
      </c>
      <c r="F9437">
        <v>85345</v>
      </c>
      <c r="G9437" t="s">
        <v>25</v>
      </c>
      <c r="H9437" t="s">
        <v>35</v>
      </c>
      <c r="I9437" t="s">
        <v>59</v>
      </c>
      <c r="J9437">
        <v>252.8</v>
      </c>
      <c r="K9437">
        <v>4</v>
      </c>
      <c r="L9437">
        <v>0.2</v>
      </c>
      <c r="M9437">
        <v>-31.6</v>
      </c>
    </row>
    <row r="9438" spans="1:13" x14ac:dyDescent="0.3">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
      <c r="A9462" t="s">
        <v>13</v>
      </c>
      <c r="B9462" t="s">
        <v>44</v>
      </c>
      <c r="C9462" t="s">
        <v>15</v>
      </c>
      <c r="D9462" t="s">
        <v>75</v>
      </c>
      <c r="E9462" t="s">
        <v>76</v>
      </c>
      <c r="F9462">
        <v>10024</v>
      </c>
      <c r="G9462" t="s">
        <v>57</v>
      </c>
      <c r="H9462" t="s">
        <v>26</v>
      </c>
      <c r="I9462" t="s">
        <v>41</v>
      </c>
      <c r="J9462">
        <v>34.44</v>
      </c>
      <c r="K9462">
        <v>3</v>
      </c>
      <c r="L9462">
        <v>0</v>
      </c>
      <c r="M9462">
        <v>17.22</v>
      </c>
    </row>
    <row r="9463" spans="1:13" x14ac:dyDescent="0.3">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
      <c r="A9478" t="s">
        <v>13</v>
      </c>
      <c r="B9478" t="s">
        <v>22</v>
      </c>
      <c r="C9478" t="s">
        <v>15</v>
      </c>
      <c r="D9478" t="s">
        <v>79</v>
      </c>
      <c r="E9478" t="s">
        <v>65</v>
      </c>
      <c r="F9478">
        <v>60653</v>
      </c>
      <c r="G9478" t="s">
        <v>47</v>
      </c>
      <c r="H9478" t="s">
        <v>19</v>
      </c>
      <c r="I9478" t="s">
        <v>33</v>
      </c>
      <c r="J9478">
        <v>51.56</v>
      </c>
      <c r="K9478">
        <v>2</v>
      </c>
      <c r="L9478">
        <v>0.6</v>
      </c>
      <c r="M9478">
        <v>-61.872</v>
      </c>
    </row>
    <row r="9479" spans="1:13" x14ac:dyDescent="0.3">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
      <c r="A9497" t="s">
        <v>28</v>
      </c>
      <c r="B9497" t="s">
        <v>14</v>
      </c>
      <c r="C9497" t="s">
        <v>15</v>
      </c>
      <c r="D9497" t="s">
        <v>216</v>
      </c>
      <c r="E9497" t="s">
        <v>24</v>
      </c>
      <c r="F9497">
        <v>92691</v>
      </c>
      <c r="G9497" t="s">
        <v>25</v>
      </c>
      <c r="H9497" t="s">
        <v>35</v>
      </c>
      <c r="I9497" t="s">
        <v>59</v>
      </c>
      <c r="J9497">
        <v>120</v>
      </c>
      <c r="K9497">
        <v>6</v>
      </c>
      <c r="L9497">
        <v>0</v>
      </c>
      <c r="M9497">
        <v>46.8</v>
      </c>
    </row>
    <row r="9498" spans="1:13" x14ac:dyDescent="0.3">
      <c r="A9498" t="s">
        <v>28</v>
      </c>
      <c r="B9498" t="s">
        <v>14</v>
      </c>
      <c r="C9498" t="s">
        <v>15</v>
      </c>
      <c r="D9498" t="s">
        <v>216</v>
      </c>
      <c r="E9498" t="s">
        <v>24</v>
      </c>
      <c r="F9498">
        <v>92691</v>
      </c>
      <c r="G9498" t="s">
        <v>25</v>
      </c>
      <c r="H9498" t="s">
        <v>26</v>
      </c>
      <c r="I9498" t="s">
        <v>38</v>
      </c>
      <c r="J9498">
        <v>8.67</v>
      </c>
      <c r="K9498">
        <v>1</v>
      </c>
      <c r="L9498">
        <v>0</v>
      </c>
      <c r="M9498">
        <v>2.3409</v>
      </c>
    </row>
    <row r="9499" spans="1:13" x14ac:dyDescent="0.3">
      <c r="A9499" t="s">
        <v>62</v>
      </c>
      <c r="B9499" t="s">
        <v>44</v>
      </c>
      <c r="C9499" t="s">
        <v>15</v>
      </c>
      <c r="D9499" t="s">
        <v>472</v>
      </c>
      <c r="E9499" t="s">
        <v>74</v>
      </c>
      <c r="F9499">
        <v>46142</v>
      </c>
      <c r="G9499" t="s">
        <v>47</v>
      </c>
      <c r="H9499" t="s">
        <v>26</v>
      </c>
      <c r="I9499" t="s">
        <v>41</v>
      </c>
      <c r="J9499">
        <v>4.41</v>
      </c>
      <c r="K9499">
        <v>1</v>
      </c>
      <c r="L9499">
        <v>0</v>
      </c>
      <c r="M9499">
        <v>2.0286</v>
      </c>
    </row>
    <row r="9500" spans="1:13" x14ac:dyDescent="0.3">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
      <c r="A9503" t="s">
        <v>28</v>
      </c>
      <c r="B9503" t="s">
        <v>14</v>
      </c>
      <c r="C9503" t="s">
        <v>15</v>
      </c>
      <c r="D9503" t="s">
        <v>52</v>
      </c>
      <c r="E9503" t="s">
        <v>24</v>
      </c>
      <c r="F9503">
        <v>94109</v>
      </c>
      <c r="G9503" t="s">
        <v>25</v>
      </c>
      <c r="H9503" t="s">
        <v>19</v>
      </c>
      <c r="I9503" t="s">
        <v>33</v>
      </c>
      <c r="J9503">
        <v>32.04</v>
      </c>
      <c r="K9503">
        <v>3</v>
      </c>
      <c r="L9503">
        <v>0</v>
      </c>
      <c r="M9503">
        <v>8.01</v>
      </c>
    </row>
    <row r="9504" spans="1:13" x14ac:dyDescent="0.3">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
      <c r="A9508" t="s">
        <v>13</v>
      </c>
      <c r="B9508" t="s">
        <v>14</v>
      </c>
      <c r="C9508" t="s">
        <v>15</v>
      </c>
      <c r="D9508" t="s">
        <v>453</v>
      </c>
      <c r="E9508" t="s">
        <v>70</v>
      </c>
      <c r="F9508">
        <v>48127</v>
      </c>
      <c r="G9508" t="s">
        <v>47</v>
      </c>
      <c r="H9508" t="s">
        <v>26</v>
      </c>
      <c r="I9508" t="s">
        <v>34</v>
      </c>
      <c r="J9508">
        <v>26.7</v>
      </c>
      <c r="K9508">
        <v>2</v>
      </c>
      <c r="L9508">
        <v>0</v>
      </c>
      <c r="M9508">
        <v>7.476</v>
      </c>
    </row>
    <row r="9509" spans="1:13" x14ac:dyDescent="0.3">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
      <c r="A9526" t="s">
        <v>62</v>
      </c>
      <c r="B9526" t="s">
        <v>44</v>
      </c>
      <c r="C9526" t="s">
        <v>15</v>
      </c>
      <c r="D9526" t="s">
        <v>42</v>
      </c>
      <c r="E9526" t="s">
        <v>43</v>
      </c>
      <c r="F9526">
        <v>98115</v>
      </c>
      <c r="G9526" t="s">
        <v>25</v>
      </c>
      <c r="H9526" t="s">
        <v>26</v>
      </c>
      <c r="I9526" t="s">
        <v>37</v>
      </c>
      <c r="J9526">
        <v>83.92</v>
      </c>
      <c r="K9526">
        <v>5</v>
      </c>
      <c r="L9526">
        <v>0.2</v>
      </c>
      <c r="M9526">
        <v>29.372</v>
      </c>
    </row>
    <row r="9527" spans="1:13" x14ac:dyDescent="0.3">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
      <c r="A9551" t="s">
        <v>13</v>
      </c>
      <c r="B9551" t="s">
        <v>22</v>
      </c>
      <c r="C9551" t="s">
        <v>15</v>
      </c>
      <c r="D9551" t="s">
        <v>55</v>
      </c>
      <c r="E9551" t="s">
        <v>56</v>
      </c>
      <c r="F9551">
        <v>19134</v>
      </c>
      <c r="G9551" t="s">
        <v>57</v>
      </c>
      <c r="H9551" t="s">
        <v>26</v>
      </c>
      <c r="I9551" t="s">
        <v>38</v>
      </c>
      <c r="J9551">
        <v>453.6</v>
      </c>
      <c r="K9551">
        <v>3</v>
      </c>
      <c r="L9551">
        <v>0.2</v>
      </c>
      <c r="M9551">
        <v>90.72</v>
      </c>
    </row>
    <row r="9552" spans="1:13" x14ac:dyDescent="0.3">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
      <c r="A9565" t="s">
        <v>62</v>
      </c>
      <c r="B9565" t="s">
        <v>14</v>
      </c>
      <c r="C9565" t="s">
        <v>15</v>
      </c>
      <c r="D9565" t="s">
        <v>114</v>
      </c>
      <c r="E9565" t="s">
        <v>104</v>
      </c>
      <c r="F9565">
        <v>43055</v>
      </c>
      <c r="G9565" t="s">
        <v>57</v>
      </c>
      <c r="H9565" t="s">
        <v>26</v>
      </c>
      <c r="I9565" t="s">
        <v>27</v>
      </c>
      <c r="J9565">
        <v>6</v>
      </c>
      <c r="K9565">
        <v>2</v>
      </c>
      <c r="L9565">
        <v>0.2</v>
      </c>
      <c r="M9565">
        <v>2.1</v>
      </c>
    </row>
    <row r="9566" spans="1:13" x14ac:dyDescent="0.3">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
      <c r="A9612" t="s">
        <v>13</v>
      </c>
      <c r="B9612" t="s">
        <v>14</v>
      </c>
      <c r="C9612" t="s">
        <v>15</v>
      </c>
      <c r="D9612" t="s">
        <v>23</v>
      </c>
      <c r="E9612" t="s">
        <v>24</v>
      </c>
      <c r="F9612">
        <v>90045</v>
      </c>
      <c r="G9612" t="s">
        <v>25</v>
      </c>
      <c r="H9612" t="s">
        <v>26</v>
      </c>
      <c r="I9612" t="s">
        <v>27</v>
      </c>
      <c r="J9612">
        <v>27.72</v>
      </c>
      <c r="K9612">
        <v>9</v>
      </c>
      <c r="L9612">
        <v>0</v>
      </c>
      <c r="M9612">
        <v>13.3056</v>
      </c>
    </row>
    <row r="9613" spans="1:13" x14ac:dyDescent="0.3">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
      <c r="A9635" t="s">
        <v>62</v>
      </c>
      <c r="B9635" t="s">
        <v>14</v>
      </c>
      <c r="C9635" t="s">
        <v>15</v>
      </c>
      <c r="D9635" t="s">
        <v>316</v>
      </c>
      <c r="E9635" t="s">
        <v>166</v>
      </c>
      <c r="F9635">
        <v>2149</v>
      </c>
      <c r="G9635" t="s">
        <v>57</v>
      </c>
      <c r="H9635" t="s">
        <v>35</v>
      </c>
      <c r="I9635" t="s">
        <v>59</v>
      </c>
      <c r="J9635">
        <v>177</v>
      </c>
      <c r="K9635">
        <v>3</v>
      </c>
      <c r="L9635">
        <v>0</v>
      </c>
      <c r="M9635">
        <v>30.09</v>
      </c>
    </row>
    <row r="9636" spans="1:13" x14ac:dyDescent="0.3">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
      <c r="A9643" t="s">
        <v>28</v>
      </c>
      <c r="B9643" t="s">
        <v>22</v>
      </c>
      <c r="C9643" t="s">
        <v>15</v>
      </c>
      <c r="D9643" t="s">
        <v>42</v>
      </c>
      <c r="E9643" t="s">
        <v>43</v>
      </c>
      <c r="F9643">
        <v>98103</v>
      </c>
      <c r="G9643" t="s">
        <v>25</v>
      </c>
      <c r="H9643" t="s">
        <v>26</v>
      </c>
      <c r="I9643" t="s">
        <v>32</v>
      </c>
      <c r="J9643">
        <v>204.9</v>
      </c>
      <c r="K9643">
        <v>5</v>
      </c>
      <c r="L9643">
        <v>0</v>
      </c>
      <c r="M9643">
        <v>0</v>
      </c>
    </row>
    <row r="9644" spans="1:13" x14ac:dyDescent="0.3">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
      <c r="A9652" t="s">
        <v>28</v>
      </c>
      <c r="B9652" t="s">
        <v>14</v>
      </c>
      <c r="C9652" t="s">
        <v>15</v>
      </c>
      <c r="D9652" t="s">
        <v>23</v>
      </c>
      <c r="E9652" t="s">
        <v>24</v>
      </c>
      <c r="F9652">
        <v>90045</v>
      </c>
      <c r="G9652" t="s">
        <v>25</v>
      </c>
      <c r="H9652" t="s">
        <v>26</v>
      </c>
      <c r="I9652" t="s">
        <v>34</v>
      </c>
      <c r="J9652">
        <v>37.17</v>
      </c>
      <c r="K9652">
        <v>9</v>
      </c>
      <c r="L9652">
        <v>0</v>
      </c>
      <c r="M9652">
        <v>10.4076</v>
      </c>
    </row>
    <row r="9653" spans="1:13" x14ac:dyDescent="0.3">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
      <c r="A9654" t="s">
        <v>28</v>
      </c>
      <c r="B9654" t="s">
        <v>14</v>
      </c>
      <c r="C9654" t="s">
        <v>15</v>
      </c>
      <c r="D9654" t="s">
        <v>23</v>
      </c>
      <c r="E9654" t="s">
        <v>24</v>
      </c>
      <c r="F9654">
        <v>90045</v>
      </c>
      <c r="G9654" t="s">
        <v>25</v>
      </c>
      <c r="H9654" t="s">
        <v>19</v>
      </c>
      <c r="I9654" t="s">
        <v>33</v>
      </c>
      <c r="J9654">
        <v>595.38</v>
      </c>
      <c r="K9654">
        <v>6</v>
      </c>
      <c r="L9654">
        <v>0</v>
      </c>
      <c r="M9654">
        <v>297.69</v>
      </c>
    </row>
    <row r="9655" spans="1:13" x14ac:dyDescent="0.3">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
      <c r="A9661" t="s">
        <v>13</v>
      </c>
      <c r="B9661" t="s">
        <v>14</v>
      </c>
      <c r="C9661" t="s">
        <v>15</v>
      </c>
      <c r="D9661" t="s">
        <v>310</v>
      </c>
      <c r="E9661" t="s">
        <v>24</v>
      </c>
      <c r="F9661">
        <v>91767</v>
      </c>
      <c r="G9661" t="s">
        <v>25</v>
      </c>
      <c r="H9661" t="s">
        <v>26</v>
      </c>
      <c r="I9661" t="s">
        <v>27</v>
      </c>
      <c r="J9661">
        <v>18.75</v>
      </c>
      <c r="K9661">
        <v>5</v>
      </c>
      <c r="L9661">
        <v>0</v>
      </c>
      <c r="M9661">
        <v>9</v>
      </c>
    </row>
    <row r="9662" spans="1:13" x14ac:dyDescent="0.3">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
      <c r="A9663" t="s">
        <v>28</v>
      </c>
      <c r="B9663" t="s">
        <v>44</v>
      </c>
      <c r="C9663" t="s">
        <v>15</v>
      </c>
      <c r="D9663" t="s">
        <v>534</v>
      </c>
      <c r="E9663" t="s">
        <v>24</v>
      </c>
      <c r="F9663">
        <v>93101</v>
      </c>
      <c r="G9663" t="s">
        <v>25</v>
      </c>
      <c r="H9663" t="s">
        <v>35</v>
      </c>
      <c r="I9663" t="s">
        <v>59</v>
      </c>
      <c r="J9663">
        <v>26.96</v>
      </c>
      <c r="K9663">
        <v>2</v>
      </c>
      <c r="L9663">
        <v>0</v>
      </c>
      <c r="M9663">
        <v>3.7744</v>
      </c>
    </row>
    <row r="9664" spans="1:13" x14ac:dyDescent="0.3">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
      <c r="A9667" t="s">
        <v>28</v>
      </c>
      <c r="B9667" t="s">
        <v>14</v>
      </c>
      <c r="C9667" t="s">
        <v>15</v>
      </c>
      <c r="D9667" t="s">
        <v>23</v>
      </c>
      <c r="E9667" t="s">
        <v>24</v>
      </c>
      <c r="F9667">
        <v>90049</v>
      </c>
      <c r="G9667" t="s">
        <v>25</v>
      </c>
      <c r="H9667" t="s">
        <v>19</v>
      </c>
      <c r="I9667" t="s">
        <v>33</v>
      </c>
      <c r="J9667">
        <v>119.94</v>
      </c>
      <c r="K9667">
        <v>3</v>
      </c>
      <c r="L9667">
        <v>0</v>
      </c>
      <c r="M9667">
        <v>23.988</v>
      </c>
    </row>
    <row r="9668" spans="1:13" x14ac:dyDescent="0.3">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
      <c r="A9673" t="s">
        <v>28</v>
      </c>
      <c r="B9673" t="s">
        <v>14</v>
      </c>
      <c r="C9673" t="s">
        <v>15</v>
      </c>
      <c r="D9673" t="s">
        <v>139</v>
      </c>
      <c r="E9673" t="s">
        <v>24</v>
      </c>
      <c r="F9673">
        <v>94568</v>
      </c>
      <c r="G9673" t="s">
        <v>25</v>
      </c>
      <c r="H9673" t="s">
        <v>35</v>
      </c>
      <c r="I9673" t="s">
        <v>36</v>
      </c>
      <c r="J9673">
        <v>22</v>
      </c>
      <c r="K9673">
        <v>5</v>
      </c>
      <c r="L9673">
        <v>0.2</v>
      </c>
      <c r="M9673">
        <v>1.375</v>
      </c>
    </row>
    <row r="9674" spans="1:13" x14ac:dyDescent="0.3">
      <c r="A9674" t="s">
        <v>28</v>
      </c>
      <c r="B9674" t="s">
        <v>44</v>
      </c>
      <c r="C9674" t="s">
        <v>15</v>
      </c>
      <c r="D9674" t="s">
        <v>55</v>
      </c>
      <c r="E9674" t="s">
        <v>56</v>
      </c>
      <c r="F9674">
        <v>19143</v>
      </c>
      <c r="G9674" t="s">
        <v>57</v>
      </c>
      <c r="H9674" t="s">
        <v>26</v>
      </c>
      <c r="I9674" t="s">
        <v>41</v>
      </c>
      <c r="J9674">
        <v>7.968</v>
      </c>
      <c r="K9674">
        <v>2</v>
      </c>
      <c r="L9674">
        <v>0.2</v>
      </c>
      <c r="M9674">
        <v>2.6892</v>
      </c>
    </row>
    <row r="9675" spans="1:13" x14ac:dyDescent="0.3">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
      <c r="A9677" t="s">
        <v>28</v>
      </c>
      <c r="B9677" t="s">
        <v>14</v>
      </c>
      <c r="C9677" t="s">
        <v>15</v>
      </c>
      <c r="D9677" t="s">
        <v>418</v>
      </c>
      <c r="E9677" t="s">
        <v>24</v>
      </c>
      <c r="F9677">
        <v>93309</v>
      </c>
      <c r="G9677" t="s">
        <v>25</v>
      </c>
      <c r="H9677" t="s">
        <v>19</v>
      </c>
      <c r="I9677" t="s">
        <v>33</v>
      </c>
      <c r="J9677">
        <v>41.6</v>
      </c>
      <c r="K9677">
        <v>4</v>
      </c>
      <c r="L9677">
        <v>0</v>
      </c>
      <c r="M9677">
        <v>14.144</v>
      </c>
    </row>
    <row r="9678" spans="1:13" x14ac:dyDescent="0.3">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
      <c r="A9680" t="s">
        <v>28</v>
      </c>
      <c r="B9680" t="s">
        <v>22</v>
      </c>
      <c r="C9680" t="s">
        <v>15</v>
      </c>
      <c r="D9680" t="s">
        <v>75</v>
      </c>
      <c r="E9680" t="s">
        <v>76</v>
      </c>
      <c r="F9680">
        <v>10009</v>
      </c>
      <c r="G9680" t="s">
        <v>57</v>
      </c>
      <c r="H9680" t="s">
        <v>26</v>
      </c>
      <c r="I9680" t="s">
        <v>110</v>
      </c>
      <c r="J9680">
        <v>6.84</v>
      </c>
      <c r="K9680">
        <v>1</v>
      </c>
      <c r="L9680">
        <v>0</v>
      </c>
      <c r="M9680">
        <v>1.8468</v>
      </c>
    </row>
    <row r="9681" spans="1:13" x14ac:dyDescent="0.3">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
      <c r="A9683" t="s">
        <v>28</v>
      </c>
      <c r="B9683" t="s">
        <v>14</v>
      </c>
      <c r="C9683" t="s">
        <v>15</v>
      </c>
      <c r="D9683" t="s">
        <v>52</v>
      </c>
      <c r="E9683" t="s">
        <v>24</v>
      </c>
      <c r="F9683">
        <v>94122</v>
      </c>
      <c r="G9683" t="s">
        <v>25</v>
      </c>
      <c r="H9683" t="s">
        <v>26</v>
      </c>
      <c r="I9683" t="s">
        <v>27</v>
      </c>
      <c r="J9683">
        <v>8.64</v>
      </c>
      <c r="K9683">
        <v>3</v>
      </c>
      <c r="L9683">
        <v>0</v>
      </c>
      <c r="M9683">
        <v>4.2336</v>
      </c>
    </row>
    <row r="9684" spans="1:13" x14ac:dyDescent="0.3">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
      <c r="A9688" t="s">
        <v>28</v>
      </c>
      <c r="B9688" t="s">
        <v>14</v>
      </c>
      <c r="C9688" t="s">
        <v>15</v>
      </c>
      <c r="D9688" t="s">
        <v>144</v>
      </c>
      <c r="E9688" t="s">
        <v>24</v>
      </c>
      <c r="F9688">
        <v>92037</v>
      </c>
      <c r="G9688" t="s">
        <v>25</v>
      </c>
      <c r="H9688" t="s">
        <v>26</v>
      </c>
      <c r="I9688" t="s">
        <v>34</v>
      </c>
      <c r="J9688">
        <v>35.1</v>
      </c>
      <c r="K9688">
        <v>6</v>
      </c>
      <c r="L9688">
        <v>0</v>
      </c>
      <c r="M9688">
        <v>10.179</v>
      </c>
    </row>
    <row r="9689" spans="1:13" x14ac:dyDescent="0.3">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
      <c r="A9690" t="s">
        <v>28</v>
      </c>
      <c r="B9690" t="s">
        <v>14</v>
      </c>
      <c r="C9690" t="s">
        <v>15</v>
      </c>
      <c r="D9690" t="s">
        <v>182</v>
      </c>
      <c r="E9690" t="s">
        <v>83</v>
      </c>
      <c r="F9690">
        <v>23223</v>
      </c>
      <c r="G9690" t="s">
        <v>18</v>
      </c>
      <c r="H9690" t="s">
        <v>26</v>
      </c>
      <c r="I9690" t="s">
        <v>41</v>
      </c>
      <c r="J9690">
        <v>32.4</v>
      </c>
      <c r="K9690">
        <v>5</v>
      </c>
      <c r="L9690">
        <v>0</v>
      </c>
      <c r="M9690">
        <v>15.552</v>
      </c>
    </row>
    <row r="9691" spans="1:13" x14ac:dyDescent="0.3">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
      <c r="A9696" t="s">
        <v>13</v>
      </c>
      <c r="B9696" t="s">
        <v>44</v>
      </c>
      <c r="C9696" t="s">
        <v>15</v>
      </c>
      <c r="D9696" t="s">
        <v>52</v>
      </c>
      <c r="E9696" t="s">
        <v>24</v>
      </c>
      <c r="F9696">
        <v>94110</v>
      </c>
      <c r="G9696" t="s">
        <v>25</v>
      </c>
      <c r="H9696" t="s">
        <v>26</v>
      </c>
      <c r="I9696" t="s">
        <v>110</v>
      </c>
      <c r="J9696">
        <v>7.3</v>
      </c>
      <c r="K9696">
        <v>2</v>
      </c>
      <c r="L9696">
        <v>0</v>
      </c>
      <c r="M9696">
        <v>2.19</v>
      </c>
    </row>
    <row r="9697" spans="1:13" x14ac:dyDescent="0.3">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
      <c r="A9710" t="s">
        <v>28</v>
      </c>
      <c r="B9710" t="s">
        <v>14</v>
      </c>
      <c r="C9710" t="s">
        <v>15</v>
      </c>
      <c r="D9710" t="s">
        <v>23</v>
      </c>
      <c r="E9710" t="s">
        <v>24</v>
      </c>
      <c r="F9710">
        <v>90045</v>
      </c>
      <c r="G9710" t="s">
        <v>25</v>
      </c>
      <c r="H9710" t="s">
        <v>19</v>
      </c>
      <c r="I9710" t="s">
        <v>33</v>
      </c>
      <c r="J9710">
        <v>19.96</v>
      </c>
      <c r="K9710">
        <v>2</v>
      </c>
      <c r="L9710">
        <v>0</v>
      </c>
      <c r="M9710">
        <v>5.5888</v>
      </c>
    </row>
    <row r="9711" spans="1:13" x14ac:dyDescent="0.3">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
      <c r="A9731" t="s">
        <v>28</v>
      </c>
      <c r="B9731" t="s">
        <v>14</v>
      </c>
      <c r="C9731" t="s">
        <v>15</v>
      </c>
      <c r="D9731" t="s">
        <v>42</v>
      </c>
      <c r="E9731" t="s">
        <v>43</v>
      </c>
      <c r="F9731">
        <v>98115</v>
      </c>
      <c r="G9731" t="s">
        <v>25</v>
      </c>
      <c r="H9731" t="s">
        <v>26</v>
      </c>
      <c r="I9731" t="s">
        <v>37</v>
      </c>
      <c r="J9731">
        <v>10.048</v>
      </c>
      <c r="K9731">
        <v>2</v>
      </c>
      <c r="L9731">
        <v>0.2</v>
      </c>
      <c r="M9731">
        <v>3.14</v>
      </c>
    </row>
    <row r="9732" spans="1:13" x14ac:dyDescent="0.3">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
      <c r="A9762" t="s">
        <v>28</v>
      </c>
      <c r="B9762" t="s">
        <v>44</v>
      </c>
      <c r="C9762" t="s">
        <v>15</v>
      </c>
      <c r="D9762" t="s">
        <v>621</v>
      </c>
      <c r="E9762" t="s">
        <v>197</v>
      </c>
      <c r="F9762">
        <v>72762</v>
      </c>
      <c r="G9762" t="s">
        <v>18</v>
      </c>
      <c r="H9762" t="s">
        <v>26</v>
      </c>
      <c r="I9762" t="s">
        <v>34</v>
      </c>
      <c r="J9762">
        <v>4.3</v>
      </c>
      <c r="K9762">
        <v>2</v>
      </c>
      <c r="L9762">
        <v>0</v>
      </c>
      <c r="M9762">
        <v>1.419</v>
      </c>
    </row>
    <row r="9763" spans="1:13" x14ac:dyDescent="0.3">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
      <c r="A9769" t="s">
        <v>28</v>
      </c>
      <c r="B9769" t="s">
        <v>14</v>
      </c>
      <c r="C9769" t="s">
        <v>15</v>
      </c>
      <c r="D9769" t="s">
        <v>444</v>
      </c>
      <c r="E9769" t="s">
        <v>70</v>
      </c>
      <c r="F9769">
        <v>49505</v>
      </c>
      <c r="G9769" t="s">
        <v>47</v>
      </c>
      <c r="H9769" t="s">
        <v>26</v>
      </c>
      <c r="I9769" t="s">
        <v>37</v>
      </c>
      <c r="J9769">
        <v>54.9</v>
      </c>
      <c r="K9769">
        <v>5</v>
      </c>
      <c r="L9769">
        <v>0</v>
      </c>
      <c r="M9769">
        <v>26.901</v>
      </c>
    </row>
    <row r="9770" spans="1:13" x14ac:dyDescent="0.3">
      <c r="A9770" t="s">
        <v>28</v>
      </c>
      <c r="B9770" t="s">
        <v>44</v>
      </c>
      <c r="C9770" t="s">
        <v>15</v>
      </c>
      <c r="D9770" t="s">
        <v>52</v>
      </c>
      <c r="E9770" t="s">
        <v>24</v>
      </c>
      <c r="F9770">
        <v>94122</v>
      </c>
      <c r="G9770" t="s">
        <v>25</v>
      </c>
      <c r="H9770" t="s">
        <v>26</v>
      </c>
      <c r="I9770" t="s">
        <v>41</v>
      </c>
      <c r="J9770">
        <v>50.04</v>
      </c>
      <c r="K9770">
        <v>6</v>
      </c>
      <c r="L9770">
        <v>0</v>
      </c>
      <c r="M9770">
        <v>25.02</v>
      </c>
    </row>
    <row r="9771" spans="1:13" x14ac:dyDescent="0.3">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
      <c r="A9814" t="s">
        <v>62</v>
      </c>
      <c r="B9814" t="s">
        <v>14</v>
      </c>
      <c r="C9814" t="s">
        <v>15</v>
      </c>
      <c r="D9814" t="s">
        <v>615</v>
      </c>
      <c r="E9814" t="s">
        <v>132</v>
      </c>
      <c r="F9814">
        <v>7017</v>
      </c>
      <c r="G9814" t="s">
        <v>57</v>
      </c>
      <c r="H9814" t="s">
        <v>26</v>
      </c>
      <c r="I9814" t="s">
        <v>34</v>
      </c>
      <c r="J9814">
        <v>34.65</v>
      </c>
      <c r="K9814">
        <v>3</v>
      </c>
      <c r="L9814">
        <v>0</v>
      </c>
      <c r="M9814">
        <v>9.702</v>
      </c>
    </row>
    <row r="9815" spans="1:13" x14ac:dyDescent="0.3">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
      <c r="A9821" t="s">
        <v>28</v>
      </c>
      <c r="B9821" t="s">
        <v>22</v>
      </c>
      <c r="C9821" t="s">
        <v>15</v>
      </c>
      <c r="D9821" t="s">
        <v>158</v>
      </c>
      <c r="E9821" t="s">
        <v>30</v>
      </c>
      <c r="F9821">
        <v>33710</v>
      </c>
      <c r="G9821" t="s">
        <v>18</v>
      </c>
      <c r="H9821" t="s">
        <v>26</v>
      </c>
      <c r="I9821" t="s">
        <v>27</v>
      </c>
      <c r="J9821">
        <v>9</v>
      </c>
      <c r="K9821">
        <v>3</v>
      </c>
      <c r="L9821">
        <v>0.2</v>
      </c>
      <c r="M9821">
        <v>3.15</v>
      </c>
    </row>
    <row r="9822" spans="1:13" x14ac:dyDescent="0.3">
      <c r="A9822" t="s">
        <v>28</v>
      </c>
      <c r="B9822" t="s">
        <v>22</v>
      </c>
      <c r="C9822" t="s">
        <v>15</v>
      </c>
      <c r="D9822" t="s">
        <v>158</v>
      </c>
      <c r="E9822" t="s">
        <v>30</v>
      </c>
      <c r="F9822">
        <v>33710</v>
      </c>
      <c r="G9822" t="s">
        <v>18</v>
      </c>
      <c r="H9822" t="s">
        <v>26</v>
      </c>
      <c r="I9822" t="s">
        <v>41</v>
      </c>
      <c r="J9822">
        <v>42.24</v>
      </c>
      <c r="K9822">
        <v>10</v>
      </c>
      <c r="L9822">
        <v>0.2</v>
      </c>
      <c r="M9822">
        <v>13.2</v>
      </c>
    </row>
    <row r="9823" spans="1:13" x14ac:dyDescent="0.3">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
      <c r="A9825" t="s">
        <v>28</v>
      </c>
      <c r="B9825" t="s">
        <v>14</v>
      </c>
      <c r="C9825" t="s">
        <v>15</v>
      </c>
      <c r="D9825" t="s">
        <v>52</v>
      </c>
      <c r="E9825" t="s">
        <v>24</v>
      </c>
      <c r="F9825">
        <v>94122</v>
      </c>
      <c r="G9825" t="s">
        <v>25</v>
      </c>
      <c r="H9825" t="s">
        <v>26</v>
      </c>
      <c r="I9825" t="s">
        <v>41</v>
      </c>
      <c r="J9825">
        <v>92.94</v>
      </c>
      <c r="K9825">
        <v>3</v>
      </c>
      <c r="L9825">
        <v>0</v>
      </c>
      <c r="M9825">
        <v>41.823</v>
      </c>
    </row>
    <row r="9826" spans="1:13" x14ac:dyDescent="0.3">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
      <c r="A9827" t="s">
        <v>28</v>
      </c>
      <c r="B9827" t="s">
        <v>14</v>
      </c>
      <c r="C9827" t="s">
        <v>15</v>
      </c>
      <c r="D9827" t="s">
        <v>52</v>
      </c>
      <c r="E9827" t="s">
        <v>24</v>
      </c>
      <c r="F9827">
        <v>94122</v>
      </c>
      <c r="G9827" t="s">
        <v>25</v>
      </c>
      <c r="H9827" t="s">
        <v>26</v>
      </c>
      <c r="I9827" t="s">
        <v>37</v>
      </c>
      <c r="J9827">
        <v>46.44</v>
      </c>
      <c r="K9827">
        <v>3</v>
      </c>
      <c r="L9827">
        <v>0.2</v>
      </c>
      <c r="M9827">
        <v>15.093</v>
      </c>
    </row>
    <row r="9828" spans="1:13" x14ac:dyDescent="0.3">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
      <c r="A9836" t="s">
        <v>62</v>
      </c>
      <c r="B9836" t="s">
        <v>14</v>
      </c>
      <c r="C9836" t="s">
        <v>15</v>
      </c>
      <c r="D9836" t="s">
        <v>274</v>
      </c>
      <c r="E9836" t="s">
        <v>46</v>
      </c>
      <c r="F9836">
        <v>77571</v>
      </c>
      <c r="G9836" t="s">
        <v>47</v>
      </c>
      <c r="H9836" t="s">
        <v>19</v>
      </c>
      <c r="I9836" t="s">
        <v>33</v>
      </c>
      <c r="J9836">
        <v>14</v>
      </c>
      <c r="K9836">
        <v>4</v>
      </c>
      <c r="L9836">
        <v>0.6</v>
      </c>
      <c r="M9836">
        <v>-6.3</v>
      </c>
    </row>
    <row r="9837" spans="1:13" x14ac:dyDescent="0.3">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
      <c r="A9839" t="s">
        <v>28</v>
      </c>
      <c r="B9839" t="s">
        <v>14</v>
      </c>
      <c r="C9839" t="s">
        <v>15</v>
      </c>
      <c r="D9839" t="s">
        <v>159</v>
      </c>
      <c r="E9839" t="s">
        <v>24</v>
      </c>
      <c r="F9839">
        <v>90805</v>
      </c>
      <c r="G9839" t="s">
        <v>25</v>
      </c>
      <c r="H9839" t="s">
        <v>26</v>
      </c>
      <c r="I9839" t="s">
        <v>27</v>
      </c>
      <c r="J9839">
        <v>29.6</v>
      </c>
      <c r="K9839">
        <v>2</v>
      </c>
      <c r="L9839">
        <v>0</v>
      </c>
      <c r="M9839">
        <v>14.8</v>
      </c>
    </row>
    <row r="9840" spans="1:13" x14ac:dyDescent="0.3">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
      <c r="A9848" t="s">
        <v>13</v>
      </c>
      <c r="B9848" t="s">
        <v>44</v>
      </c>
      <c r="C9848" t="s">
        <v>15</v>
      </c>
      <c r="D9848" t="s">
        <v>23</v>
      </c>
      <c r="E9848" t="s">
        <v>24</v>
      </c>
      <c r="F9848">
        <v>90008</v>
      </c>
      <c r="G9848" t="s">
        <v>25</v>
      </c>
      <c r="H9848" t="s">
        <v>26</v>
      </c>
      <c r="I9848" t="s">
        <v>38</v>
      </c>
      <c r="J9848">
        <v>43.1</v>
      </c>
      <c r="K9848">
        <v>5</v>
      </c>
      <c r="L9848">
        <v>0</v>
      </c>
      <c r="M9848">
        <v>11.206</v>
      </c>
    </row>
    <row r="9849" spans="1:13" x14ac:dyDescent="0.3">
      <c r="A9849" t="s">
        <v>13</v>
      </c>
      <c r="B9849" t="s">
        <v>44</v>
      </c>
      <c r="C9849" t="s">
        <v>15</v>
      </c>
      <c r="D9849" t="s">
        <v>23</v>
      </c>
      <c r="E9849" t="s">
        <v>24</v>
      </c>
      <c r="F9849">
        <v>90008</v>
      </c>
      <c r="G9849" t="s">
        <v>25</v>
      </c>
      <c r="H9849" t="s">
        <v>19</v>
      </c>
      <c r="I9849" t="s">
        <v>33</v>
      </c>
      <c r="J9849">
        <v>511.5</v>
      </c>
      <c r="K9849">
        <v>5</v>
      </c>
      <c r="L9849">
        <v>0</v>
      </c>
      <c r="M9849">
        <v>132.99</v>
      </c>
    </row>
    <row r="9850" spans="1:13" x14ac:dyDescent="0.3">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
      <c r="A9853" t="s">
        <v>28</v>
      </c>
      <c r="B9853" t="s">
        <v>22</v>
      </c>
      <c r="C9853" t="s">
        <v>15</v>
      </c>
      <c r="D9853" t="s">
        <v>75</v>
      </c>
      <c r="E9853" t="s">
        <v>76</v>
      </c>
      <c r="F9853">
        <v>10009</v>
      </c>
      <c r="G9853" t="s">
        <v>57</v>
      </c>
      <c r="H9853" t="s">
        <v>26</v>
      </c>
      <c r="I9853" t="s">
        <v>37</v>
      </c>
      <c r="J9853">
        <v>90.48</v>
      </c>
      <c r="K9853">
        <v>3</v>
      </c>
      <c r="L9853">
        <v>0.2</v>
      </c>
      <c r="M9853">
        <v>33.93</v>
      </c>
    </row>
    <row r="9854" spans="1:13" x14ac:dyDescent="0.3">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
      <c r="A9861" t="s">
        <v>28</v>
      </c>
      <c r="B9861" t="s">
        <v>44</v>
      </c>
      <c r="C9861" t="s">
        <v>15</v>
      </c>
      <c r="D9861" t="s">
        <v>182</v>
      </c>
      <c r="E9861" t="s">
        <v>74</v>
      </c>
      <c r="F9861">
        <v>47374</v>
      </c>
      <c r="G9861" t="s">
        <v>47</v>
      </c>
      <c r="H9861" t="s">
        <v>26</v>
      </c>
      <c r="I9861" t="s">
        <v>77</v>
      </c>
      <c r="J9861">
        <v>2.52</v>
      </c>
      <c r="K9861">
        <v>2</v>
      </c>
      <c r="L9861">
        <v>0</v>
      </c>
      <c r="M9861">
        <v>0.1008</v>
      </c>
    </row>
    <row r="9862" spans="1:13" x14ac:dyDescent="0.3">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
      <c r="A9867" t="s">
        <v>28</v>
      </c>
      <c r="B9867" t="s">
        <v>44</v>
      </c>
      <c r="C9867" t="s">
        <v>15</v>
      </c>
      <c r="D9867" t="s">
        <v>182</v>
      </c>
      <c r="E9867" t="s">
        <v>74</v>
      </c>
      <c r="F9867">
        <v>47374</v>
      </c>
      <c r="G9867" t="s">
        <v>47</v>
      </c>
      <c r="H9867" t="s">
        <v>19</v>
      </c>
      <c r="I9867" t="s">
        <v>33</v>
      </c>
      <c r="J9867">
        <v>18.96</v>
      </c>
      <c r="K9867">
        <v>2</v>
      </c>
      <c r="L9867">
        <v>0</v>
      </c>
      <c r="M9867">
        <v>8.532</v>
      </c>
    </row>
    <row r="9868" spans="1:13" x14ac:dyDescent="0.3">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
      <c r="A9885" t="s">
        <v>28</v>
      </c>
      <c r="B9885" t="s">
        <v>22</v>
      </c>
      <c r="C9885" t="s">
        <v>15</v>
      </c>
      <c r="D9885" t="s">
        <v>23</v>
      </c>
      <c r="E9885" t="s">
        <v>24</v>
      </c>
      <c r="F9885">
        <v>90008</v>
      </c>
      <c r="G9885" t="s">
        <v>25</v>
      </c>
      <c r="H9885" t="s">
        <v>26</v>
      </c>
      <c r="I9885" t="s">
        <v>60</v>
      </c>
      <c r="J9885">
        <v>11.16</v>
      </c>
      <c r="K9885">
        <v>2</v>
      </c>
      <c r="L9885">
        <v>0</v>
      </c>
      <c r="M9885">
        <v>5.58</v>
      </c>
    </row>
    <row r="9886" spans="1:13" x14ac:dyDescent="0.3">
      <c r="A9886" t="s">
        <v>28</v>
      </c>
      <c r="B9886" t="s">
        <v>22</v>
      </c>
      <c r="C9886" t="s">
        <v>15</v>
      </c>
      <c r="D9886" t="s">
        <v>23</v>
      </c>
      <c r="E9886" t="s">
        <v>24</v>
      </c>
      <c r="F9886">
        <v>90008</v>
      </c>
      <c r="G9886" t="s">
        <v>25</v>
      </c>
      <c r="H9886" t="s">
        <v>35</v>
      </c>
      <c r="I9886" t="s">
        <v>59</v>
      </c>
      <c r="J9886">
        <v>62.31</v>
      </c>
      <c r="K9886">
        <v>3</v>
      </c>
      <c r="L9886">
        <v>0</v>
      </c>
      <c r="M9886">
        <v>22.4316</v>
      </c>
    </row>
    <row r="9887" spans="1:13" x14ac:dyDescent="0.3">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
      <c r="A9888" t="s">
        <v>28</v>
      </c>
      <c r="B9888" t="s">
        <v>14</v>
      </c>
      <c r="C9888" t="s">
        <v>15</v>
      </c>
      <c r="D9888" t="s">
        <v>325</v>
      </c>
      <c r="E9888" t="s">
        <v>74</v>
      </c>
      <c r="F9888">
        <v>47905</v>
      </c>
      <c r="G9888" t="s">
        <v>47</v>
      </c>
      <c r="H9888" t="s">
        <v>26</v>
      </c>
      <c r="I9888" t="s">
        <v>77</v>
      </c>
      <c r="J9888">
        <v>5.94</v>
      </c>
      <c r="K9888">
        <v>3</v>
      </c>
      <c r="L9888">
        <v>0</v>
      </c>
      <c r="M9888">
        <v>0</v>
      </c>
    </row>
    <row r="9889" spans="1:13" x14ac:dyDescent="0.3">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
      <c r="A9900" t="s">
        <v>28</v>
      </c>
      <c r="B9900" t="s">
        <v>14</v>
      </c>
      <c r="C9900" t="s">
        <v>15</v>
      </c>
      <c r="D9900" t="s">
        <v>126</v>
      </c>
      <c r="E9900" t="s">
        <v>104</v>
      </c>
      <c r="F9900">
        <v>45014</v>
      </c>
      <c r="G9900" t="s">
        <v>57</v>
      </c>
      <c r="H9900" t="s">
        <v>19</v>
      </c>
      <c r="I9900" t="s">
        <v>33</v>
      </c>
      <c r="J9900">
        <v>82.64</v>
      </c>
      <c r="K9900">
        <v>2</v>
      </c>
      <c r="L9900">
        <v>0.2</v>
      </c>
      <c r="M9900">
        <v>0</v>
      </c>
    </row>
    <row r="9901" spans="1:13" x14ac:dyDescent="0.3">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
      <c r="A9915" t="s">
        <v>62</v>
      </c>
      <c r="B9915" t="s">
        <v>22</v>
      </c>
      <c r="C9915" t="s">
        <v>15</v>
      </c>
      <c r="D9915" t="s">
        <v>534</v>
      </c>
      <c r="E9915" t="s">
        <v>24</v>
      </c>
      <c r="F9915">
        <v>93101</v>
      </c>
      <c r="G9915" t="s">
        <v>25</v>
      </c>
      <c r="H9915" t="s">
        <v>26</v>
      </c>
      <c r="I9915" t="s">
        <v>27</v>
      </c>
      <c r="J9915">
        <v>31.05</v>
      </c>
      <c r="K9915">
        <v>3</v>
      </c>
      <c r="L9915">
        <v>0</v>
      </c>
      <c r="M9915">
        <v>14.904</v>
      </c>
    </row>
    <row r="9916" spans="1:13" x14ac:dyDescent="0.3">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
      <c r="A9953" t="s">
        <v>13</v>
      </c>
      <c r="B9953" t="s">
        <v>22</v>
      </c>
      <c r="C9953" t="s">
        <v>15</v>
      </c>
      <c r="D9953" t="s">
        <v>330</v>
      </c>
      <c r="E9953" t="s">
        <v>74</v>
      </c>
      <c r="F9953">
        <v>46203</v>
      </c>
      <c r="G9953" t="s">
        <v>47</v>
      </c>
      <c r="H9953" t="s">
        <v>26</v>
      </c>
      <c r="I9953" t="s">
        <v>37</v>
      </c>
      <c r="J9953">
        <v>17.38</v>
      </c>
      <c r="K9953">
        <v>2</v>
      </c>
      <c r="L9953">
        <v>0</v>
      </c>
      <c r="M9953">
        <v>8.69</v>
      </c>
    </row>
    <row r="9954" spans="1:13" x14ac:dyDescent="0.3">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
      <c r="A9960" t="s">
        <v>28</v>
      </c>
      <c r="B9960" t="s">
        <v>44</v>
      </c>
      <c r="C9960" t="s">
        <v>15</v>
      </c>
      <c r="D9960" t="s">
        <v>187</v>
      </c>
      <c r="E9960" t="s">
        <v>76</v>
      </c>
      <c r="F9960">
        <v>10801</v>
      </c>
      <c r="G9960" t="s">
        <v>57</v>
      </c>
      <c r="H9960" t="s">
        <v>26</v>
      </c>
      <c r="I9960" t="s">
        <v>110</v>
      </c>
      <c r="J9960">
        <v>7.3</v>
      </c>
      <c r="K9960">
        <v>2</v>
      </c>
      <c r="L9960">
        <v>0</v>
      </c>
      <c r="M9960">
        <v>2.19</v>
      </c>
    </row>
    <row r="9961" spans="1:13" x14ac:dyDescent="0.3">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
      <c r="A9962" t="s">
        <v>13</v>
      </c>
      <c r="B9962" t="s">
        <v>44</v>
      </c>
      <c r="C9962" t="s">
        <v>15</v>
      </c>
      <c r="D9962" t="s">
        <v>242</v>
      </c>
      <c r="E9962" t="s">
        <v>17</v>
      </c>
      <c r="F9962">
        <v>41042</v>
      </c>
      <c r="G9962" t="s">
        <v>18</v>
      </c>
      <c r="H9962" t="s">
        <v>35</v>
      </c>
      <c r="I9962" t="s">
        <v>59</v>
      </c>
      <c r="J9962">
        <v>18</v>
      </c>
      <c r="K9962">
        <v>1</v>
      </c>
      <c r="L9962">
        <v>0</v>
      </c>
      <c r="M9962">
        <v>3.24</v>
      </c>
    </row>
    <row r="9963" spans="1:13" x14ac:dyDescent="0.3">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
      <c r="A9979" t="s">
        <v>28</v>
      </c>
      <c r="B9979" t="s">
        <v>44</v>
      </c>
      <c r="C9979" t="s">
        <v>15</v>
      </c>
      <c r="D9979" t="s">
        <v>23</v>
      </c>
      <c r="E9979" t="s">
        <v>24</v>
      </c>
      <c r="F9979">
        <v>90032</v>
      </c>
      <c r="G9979" t="s">
        <v>25</v>
      </c>
      <c r="H9979" t="s">
        <v>26</v>
      </c>
      <c r="I9979" t="s">
        <v>77</v>
      </c>
      <c r="J9979">
        <v>13.86</v>
      </c>
      <c r="K9979">
        <v>7</v>
      </c>
      <c r="L9979">
        <v>0</v>
      </c>
      <c r="M9979">
        <v>0</v>
      </c>
    </row>
    <row r="9980" spans="1:13" x14ac:dyDescent="0.3">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
      <c r="A9986" t="s">
        <v>28</v>
      </c>
      <c r="B9986" t="s">
        <v>14</v>
      </c>
      <c r="C9986" t="s">
        <v>15</v>
      </c>
      <c r="D9986" t="s">
        <v>159</v>
      </c>
      <c r="E9986" t="s">
        <v>76</v>
      </c>
      <c r="F9986">
        <v>11561</v>
      </c>
      <c r="G9986" t="s">
        <v>57</v>
      </c>
      <c r="H9986" t="s">
        <v>26</v>
      </c>
      <c r="I9986" t="s">
        <v>27</v>
      </c>
      <c r="J9986">
        <v>31.5</v>
      </c>
      <c r="K9986">
        <v>10</v>
      </c>
      <c r="L9986">
        <v>0</v>
      </c>
      <c r="M9986">
        <v>15.12</v>
      </c>
    </row>
    <row r="9987" spans="1:13" x14ac:dyDescent="0.3">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
      <c r="A9994" t="s">
        <v>28</v>
      </c>
      <c r="B9994" t="s">
        <v>14</v>
      </c>
      <c r="C9994" t="s">
        <v>15</v>
      </c>
      <c r="D9994" t="s">
        <v>198</v>
      </c>
      <c r="E9994" t="s">
        <v>24</v>
      </c>
      <c r="F9994">
        <v>92627</v>
      </c>
      <c r="G9994" t="s">
        <v>25</v>
      </c>
      <c r="H9994" t="s">
        <v>26</v>
      </c>
      <c r="I9994" t="s">
        <v>41</v>
      </c>
      <c r="J9994">
        <v>29.6</v>
      </c>
      <c r="K9994">
        <v>4</v>
      </c>
      <c r="L9994">
        <v>0</v>
      </c>
      <c r="M9994">
        <v>13.32</v>
      </c>
    </row>
    <row r="9995" spans="1:13" x14ac:dyDescent="0.3">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2C784-125B-4E5F-B0DC-9224035DB37C}">
  <dimension ref="A1:C6"/>
  <sheetViews>
    <sheetView tabSelected="1" workbookViewId="0">
      <selection activeCell="I5" sqref="H5:I5"/>
    </sheetView>
  </sheetViews>
  <sheetFormatPr defaultRowHeight="14.4" x14ac:dyDescent="0.3"/>
  <cols>
    <col min="1" max="1" width="14.5546875" customWidth="1"/>
    <col min="2" max="2" width="15" bestFit="1" customWidth="1"/>
    <col min="3" max="3" width="21" customWidth="1"/>
  </cols>
  <sheetData>
    <row r="1" spans="1:3" ht="23.4" x14ac:dyDescent="0.45">
      <c r="A1" s="11" t="s">
        <v>624</v>
      </c>
      <c r="B1" s="11"/>
      <c r="C1" s="11"/>
    </row>
    <row r="3" spans="1:3" ht="15.6" x14ac:dyDescent="0.3">
      <c r="A3" s="4" t="s">
        <v>625</v>
      </c>
      <c r="B3" s="5">
        <f>SUM(salesData[Sales])</f>
        <v>2297200.8602999551</v>
      </c>
    </row>
    <row r="4" spans="1:3" x14ac:dyDescent="0.3">
      <c r="A4" s="6" t="s">
        <v>626</v>
      </c>
      <c r="B4" s="7">
        <f>SUM(salesData[Profit])</f>
        <v>286397.02170000132</v>
      </c>
    </row>
    <row r="5" spans="1:3" ht="15.6" x14ac:dyDescent="0.3">
      <c r="A5" s="8" t="s">
        <v>627</v>
      </c>
      <c r="B5" s="8">
        <f>SUM(salesData[Quantity])</f>
        <v>37873</v>
      </c>
    </row>
    <row r="6" spans="1:3" ht="15.6" x14ac:dyDescent="0.3">
      <c r="A6" s="9" t="s">
        <v>628</v>
      </c>
      <c r="B6" s="10">
        <f>B4/B3</f>
        <v>0.12467217240315906</v>
      </c>
    </row>
  </sheetData>
  <mergeCells count="1">
    <mergeCell ref="A1:C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SampleSuperstore</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Deepanshu Pal</dc:creator>
  <cp:lastModifiedBy>Deepanshu Pal</cp:lastModifiedBy>
  <dcterms:created xsi:type="dcterms:W3CDTF">2026-10-20T09:14:18Z</dcterms:created>
  <dcterms:modified xsi:type="dcterms:W3CDTF">2026-10-21T09:04:50Z</dcterms:modified>
</cp:coreProperties>
</file>